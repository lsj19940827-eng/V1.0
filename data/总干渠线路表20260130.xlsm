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8" windowHeight="12780" activeTab="1"/>
  </bookViews>
  <sheets>
    <sheet name="Sheet1" sheetId="1" r:id="rId1"/>
    <sheet name="桩号" sheetId="3" r:id="rId2"/>
    <sheet name="Sheet2" sheetId="4" r:id="rId3"/>
    <sheet name="Sheet4" sheetId="5" r:id="rId4"/>
    <sheet name="Sheet5" sheetId="6" r:id="rId5"/>
    <sheet name="Sheet3" sheetId="8" r:id="rId6"/>
  </sheets>
  <definedNames>
    <definedName name="_xlnm._FilterDatabase" localSheetId="1" hidden="1">桩号!$A$1:$AF$806</definedName>
    <definedName name="_1_1" localSheetId="1">桩号!$B$1:$G$98</definedName>
    <definedName name="_xlnm._FilterDatabase" localSheetId="2" hidden="1">Sheet2!$B$2:$E$813</definedName>
    <definedName name="付家坝倒虹管" localSheetId="4">Sheet5!#REF!</definedName>
    <definedName name="付家坝倒虹管_2" localSheetId="4">Sheet5!$D$2:$E$9</definedName>
    <definedName name="付家坝倒虹管_3" localSheetId="4">Sheet5!$P$3:$Q$11</definedName>
    <definedName name="付家坝倒虹管_4" localSheetId="4">Sheet5!$D$2:$E$10</definedName>
    <definedName name="总干线路" localSheetId="3">Sheet4!$K$2:$L$782</definedName>
    <definedName name="ExternalData_1" localSheetId="4">Sheet5!#REF!</definedName>
    <definedName name="ExternalData_2" localSheetId="4">Sheet5!$P$17:$Q$26</definedName>
    <definedName name="_xlnm._FilterDatabase" localSheetId="4" hidden="1">Sheet5!$I$136:$K$260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1" type="6" background="1" refreshedVersion="2" saveData="1">
    <textPr sourceFile="D:\渠道\1.txt">
      <textFields>
        <textField/>
      </textFields>
    </textPr>
  </connection>
  <connection id="2" name="付家坝倒虹管1" type="6" background="1" refreshedVersion="2" saveData="1">
    <textPr sourceFile="D:\工作项目\毗河二期\毗河总干渠修改\付家坝倒虹管.txt" space="1" consecutive="1">
      <textFields>
        <textField/>
      </textFields>
    </textPr>
  </connection>
  <connection id="3" name="付家坝倒虹管11" type="6" background="1" refreshedVersion="2" saveData="1">
    <textPr sourceFile="D:\工作项目\毗河二期\毗河总干渠修改\付家坝倒虹管.txt" space="1" consecutive="1">
      <textFields>
        <textField/>
      </textFields>
    </textPr>
  </connection>
  <connection id="4" name="付家坝倒虹管12" type="6" background="1" refreshedVersion="2" saveData="1">
    <textPr sourceFile="D:\工作项目\毗河二期\毗河总干渠修改\付家坝倒虹管.txt" space="1" consecutive="1">
      <textFields>
        <textField/>
      </textFields>
    </textPr>
  </connection>
  <connection id="5" name="总干线路" type="6" background="1" refreshedVersion="2" saveData="1">
    <textPr sourceFile="D:\工作项目\毗河二期\毗河总干渠修改\总干渠12流量段图纸改\总干渠12流量段平面图改\总干线路.txt" space="1" consecutive="1">
      <textFields>
        <textField/>
      </textFields>
    </textPr>
  </connection>
  <connection id="6" name="杨溪河" type="6" background="1" refreshedVersion="2" saveData="1">
    <textPr sourceFile="D:\工作项目\毗河二期\毗河总干渠修改\总干渠12流量段图纸改\杨溪河.txt" space="1" consecutive="1">
      <textFields>
        <textField/>
      </textFields>
    </textPr>
  </connection>
  <connection id="7" name="杨溪河1" type="6" background="1" refreshedVersion="2" saveData="1">
    <textPr sourceFile="D:\工作项目\毗河二期\毗河总干渠修改\总干渠12流量段图纸改\杨溪河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<sst xmlns="http://schemas.openxmlformats.org/spreadsheetml/2006/main" count="6886" uniqueCount="2720">
  <si>
    <t>序号</t>
  </si>
  <si>
    <t>IP点</t>
  </si>
  <si>
    <t>转弯半径</t>
  </si>
  <si>
    <t>转弯角度</t>
  </si>
  <si>
    <t>桩号BC</t>
  </si>
  <si>
    <t>桩号MC</t>
  </si>
  <si>
    <t>桩号EC</t>
  </si>
  <si>
    <t>渠道类型</t>
  </si>
  <si>
    <t>渠道尺寸序号</t>
  </si>
  <si>
    <t>进出口代码</t>
  </si>
  <si>
    <t>水头损失和</t>
  </si>
  <si>
    <t>水面过渡值</t>
  </si>
  <si>
    <t>延程水头损失</t>
  </si>
  <si>
    <t>局部水头损失</t>
  </si>
  <si>
    <t>弯道水头损失</t>
  </si>
  <si>
    <t>预留水头损失</t>
  </si>
  <si>
    <t>指定水头损失</t>
  </si>
  <si>
    <t>渐进渐出水位</t>
  </si>
  <si>
    <t>渐进渐出底高程</t>
  </si>
  <si>
    <t>IP点水位</t>
  </si>
  <si>
    <t>IP点底高程</t>
  </si>
  <si>
    <t>IP0</t>
  </si>
  <si>
    <t>********</t>
  </si>
  <si>
    <t>龙泉山隧进</t>
  </si>
  <si>
    <t>IP1</t>
  </si>
  <si>
    <t>IP2</t>
  </si>
  <si>
    <t>IP3</t>
  </si>
  <si>
    <t>IP4</t>
  </si>
  <si>
    <t>IP5</t>
  </si>
  <si>
    <t>龙泉山隧出</t>
  </si>
  <si>
    <t>狗跳地泄水闸进</t>
  </si>
  <si>
    <t>狗跳地泄水闸出</t>
  </si>
  <si>
    <t>狗跳地渡槽进</t>
  </si>
  <si>
    <t>狗跳地渡槽出</t>
  </si>
  <si>
    <t>两河口隧进</t>
  </si>
  <si>
    <t>IP6</t>
  </si>
  <si>
    <t>IP7</t>
  </si>
  <si>
    <t>两河口隧出</t>
  </si>
  <si>
    <t>段家1#渡槽进</t>
  </si>
  <si>
    <t>段家1#渡槽出</t>
  </si>
  <si>
    <t>段家隧进</t>
  </si>
  <si>
    <t>IP8</t>
  </si>
  <si>
    <t>段家隧出</t>
  </si>
  <si>
    <t>段家2#渡槽进</t>
  </si>
  <si>
    <t>段家2#渡槽出</t>
  </si>
  <si>
    <t>大脑壳隧进</t>
  </si>
  <si>
    <t>IP9</t>
  </si>
  <si>
    <t>大脑壳隧出</t>
  </si>
  <si>
    <t>新塘坊渡槽进</t>
  </si>
  <si>
    <t>新塘坊渡槽出</t>
  </si>
  <si>
    <t>火烧梁隧进</t>
  </si>
  <si>
    <t>IP10</t>
  </si>
  <si>
    <t>火烧梁隧出</t>
  </si>
  <si>
    <t>龙门垭渡槽进</t>
  </si>
  <si>
    <t>龙门垭渡槽出</t>
  </si>
  <si>
    <t>IP11</t>
  </si>
  <si>
    <t>雷家湾倒虹管进</t>
  </si>
  <si>
    <t>雷家湾倒虹管出</t>
  </si>
  <si>
    <t>鹞子林隧进</t>
  </si>
  <si>
    <t>IP15</t>
  </si>
  <si>
    <t>鹞子林隧出</t>
  </si>
  <si>
    <t>IP16</t>
  </si>
  <si>
    <t>IP17</t>
  </si>
  <si>
    <t>鱼尾湾渡槽进</t>
  </si>
  <si>
    <t>鱼尾湾渡槽出</t>
  </si>
  <si>
    <t>IP18</t>
  </si>
  <si>
    <t>IP19</t>
  </si>
  <si>
    <t>鱼尾湾隧进</t>
  </si>
  <si>
    <t>IP20</t>
  </si>
  <si>
    <t>鱼尾湾隧出</t>
  </si>
  <si>
    <t>IP21</t>
  </si>
  <si>
    <t>IP22</t>
  </si>
  <si>
    <t>IP23</t>
  </si>
  <si>
    <t>IP24</t>
  </si>
  <si>
    <t>堰塘湾渡槽进</t>
  </si>
  <si>
    <t>堰塘湾渡槽出</t>
  </si>
  <si>
    <t>IP25</t>
  </si>
  <si>
    <t>IP26</t>
  </si>
  <si>
    <t>IP27</t>
  </si>
  <si>
    <t>IP28</t>
  </si>
  <si>
    <t>付家坝倒虹管进</t>
  </si>
  <si>
    <t>付家坝倒虹管出</t>
  </si>
  <si>
    <t>IP38</t>
  </si>
  <si>
    <t>杨溪河泄水闸进</t>
  </si>
  <si>
    <t>杨溪河泄水闸出</t>
  </si>
  <si>
    <t>杨溪河渡槽进</t>
  </si>
  <si>
    <t>IP39</t>
  </si>
  <si>
    <t>IP40</t>
  </si>
  <si>
    <t>IP41</t>
  </si>
  <si>
    <t>IP42</t>
  </si>
  <si>
    <t>IP43</t>
  </si>
  <si>
    <t>IP44</t>
  </si>
  <si>
    <t>IP45</t>
  </si>
  <si>
    <t>IP46</t>
  </si>
  <si>
    <t>杨溪河渡槽出</t>
  </si>
  <si>
    <t>IP47</t>
  </si>
  <si>
    <t>IP48</t>
  </si>
  <si>
    <t>菱角泄水闸进</t>
  </si>
  <si>
    <t>菱角泄水闸出</t>
  </si>
  <si>
    <t>菱角渡槽进</t>
  </si>
  <si>
    <t>IP49</t>
  </si>
  <si>
    <t>IP50</t>
  </si>
  <si>
    <t>IP51</t>
  </si>
  <si>
    <t>IP52</t>
  </si>
  <si>
    <t>菱角渡槽出</t>
  </si>
  <si>
    <t>IP53</t>
  </si>
  <si>
    <t>晋家湾渡槽进</t>
  </si>
  <si>
    <t>IP54</t>
  </si>
  <si>
    <t>IP55</t>
  </si>
  <si>
    <t>晋家湾渡槽出</t>
  </si>
  <si>
    <t>玉皇观渡槽进</t>
  </si>
  <si>
    <t>玉皇观渡槽出</t>
  </si>
  <si>
    <t>IP56</t>
  </si>
  <si>
    <t>驼子桥泄水闸进</t>
  </si>
  <si>
    <t>驼子桥泄水闸出</t>
  </si>
  <si>
    <t>驼子桥渡槽进</t>
  </si>
  <si>
    <t>IP57</t>
  </si>
  <si>
    <t>IP58</t>
  </si>
  <si>
    <t>驼子桥渡槽出</t>
  </si>
  <si>
    <t>小湾泄水闸进</t>
  </si>
  <si>
    <t>小湾泄水闸出</t>
  </si>
  <si>
    <t>小湾渡槽进</t>
  </si>
  <si>
    <t>IP59</t>
  </si>
  <si>
    <t>IP60</t>
  </si>
  <si>
    <t>IP61</t>
  </si>
  <si>
    <t>IP62</t>
  </si>
  <si>
    <t>IP63</t>
  </si>
  <si>
    <t>IP64</t>
  </si>
  <si>
    <t>IP65</t>
  </si>
  <si>
    <t>IP66</t>
  </si>
  <si>
    <t>小湾渡槽出</t>
  </si>
  <si>
    <t>瓜飘寨隧进</t>
  </si>
  <si>
    <t>IP67</t>
  </si>
  <si>
    <t>瓜飘寨隧出</t>
  </si>
  <si>
    <t>IP68</t>
  </si>
  <si>
    <t>蔡家隧进</t>
  </si>
  <si>
    <t>蔡家隧出</t>
  </si>
  <si>
    <t>杨家湾渡槽进</t>
  </si>
  <si>
    <t>IP69</t>
  </si>
  <si>
    <t>杨家湾渡槽出</t>
  </si>
  <si>
    <t>IP70</t>
  </si>
  <si>
    <t>IP71</t>
  </si>
  <si>
    <t>IP72</t>
  </si>
  <si>
    <t>IP73</t>
  </si>
  <si>
    <t>IP74</t>
  </si>
  <si>
    <t>IP75</t>
  </si>
  <si>
    <t>宽沟渡槽进</t>
  </si>
  <si>
    <t>IP76</t>
  </si>
  <si>
    <t>宽沟渡槽出</t>
  </si>
  <si>
    <t>三湾堰渡槽进</t>
  </si>
  <si>
    <t>三湾堰渡槽出</t>
  </si>
  <si>
    <t>IP77</t>
  </si>
  <si>
    <t>大堰塘湾1#渡槽进</t>
  </si>
  <si>
    <t>大堰塘湾1#渡槽出</t>
  </si>
  <si>
    <t>IP78</t>
  </si>
  <si>
    <t>大堰塘湾2#渡槽进</t>
  </si>
  <si>
    <t>大堰塘湾2#渡槽出</t>
  </si>
  <si>
    <t>IP79</t>
  </si>
  <si>
    <t>麻风梁子渡槽进</t>
  </si>
  <si>
    <t>麻风梁子渡槽出</t>
  </si>
  <si>
    <t>IP80</t>
  </si>
  <si>
    <t>唐家湾1#渡槽进</t>
  </si>
  <si>
    <t>唐家湾1#渡槽出</t>
  </si>
  <si>
    <t>IP81</t>
  </si>
  <si>
    <t>IP82</t>
  </si>
  <si>
    <t>唐家湾2#渡槽进</t>
  </si>
  <si>
    <t>唐家湾2#渡槽出</t>
  </si>
  <si>
    <t>IP83</t>
  </si>
  <si>
    <t>IP84</t>
  </si>
  <si>
    <t>IP85</t>
  </si>
  <si>
    <t>IP86</t>
  </si>
  <si>
    <t>IP87</t>
  </si>
  <si>
    <t>干湾渡槽进</t>
  </si>
  <si>
    <t>干湾渡槽出</t>
  </si>
  <si>
    <t>IP88</t>
  </si>
  <si>
    <t>松树坪渡槽进</t>
  </si>
  <si>
    <t>松树坪渡槽出</t>
  </si>
  <si>
    <t>IP89</t>
  </si>
  <si>
    <t>胡家渡槽进</t>
  </si>
  <si>
    <t>胡家渡槽出</t>
  </si>
  <si>
    <t>IP90</t>
  </si>
  <si>
    <t>蔡家坟隧进</t>
  </si>
  <si>
    <t>IP91</t>
  </si>
  <si>
    <t>蔡家坟隧出</t>
  </si>
  <si>
    <t>狮子山渡槽进</t>
  </si>
  <si>
    <t>狮子山渡槽出</t>
  </si>
  <si>
    <t>狮子山隧进</t>
  </si>
  <si>
    <t>IP92</t>
  </si>
  <si>
    <t>狮子山隧出</t>
  </si>
  <si>
    <t>小沟渡槽进</t>
  </si>
  <si>
    <t>小沟渡槽出</t>
  </si>
  <si>
    <t>IP93</t>
  </si>
  <si>
    <t>大梁子隧进</t>
  </si>
  <si>
    <t>大梁子隧出</t>
  </si>
  <si>
    <t>IP94</t>
  </si>
  <si>
    <t>长梁子隧进</t>
  </si>
  <si>
    <t>IP95</t>
  </si>
  <si>
    <t>长梁子隧出</t>
  </si>
  <si>
    <t>大井湾渡槽进</t>
  </si>
  <si>
    <t>大井湾渡槽出</t>
  </si>
  <si>
    <t>高垭口隧进</t>
  </si>
  <si>
    <t>IP96</t>
  </si>
  <si>
    <t>高垭口隧出</t>
  </si>
  <si>
    <t>踏水水库分水闸进</t>
  </si>
  <si>
    <t>踏水水库分水闸出</t>
  </si>
  <si>
    <t>马桑梁子隧进</t>
  </si>
  <si>
    <t>IP97</t>
  </si>
  <si>
    <t>马桑梁子隧出</t>
  </si>
  <si>
    <t>双岔沟渡槽进</t>
  </si>
  <si>
    <t>双岔沟渡槽出</t>
  </si>
  <si>
    <t>IP98</t>
  </si>
  <si>
    <t>IP99</t>
  </si>
  <si>
    <t>IP100</t>
  </si>
  <si>
    <t>IP101</t>
  </si>
  <si>
    <t>高梁子隧进</t>
  </si>
  <si>
    <t>IP102</t>
  </si>
  <si>
    <t>IP103</t>
  </si>
  <si>
    <t>高梁子隧出</t>
  </si>
  <si>
    <t>IP104</t>
  </si>
  <si>
    <t>大湾渡槽进</t>
  </si>
  <si>
    <t>大湾渡槽出</t>
  </si>
  <si>
    <t>庙梁子隧进</t>
  </si>
  <si>
    <t>IP105</t>
  </si>
  <si>
    <t>IP106</t>
  </si>
  <si>
    <t>IP107</t>
  </si>
  <si>
    <t>庙梁子隧出</t>
  </si>
  <si>
    <t>IP108</t>
  </si>
  <si>
    <t>IP109</t>
  </si>
  <si>
    <t>小梁子隧进</t>
  </si>
  <si>
    <t>小梁子隧出</t>
  </si>
  <si>
    <t>IP110</t>
  </si>
  <si>
    <t>IP111</t>
  </si>
  <si>
    <t>IP112</t>
  </si>
  <si>
    <t>求雨寨隧进</t>
  </si>
  <si>
    <t>求雨寨隧出</t>
  </si>
  <si>
    <t>IP113</t>
  </si>
  <si>
    <t>IP114</t>
  </si>
  <si>
    <t>笔架山隧进</t>
  </si>
  <si>
    <t>笔架山隧出</t>
  </si>
  <si>
    <t>IP115</t>
  </si>
  <si>
    <t>IP116</t>
  </si>
  <si>
    <t>凤型湾隧进</t>
  </si>
  <si>
    <t>凤型湾隧出</t>
  </si>
  <si>
    <t>IP117</t>
  </si>
  <si>
    <t>IP118</t>
  </si>
  <si>
    <t>IP119</t>
  </si>
  <si>
    <t>IP120</t>
  </si>
  <si>
    <t>IP121</t>
  </si>
  <si>
    <t>花果山隧进</t>
  </si>
  <si>
    <t>IP122</t>
  </si>
  <si>
    <t>花果山隧出</t>
  </si>
  <si>
    <t>IP123</t>
  </si>
  <si>
    <t>IP124</t>
  </si>
  <si>
    <t>IP125</t>
  </si>
  <si>
    <t>IP126</t>
  </si>
  <si>
    <t>黄鹤渡槽进</t>
  </si>
  <si>
    <t>黄鹤渡槽出</t>
  </si>
  <si>
    <t>IP127</t>
  </si>
  <si>
    <t>IP128</t>
  </si>
  <si>
    <t>廖家湾1#渡槽进</t>
  </si>
  <si>
    <t>廖家湾1#渡槽出</t>
  </si>
  <si>
    <t>IP129</t>
  </si>
  <si>
    <t>廖家湾2#渡槽进</t>
  </si>
  <si>
    <t>廖家湾2#渡槽出</t>
  </si>
  <si>
    <t>IP130</t>
  </si>
  <si>
    <t>石湾渡槽进</t>
  </si>
  <si>
    <t>石湾渡槽出</t>
  </si>
  <si>
    <t>IP131</t>
  </si>
  <si>
    <t>IP132</t>
  </si>
  <si>
    <t>IP133</t>
  </si>
  <si>
    <t>蟆怪梁子渡槽进</t>
  </si>
  <si>
    <t>蟆怪梁子渡槽出</t>
  </si>
  <si>
    <t>IP134</t>
  </si>
  <si>
    <t>资水河倒虹管进</t>
  </si>
  <si>
    <t>资水河倒虹管出</t>
  </si>
  <si>
    <t>IP150</t>
  </si>
  <si>
    <t>IP151</t>
  </si>
  <si>
    <t>IP152</t>
  </si>
  <si>
    <t>金鸡山隧进</t>
  </si>
  <si>
    <t>IP153</t>
  </si>
  <si>
    <t>IP154</t>
  </si>
  <si>
    <t>金鸡山隧出</t>
  </si>
  <si>
    <t>IP155</t>
  </si>
  <si>
    <t>大梁子1#隧进</t>
  </si>
  <si>
    <t>大梁子1#隧出</t>
  </si>
  <si>
    <t>IP156</t>
  </si>
  <si>
    <t>大梁子2#隧进</t>
  </si>
  <si>
    <t>IP157</t>
  </si>
  <si>
    <t>大梁子2#隧出</t>
  </si>
  <si>
    <t>大梁子渡槽进</t>
  </si>
  <si>
    <t>大梁子渡槽出</t>
  </si>
  <si>
    <t>IP158</t>
  </si>
  <si>
    <t>IP159</t>
  </si>
  <si>
    <t>麻柳湾泄水闸进</t>
  </si>
  <si>
    <t>麻柳湾泄水闸出</t>
  </si>
  <si>
    <t>麻柳湾渡槽进</t>
  </si>
  <si>
    <t>IP160</t>
  </si>
  <si>
    <t>麻柳湾渡槽出</t>
  </si>
  <si>
    <t>长一沟泄水闸进</t>
  </si>
  <si>
    <t>长一沟泄水闸出</t>
  </si>
  <si>
    <t>长一沟渡槽进</t>
  </si>
  <si>
    <t>IP161</t>
  </si>
  <si>
    <t>长一沟渡槽出</t>
  </si>
  <si>
    <t>IP162</t>
  </si>
  <si>
    <t>IP163</t>
  </si>
  <si>
    <t>IP164</t>
  </si>
  <si>
    <t>IP165</t>
  </si>
  <si>
    <t>IP166</t>
  </si>
  <si>
    <t>IP167</t>
  </si>
  <si>
    <t>IP168</t>
  </si>
  <si>
    <t>中山坡隧进</t>
  </si>
  <si>
    <t>中山坡隧出</t>
  </si>
  <si>
    <t>IP169</t>
  </si>
  <si>
    <t>IP170</t>
  </si>
  <si>
    <t>IP171</t>
  </si>
  <si>
    <t>IP172</t>
  </si>
  <si>
    <t>金堂坳隧进</t>
  </si>
  <si>
    <t>金堂坳隧出</t>
  </si>
  <si>
    <t>IP173</t>
  </si>
  <si>
    <t>IP174</t>
  </si>
  <si>
    <t>IP175</t>
  </si>
  <si>
    <t>IP176</t>
  </si>
  <si>
    <t>堡镇湾隧进</t>
  </si>
  <si>
    <t>IP177</t>
  </si>
  <si>
    <t>堡镇湾隧出</t>
  </si>
  <si>
    <t>IP178</t>
  </si>
  <si>
    <t>IP179</t>
  </si>
  <si>
    <t>IP180</t>
  </si>
  <si>
    <t>IP181</t>
  </si>
  <si>
    <t>东岳隧进</t>
  </si>
  <si>
    <t>东岳隧出</t>
  </si>
  <si>
    <t>IP182</t>
  </si>
  <si>
    <t>IP183</t>
  </si>
  <si>
    <t>刘家沟渡槽进</t>
  </si>
  <si>
    <t>刘家沟渡槽出</t>
  </si>
  <si>
    <t>IP184</t>
  </si>
  <si>
    <t>IP185</t>
  </si>
  <si>
    <t>祠堂湾隧进</t>
  </si>
  <si>
    <t>祠堂湾隧出</t>
  </si>
  <si>
    <t>叶家沟渡槽进</t>
  </si>
  <si>
    <t>叶家沟渡槽出</t>
  </si>
  <si>
    <t>鞍子湾隧进</t>
  </si>
  <si>
    <t>IP186</t>
  </si>
  <si>
    <t>鞍子湾隧出</t>
  </si>
  <si>
    <t>徐家沟渡槽进</t>
  </si>
  <si>
    <t>徐家沟渡槽出</t>
  </si>
  <si>
    <t>大石堡隧进</t>
  </si>
  <si>
    <t>大石堡隧出</t>
  </si>
  <si>
    <t>IP187</t>
  </si>
  <si>
    <t>棕房沟渡槽进</t>
  </si>
  <si>
    <t>棕房沟渡槽出</t>
  </si>
  <si>
    <t>邓家坡隧进</t>
  </si>
  <si>
    <t>邓家坡隧出</t>
  </si>
  <si>
    <t>韩家沟渡槽进</t>
  </si>
  <si>
    <t>韩家沟渡槽出</t>
  </si>
  <si>
    <t>会上坡隧进</t>
  </si>
  <si>
    <t>IP188</t>
  </si>
  <si>
    <t>会上坡隧出</t>
  </si>
  <si>
    <t>尖坡长隧进</t>
  </si>
  <si>
    <t>IP189</t>
  </si>
  <si>
    <t>尖坡长隧出</t>
  </si>
  <si>
    <t>IP190</t>
  </si>
  <si>
    <t>赵家沟分水闸进</t>
  </si>
  <si>
    <t>赵家沟分水闸出</t>
  </si>
  <si>
    <t>大白山隧进</t>
  </si>
  <si>
    <t>IP191</t>
  </si>
  <si>
    <t>大白山隧出</t>
  </si>
  <si>
    <t>火闪庙隧进</t>
  </si>
  <si>
    <t>IP192</t>
  </si>
  <si>
    <t>火闪庙隧出</t>
  </si>
  <si>
    <t>IP193</t>
  </si>
  <si>
    <t>IP194</t>
  </si>
  <si>
    <t>IP195</t>
  </si>
  <si>
    <t>IP196</t>
  </si>
  <si>
    <t>IP197</t>
  </si>
  <si>
    <t>仁和寨隧进</t>
  </si>
  <si>
    <t>仁和寨隧出</t>
  </si>
  <si>
    <t>IP198</t>
  </si>
  <si>
    <t>IP199</t>
  </si>
  <si>
    <t>IP200</t>
  </si>
  <si>
    <t>庙子坡隧进</t>
  </si>
  <si>
    <t>庙子坡隧出</t>
  </si>
  <si>
    <t>IP201</t>
  </si>
  <si>
    <t>IP202</t>
  </si>
  <si>
    <t>IP203</t>
  </si>
  <si>
    <t>IP204</t>
  </si>
  <si>
    <t>IP205</t>
  </si>
  <si>
    <t>IP206</t>
  </si>
  <si>
    <t>IP207</t>
  </si>
  <si>
    <t>IP208</t>
  </si>
  <si>
    <t>轿顶坡隧进</t>
  </si>
  <si>
    <t>IP209</t>
  </si>
  <si>
    <t>轿顶坡隧出</t>
  </si>
  <si>
    <t>IP210</t>
  </si>
  <si>
    <t>老院子渡槽进</t>
  </si>
  <si>
    <t>老院子渡槽出</t>
  </si>
  <si>
    <t>IP211</t>
  </si>
  <si>
    <t>IP212</t>
  </si>
  <si>
    <t>IP213</t>
  </si>
  <si>
    <t>IP214</t>
  </si>
  <si>
    <t>倒中庙隧进</t>
  </si>
  <si>
    <t>IP215</t>
  </si>
  <si>
    <t>倒中庙隧出</t>
  </si>
  <si>
    <t>马家院子隧进</t>
  </si>
  <si>
    <t>IP216</t>
  </si>
  <si>
    <t>马家院子隧出</t>
  </si>
  <si>
    <t>黄龙湾渡槽进</t>
  </si>
  <si>
    <t>黄龙湾渡槽出</t>
  </si>
  <si>
    <t>三元寨隧进</t>
  </si>
  <si>
    <t>IP217</t>
  </si>
  <si>
    <t>三元寨隧出</t>
  </si>
  <si>
    <t>宋家沟倒虹管进</t>
  </si>
  <si>
    <t>宋家沟倒虹管出</t>
  </si>
  <si>
    <t>IP231</t>
  </si>
  <si>
    <t>IP232</t>
  </si>
  <si>
    <t>石佛湾泄水闸进</t>
  </si>
  <si>
    <t>石佛湾泄水闸出</t>
  </si>
  <si>
    <t>石佛湾渡槽进</t>
  </si>
  <si>
    <t>IP233</t>
  </si>
  <si>
    <t>IP234</t>
  </si>
  <si>
    <t>石佛湾渡槽出</t>
  </si>
  <si>
    <t>IP235</t>
  </si>
  <si>
    <t>全家沟1#渡槽进</t>
  </si>
  <si>
    <t>全家沟1#渡槽出</t>
  </si>
  <si>
    <t>IP236</t>
  </si>
  <si>
    <t>IP237</t>
  </si>
  <si>
    <t>全家沟2#渡槽进</t>
  </si>
  <si>
    <t>全家沟2#渡槽出</t>
  </si>
  <si>
    <t>IP238</t>
  </si>
  <si>
    <t>丁家湾渡槽进</t>
  </si>
  <si>
    <t>丁家湾渡槽出</t>
  </si>
  <si>
    <t>IP239</t>
  </si>
  <si>
    <t>IP240</t>
  </si>
  <si>
    <t>IP241</t>
  </si>
  <si>
    <t>IP242</t>
  </si>
  <si>
    <t>IP243</t>
  </si>
  <si>
    <t>白土地渡槽进</t>
  </si>
  <si>
    <t>白土地渡槽出</t>
  </si>
  <si>
    <t>IP244</t>
  </si>
  <si>
    <t>IP245</t>
  </si>
  <si>
    <t>IP246</t>
  </si>
  <si>
    <t>IP247</t>
  </si>
  <si>
    <t>IP248</t>
  </si>
  <si>
    <t>IP249</t>
  </si>
  <si>
    <t>IP250</t>
  </si>
  <si>
    <t>IP251</t>
  </si>
  <si>
    <t>IP252</t>
  </si>
  <si>
    <t>凤凰山隧进</t>
  </si>
  <si>
    <t>IP253</t>
  </si>
  <si>
    <t>凤凰山隧出</t>
  </si>
  <si>
    <t>IP254</t>
  </si>
  <si>
    <t>IP255</t>
  </si>
  <si>
    <t>IP256</t>
  </si>
  <si>
    <t>IP257</t>
  </si>
  <si>
    <t>书房湾隧进</t>
  </si>
  <si>
    <t>IP258</t>
  </si>
  <si>
    <t>书房湾隧出</t>
  </si>
  <si>
    <t>IP259</t>
  </si>
  <si>
    <t>大龙沟渡槽进</t>
  </si>
  <si>
    <t>大龙沟渡槽出</t>
  </si>
  <si>
    <t>IP260</t>
  </si>
  <si>
    <t>苏家湾隧进</t>
  </si>
  <si>
    <t>IP261</t>
  </si>
  <si>
    <t>IP262</t>
  </si>
  <si>
    <t>苏家湾隧出</t>
  </si>
  <si>
    <t>袁家沟渡槽进</t>
  </si>
  <si>
    <t>袁家沟渡槽出</t>
  </si>
  <si>
    <t>坐牛堂隧进</t>
  </si>
  <si>
    <t>IP263</t>
  </si>
  <si>
    <t>IP264</t>
  </si>
  <si>
    <t>坐牛堂隧出</t>
  </si>
  <si>
    <t>邓家湾泄水闸进</t>
  </si>
  <si>
    <t>邓家湾泄水闸出</t>
  </si>
  <si>
    <t>邓家湾渡槽进</t>
  </si>
  <si>
    <t>邓家湾渡槽出</t>
  </si>
  <si>
    <t>IP265</t>
  </si>
  <si>
    <t>姚家大坡隧进</t>
  </si>
  <si>
    <t>IP266</t>
  </si>
  <si>
    <t>姚家大坡隧出</t>
  </si>
  <si>
    <t>IP267</t>
  </si>
  <si>
    <t>龚家湾隧进</t>
  </si>
  <si>
    <t>龚家湾隧出</t>
  </si>
  <si>
    <t>龚家湾1#渡槽进</t>
  </si>
  <si>
    <t>IP268</t>
  </si>
  <si>
    <t>IP269</t>
  </si>
  <si>
    <t>IP270</t>
  </si>
  <si>
    <t>龚家湾1#渡槽出</t>
  </si>
  <si>
    <t>IP271</t>
  </si>
  <si>
    <t>IP272</t>
  </si>
  <si>
    <t>龙家湾渡槽进</t>
  </si>
  <si>
    <t>龙家湾渡槽出</t>
  </si>
  <si>
    <t>IP273</t>
  </si>
  <si>
    <t>IP274</t>
  </si>
  <si>
    <t>IP275</t>
  </si>
  <si>
    <t>IP276</t>
  </si>
  <si>
    <t>IP277</t>
  </si>
  <si>
    <t>IP278</t>
  </si>
  <si>
    <t>IP279</t>
  </si>
  <si>
    <t>IP280</t>
  </si>
  <si>
    <t>IP281</t>
  </si>
  <si>
    <t>IP282</t>
  </si>
  <si>
    <t>IP283</t>
  </si>
  <si>
    <t>IP284</t>
  </si>
  <si>
    <t>IP285</t>
  </si>
  <si>
    <t>天台山隧进</t>
  </si>
  <si>
    <t>天台山隧出</t>
  </si>
  <si>
    <t>IP286</t>
  </si>
  <si>
    <t>IP287</t>
  </si>
  <si>
    <t>牯牛坡隧进</t>
  </si>
  <si>
    <t>牯牛坡隧出</t>
  </si>
  <si>
    <t>李家湾渡槽进</t>
  </si>
  <si>
    <t>李家湾渡槽出</t>
  </si>
  <si>
    <t>IP288</t>
  </si>
  <si>
    <t>罗家桥渡槽进</t>
  </si>
  <si>
    <t>罗家桥渡槽出</t>
  </si>
  <si>
    <t>IP289</t>
  </si>
  <si>
    <t>IP290</t>
  </si>
  <si>
    <t>IP291</t>
  </si>
  <si>
    <t>IP292</t>
  </si>
  <si>
    <t>渝蓉高速倒虹管进</t>
  </si>
  <si>
    <t>渝蓉高速倒虹管出</t>
  </si>
  <si>
    <t>IP302</t>
  </si>
  <si>
    <t>梁家湾渡槽进</t>
  </si>
  <si>
    <t>IP303</t>
  </si>
  <si>
    <t>IP304</t>
  </si>
  <si>
    <t>IP305</t>
  </si>
  <si>
    <t>梁家湾渡槽出</t>
  </si>
  <si>
    <t>IP306</t>
  </si>
  <si>
    <t>IP307</t>
  </si>
  <si>
    <t>IP308</t>
  </si>
  <si>
    <t>谭家沟渡槽进</t>
  </si>
  <si>
    <t>谭家沟渡槽出</t>
  </si>
  <si>
    <t>棕树湾隧进</t>
  </si>
  <si>
    <t>棕树湾隧出</t>
  </si>
  <si>
    <t>IP309</t>
  </si>
  <si>
    <t>IP310</t>
  </si>
  <si>
    <t>IP311</t>
  </si>
  <si>
    <t>IP312</t>
  </si>
  <si>
    <t>芋荷沟隧进</t>
  </si>
  <si>
    <t>IP313</t>
  </si>
  <si>
    <t>IP314</t>
  </si>
  <si>
    <t>IP315</t>
  </si>
  <si>
    <t>IP316</t>
  </si>
  <si>
    <t>IP317</t>
  </si>
  <si>
    <t>芋荷沟隧出</t>
  </si>
  <si>
    <t>IP318</t>
  </si>
  <si>
    <t>IP319</t>
  </si>
  <si>
    <t>龙泉寺隧进</t>
  </si>
  <si>
    <t>IP320</t>
  </si>
  <si>
    <t>IP321</t>
  </si>
  <si>
    <t>IP322</t>
  </si>
  <si>
    <t>IP323</t>
  </si>
  <si>
    <t>IP324</t>
  </si>
  <si>
    <t>龙泉寺隧出</t>
  </si>
  <si>
    <t>IP325</t>
  </si>
  <si>
    <t>IP326</t>
  </si>
  <si>
    <t>陈家湾渡槽进</t>
  </si>
  <si>
    <t>陈家湾渡槽出</t>
  </si>
  <si>
    <t>IP327</t>
  </si>
  <si>
    <t>IP328</t>
  </si>
  <si>
    <t>黄家湾隧进</t>
  </si>
  <si>
    <t>IP329</t>
  </si>
  <si>
    <t>IP330</t>
  </si>
  <si>
    <t>黄家湾隧出</t>
  </si>
  <si>
    <t>IP331</t>
  </si>
  <si>
    <t>IP332</t>
  </si>
  <si>
    <t>垭口隧进</t>
  </si>
  <si>
    <t>IP333</t>
  </si>
  <si>
    <t>垭口隧出</t>
  </si>
  <si>
    <t>IP334</t>
  </si>
  <si>
    <t>宝石分水闸进</t>
  </si>
  <si>
    <t>宝石分水闸出</t>
  </si>
  <si>
    <t>龙口村隧进</t>
  </si>
  <si>
    <t>IP335</t>
  </si>
  <si>
    <t>龙口村隧出</t>
  </si>
  <si>
    <t>IP336</t>
  </si>
  <si>
    <t>龙口村泄水闸进</t>
  </si>
  <si>
    <t>龙口村泄水闸出</t>
  </si>
  <si>
    <t>龙口村渡槽进</t>
  </si>
  <si>
    <t>IP337</t>
  </si>
  <si>
    <t>IP338</t>
  </si>
  <si>
    <t>IP339</t>
  </si>
  <si>
    <t>龙口村渡槽出</t>
  </si>
  <si>
    <t>王家湾隧进</t>
  </si>
  <si>
    <t>IP340</t>
  </si>
  <si>
    <t>IP341</t>
  </si>
  <si>
    <t>王家湾隧出</t>
  </si>
  <si>
    <t>青山湾渡槽进</t>
  </si>
  <si>
    <t>IP342</t>
  </si>
  <si>
    <t>青山湾渡槽出</t>
  </si>
  <si>
    <t>四方坡隧进</t>
  </si>
  <si>
    <t>IP343</t>
  </si>
  <si>
    <t>IP344</t>
  </si>
  <si>
    <t>IP345</t>
  </si>
  <si>
    <t>IP346</t>
  </si>
  <si>
    <t>IP347</t>
  </si>
  <si>
    <t>IP348</t>
  </si>
  <si>
    <t>IP349</t>
  </si>
  <si>
    <t>四方坡隧出</t>
  </si>
  <si>
    <t>IP350</t>
  </si>
  <si>
    <t>丹山水库分水闸进</t>
  </si>
  <si>
    <t>丹山水库分水闸出</t>
  </si>
  <si>
    <t>IP351</t>
  </si>
  <si>
    <t>菩萨湾渡槽进</t>
  </si>
  <si>
    <t>菩萨湾渡槽出</t>
  </si>
  <si>
    <t>菩萨湾暗渠进</t>
  </si>
  <si>
    <t>菩萨湾暗渠出</t>
  </si>
  <si>
    <t>高坡隧进</t>
  </si>
  <si>
    <t>IP352</t>
  </si>
  <si>
    <t>IP353</t>
  </si>
  <si>
    <t>IP354</t>
  </si>
  <si>
    <t>IP355</t>
  </si>
  <si>
    <t>高坡隧出</t>
  </si>
  <si>
    <t>谢家坝暗渠进</t>
  </si>
  <si>
    <t>谢家坝暗渠出</t>
  </si>
  <si>
    <t>谢家坝隧进</t>
  </si>
  <si>
    <t>IP356</t>
  </si>
  <si>
    <t>IP357</t>
  </si>
  <si>
    <t>谢家坝隧出</t>
  </si>
  <si>
    <t>罗家沟渡槽进</t>
  </si>
  <si>
    <t>罗家沟渡槽出</t>
  </si>
  <si>
    <t>古镜寺隧进</t>
  </si>
  <si>
    <t>IP358</t>
  </si>
  <si>
    <t>古镜寺隧出</t>
  </si>
  <si>
    <t>朝阳观渡槽进</t>
  </si>
  <si>
    <t>朝阳观渡槽出</t>
  </si>
  <si>
    <t>IP359</t>
  </si>
  <si>
    <t>IP360</t>
  </si>
  <si>
    <t>IP361</t>
  </si>
  <si>
    <t>IP362</t>
  </si>
  <si>
    <t>炭窑沟1#渡槽进</t>
  </si>
  <si>
    <t>IP363</t>
  </si>
  <si>
    <t>炭窑沟1#渡槽出</t>
  </si>
  <si>
    <t>IP364</t>
  </si>
  <si>
    <t>IP365</t>
  </si>
  <si>
    <t>炭窑沟2#渡槽进</t>
  </si>
  <si>
    <t>炭窑沟2#渡槽出</t>
  </si>
  <si>
    <t>吴家院子隧进</t>
  </si>
  <si>
    <t>吴家院子隧出</t>
  </si>
  <si>
    <t>牛草堰渡槽进</t>
  </si>
  <si>
    <t>IP366</t>
  </si>
  <si>
    <t>牛草堰渡槽出</t>
  </si>
  <si>
    <t>IP367</t>
  </si>
  <si>
    <t>IP368</t>
  </si>
  <si>
    <t>花生基渡槽进</t>
  </si>
  <si>
    <t>IP369</t>
  </si>
  <si>
    <t>花生基渡槽出</t>
  </si>
  <si>
    <t>IP370</t>
  </si>
  <si>
    <t>IP371</t>
  </si>
  <si>
    <t>吴家大院子倒虹管进</t>
  </si>
  <si>
    <t>吴家大院子倒虹管出</t>
  </si>
  <si>
    <t>杨家湾隧进</t>
  </si>
  <si>
    <t>IP374</t>
  </si>
  <si>
    <t>IP375</t>
  </si>
  <si>
    <t>IP376</t>
  </si>
  <si>
    <t>杨家湾隧出</t>
  </si>
  <si>
    <t>IP377</t>
  </si>
  <si>
    <t>IP378</t>
  </si>
  <si>
    <t>IP379</t>
  </si>
  <si>
    <t>桂花厅渡槽进</t>
  </si>
  <si>
    <t>IP380</t>
  </si>
  <si>
    <t>桂花厅渡槽出</t>
  </si>
  <si>
    <t>IP381</t>
  </si>
  <si>
    <t>仁义坝渡槽进</t>
  </si>
  <si>
    <t>仁义坝渡槽出</t>
  </si>
  <si>
    <t>仁义坝隧进</t>
  </si>
  <si>
    <t>仁义坝隧出</t>
  </si>
  <si>
    <t>IP382</t>
  </si>
  <si>
    <t>长坡隧进</t>
  </si>
  <si>
    <t>IP383</t>
  </si>
  <si>
    <t>长坡隧出</t>
  </si>
  <si>
    <t>IP384</t>
  </si>
  <si>
    <t>IP385</t>
  </si>
  <si>
    <t>秦家湾渡槽进</t>
  </si>
  <si>
    <t>IP386</t>
  </si>
  <si>
    <t>IP387</t>
  </si>
  <si>
    <t>秦家湾渡槽出</t>
  </si>
  <si>
    <t>小沟湾渡槽进</t>
  </si>
  <si>
    <t>IP388</t>
  </si>
  <si>
    <t>小沟湾渡槽出</t>
  </si>
  <si>
    <t>IP389</t>
  </si>
  <si>
    <t>IP390</t>
  </si>
  <si>
    <t>宝堂寺渡槽进</t>
  </si>
  <si>
    <t>宝堂寺渡槽出</t>
  </si>
  <si>
    <t>IP391</t>
  </si>
  <si>
    <t>IP392</t>
  </si>
  <si>
    <t>IP393</t>
  </si>
  <si>
    <t>窑厂湾隧进</t>
  </si>
  <si>
    <t>IP394</t>
  </si>
  <si>
    <t>IP395</t>
  </si>
  <si>
    <t>IP396</t>
  </si>
  <si>
    <t>IP397</t>
  </si>
  <si>
    <t>窑厂湾隧出</t>
  </si>
  <si>
    <t>小袁家沟暗渠进</t>
  </si>
  <si>
    <t>小袁家沟暗渠出</t>
  </si>
  <si>
    <t>IP398</t>
  </si>
  <si>
    <t>IP399</t>
  </si>
  <si>
    <t>小袁家沟渡槽进</t>
  </si>
  <si>
    <t>IP400</t>
  </si>
  <si>
    <t>小袁家沟渡槽出</t>
  </si>
  <si>
    <t>七星桥隧进</t>
  </si>
  <si>
    <t>IP401</t>
  </si>
  <si>
    <t>IP402</t>
  </si>
  <si>
    <t>七星桥隧出</t>
  </si>
  <si>
    <t>IP403</t>
  </si>
  <si>
    <t>IP404</t>
  </si>
  <si>
    <t>店子沟渡槽进</t>
  </si>
  <si>
    <t>IP405</t>
  </si>
  <si>
    <t>店子沟渡槽出</t>
  </si>
  <si>
    <t>瓦厂湾隧进</t>
  </si>
  <si>
    <t>IP406</t>
  </si>
  <si>
    <t>瓦厂湾隧出</t>
  </si>
  <si>
    <t>桐油湾渡槽进</t>
  </si>
  <si>
    <t>桐油湾渡槽出</t>
  </si>
  <si>
    <t>灵泉洞隧进</t>
  </si>
  <si>
    <t>IP407</t>
  </si>
  <si>
    <t>IP408</t>
  </si>
  <si>
    <t>IP409</t>
  </si>
  <si>
    <t>灵泉洞隧出</t>
  </si>
  <si>
    <t>古柏树隧进</t>
  </si>
  <si>
    <t>IP410</t>
  </si>
  <si>
    <t>古柏树隧出</t>
  </si>
  <si>
    <t>复兴沟隧进</t>
  </si>
  <si>
    <t>IP411</t>
  </si>
  <si>
    <t>复兴沟隧出</t>
  </si>
  <si>
    <t>林家沟隧进</t>
  </si>
  <si>
    <t>IP412</t>
  </si>
  <si>
    <t>林家沟隧出</t>
  </si>
  <si>
    <t>复兴寺隧进</t>
  </si>
  <si>
    <t>复兴寺隧出</t>
  </si>
  <si>
    <t>双碑沟隧进</t>
  </si>
  <si>
    <t>双碑沟隧出</t>
  </si>
  <si>
    <t>何家大院隧进</t>
  </si>
  <si>
    <t>IP413</t>
  </si>
  <si>
    <t>何家大院隧出</t>
  </si>
  <si>
    <t>吕家沟隧进</t>
  </si>
  <si>
    <t>IP414</t>
  </si>
  <si>
    <t>吕家沟隧出</t>
  </si>
  <si>
    <t>吕家沟渡槽进</t>
  </si>
  <si>
    <t>吕家沟渡槽出</t>
  </si>
  <si>
    <t>杉木湾1#隧进</t>
  </si>
  <si>
    <t>杉木湾1#隧出</t>
  </si>
  <si>
    <t>IP415</t>
  </si>
  <si>
    <t>杉木湾2#隧进</t>
  </si>
  <si>
    <t>杉木湾2#隧出</t>
  </si>
  <si>
    <t>IP416</t>
  </si>
  <si>
    <t>IP417</t>
  </si>
  <si>
    <t>吴家坝渡槽进</t>
  </si>
  <si>
    <t>吴家坝渡槽出</t>
  </si>
  <si>
    <t>IP418</t>
  </si>
  <si>
    <t>IP419</t>
  </si>
  <si>
    <t>IP420</t>
  </si>
  <si>
    <t>IP421</t>
  </si>
  <si>
    <t>IP422</t>
  </si>
  <si>
    <t>IP423</t>
  </si>
  <si>
    <t>乌木厅1#隧进</t>
  </si>
  <si>
    <t>IP424</t>
  </si>
  <si>
    <t>乌木厅1#隧出</t>
  </si>
  <si>
    <t>乌木厅2#隧进</t>
  </si>
  <si>
    <t>IP425</t>
  </si>
  <si>
    <t>乌木厅2#隧出</t>
  </si>
  <si>
    <t>IP426</t>
  </si>
  <si>
    <t>IP427</t>
  </si>
  <si>
    <t>IP428</t>
  </si>
  <si>
    <t>IP429</t>
  </si>
  <si>
    <t>IP430</t>
  </si>
  <si>
    <t>马尾坡渡槽进</t>
  </si>
  <si>
    <t>马尾坡渡槽出</t>
  </si>
  <si>
    <t>蒋家湾隧进</t>
  </si>
  <si>
    <t>蒋家湾隧出</t>
  </si>
  <si>
    <t>IP431</t>
  </si>
  <si>
    <t xml:space="preserve"> </t>
  </si>
  <si>
    <t>坐标值编号桩号</t>
  </si>
  <si>
    <t>半径</t>
  </si>
  <si>
    <t>平面转角α()XYZ</t>
  </si>
  <si>
    <t>切线长</t>
  </si>
  <si>
    <t>弧长</t>
  </si>
  <si>
    <t>IP直线间距</t>
  </si>
  <si>
    <t>弯前BC</t>
  </si>
  <si>
    <t>里程MC</t>
  </si>
  <si>
    <t>弯后EC</t>
  </si>
  <si>
    <t>弯道水损</t>
  </si>
  <si>
    <t>BC坐标X</t>
  </si>
  <si>
    <t>BC坐标Y</t>
  </si>
  <si>
    <t>MC坐标X</t>
  </si>
  <si>
    <t>MC坐标Y</t>
  </si>
  <si>
    <t>EC坐标X</t>
  </si>
  <si>
    <t>EC坐标Y</t>
  </si>
  <si>
    <t>线段判断</t>
  </si>
  <si>
    <t>线起点X</t>
  </si>
  <si>
    <t>线起点Y</t>
  </si>
  <si>
    <t>起点底高程</t>
  </si>
  <si>
    <t>线中点X</t>
  </si>
  <si>
    <t>线中点Y</t>
  </si>
  <si>
    <t>中点底高程</t>
  </si>
  <si>
    <t>线末点X</t>
  </si>
  <si>
    <t>线末点Y</t>
  </si>
  <si>
    <t>末点底高程</t>
  </si>
  <si>
    <t>渠顶高程</t>
  </si>
  <si>
    <t>竖线</t>
  </si>
  <si>
    <t>渠底线</t>
  </si>
  <si>
    <t>水面线</t>
  </si>
  <si>
    <t>渠顶线</t>
  </si>
  <si>
    <t>渠底文字</t>
  </si>
  <si>
    <t>渠顶文字</t>
  </si>
  <si>
    <t>水面文字</t>
  </si>
  <si>
    <t>桩号</t>
  </si>
  <si>
    <t>R</t>
  </si>
  <si>
    <t>α</t>
  </si>
  <si>
    <t>T</t>
  </si>
  <si>
    <t>S</t>
  </si>
  <si>
    <t>出</t>
  </si>
  <si>
    <t>IP12</t>
  </si>
  <si>
    <t>IP13</t>
  </si>
  <si>
    <t>IP14</t>
  </si>
  <si>
    <t>IP29</t>
  </si>
  <si>
    <t>IP30</t>
  </si>
  <si>
    <t>IP31</t>
  </si>
  <si>
    <t>IP32</t>
  </si>
  <si>
    <t>IP33</t>
  </si>
  <si>
    <t>IP34</t>
  </si>
  <si>
    <t>IP35</t>
  </si>
  <si>
    <t>IP36</t>
  </si>
  <si>
    <t>IP37</t>
  </si>
  <si>
    <t>IP135</t>
  </si>
  <si>
    <t>IP136</t>
  </si>
  <si>
    <t>IP137</t>
  </si>
  <si>
    <t>IP138</t>
  </si>
  <si>
    <t>IP139</t>
  </si>
  <si>
    <t>IP140</t>
  </si>
  <si>
    <t>IP141</t>
  </si>
  <si>
    <t>IP142</t>
  </si>
  <si>
    <t>IP143</t>
  </si>
  <si>
    <t>IP144</t>
  </si>
  <si>
    <t>IP145</t>
  </si>
  <si>
    <t>IP146</t>
  </si>
  <si>
    <t>IP147</t>
  </si>
  <si>
    <t>IP148</t>
  </si>
  <si>
    <t>IP149</t>
  </si>
  <si>
    <t>IP218</t>
  </si>
  <si>
    <t>IP219</t>
  </si>
  <si>
    <t>IP220</t>
  </si>
  <si>
    <t>IP221</t>
  </si>
  <si>
    <t>IP222</t>
  </si>
  <si>
    <t>IP223</t>
  </si>
  <si>
    <t>IP224</t>
  </si>
  <si>
    <t>IP225</t>
  </si>
  <si>
    <t>IP226</t>
  </si>
  <si>
    <t>IP227</t>
  </si>
  <si>
    <t>IP228</t>
  </si>
  <si>
    <t>IP229</t>
  </si>
  <si>
    <t>IP230</t>
  </si>
  <si>
    <t>大堰分水点</t>
  </si>
  <si>
    <t>大龙沟分水点</t>
  </si>
  <si>
    <t>邓家分水点</t>
  </si>
  <si>
    <t>IP293</t>
  </si>
  <si>
    <t>IP294</t>
  </si>
  <si>
    <t>IP295</t>
  </si>
  <si>
    <t>IP296</t>
  </si>
  <si>
    <t>IP297</t>
  </si>
  <si>
    <t>IP298</t>
  </si>
  <si>
    <t>IP299</t>
  </si>
  <si>
    <t>IP300</t>
  </si>
  <si>
    <t>IP301</t>
  </si>
  <si>
    <t>桂林分水</t>
  </si>
  <si>
    <t>黄家湾1#渡槽进</t>
  </si>
  <si>
    <t>黄家湾1#渡槽出</t>
  </si>
  <si>
    <t>黄家湾2#渡槽进</t>
  </si>
  <si>
    <t>黄家湾2#渡槽出</t>
  </si>
  <si>
    <t>石湍分水点</t>
  </si>
  <si>
    <t>IP372</t>
  </si>
  <si>
    <t>IP373</t>
  </si>
  <si>
    <t>坐标值</t>
  </si>
  <si>
    <t>弯道参数</t>
  </si>
  <si>
    <t>渠底高程(m)</t>
  </si>
  <si>
    <t>E(m)</t>
  </si>
  <si>
    <t>N(m)</t>
  </si>
  <si>
    <t>弯前(km+m)</t>
  </si>
  <si>
    <t>弯后(km+m)</t>
  </si>
  <si>
    <t>α(°）</t>
  </si>
  <si>
    <t>R(m)</t>
  </si>
  <si>
    <t>T(m)</t>
  </si>
  <si>
    <t>S(m)</t>
  </si>
  <si>
    <t>狗跳地泄水闸</t>
  </si>
  <si>
    <t>段家隧洞进</t>
  </si>
  <si>
    <t>段家隧洞出</t>
  </si>
  <si>
    <t>/</t>
  </si>
  <si>
    <t>杨溪河泄水闸</t>
  </si>
  <si>
    <t>菱角泄水闸</t>
  </si>
  <si>
    <t>驼子桥泄水闸</t>
  </si>
  <si>
    <t>小湾泄水闸</t>
  </si>
  <si>
    <t>踏水水库分水闸</t>
  </si>
  <si>
    <t>麻柳湾泄水闸</t>
  </si>
  <si>
    <t>长一沟泄水闸</t>
  </si>
  <si>
    <t>赵家沟分水闸</t>
  </si>
  <si>
    <t>-TEXT 10090.3471797291,300 3.5 0 R=20</t>
  </si>
  <si>
    <t xml:space="preserve">-TEXT 10090.3471797291,295 3.5 0 α=21.30° </t>
  </si>
  <si>
    <t xml:space="preserve">-TEXT 10090.3471797291,290 3.5 0 T=3.76 </t>
  </si>
  <si>
    <t xml:space="preserve">-TEXT 10090.3471797291,285 3.5 0 S=7.43 </t>
  </si>
  <si>
    <t>流量段</t>
  </si>
  <si>
    <t>坡降</t>
  </si>
  <si>
    <t>设计流量</t>
  </si>
  <si>
    <t>加大流量</t>
  </si>
  <si>
    <t>渠底宽B</t>
  </si>
  <si>
    <t>渠道高H</t>
  </si>
  <si>
    <t>设计水深h1</t>
  </si>
  <si>
    <t>壁厚t1</t>
  </si>
  <si>
    <t>拉杆厚度t2</t>
  </si>
  <si>
    <t>-TEXT 10209.9879519949,300 3.5 0 R=20</t>
  </si>
  <si>
    <t xml:space="preserve">-TEXT 10209.9879519949,295 3.5 0 α=43.55° </t>
  </si>
  <si>
    <t xml:space="preserve">-TEXT 10209.9879519949,290 3.5 0 T=7.99 </t>
  </si>
  <si>
    <t xml:space="preserve">-TEXT 10209.9879519949,285 3.5 0 S=15.20 </t>
  </si>
  <si>
    <t>1/i</t>
  </si>
  <si>
    <r>
      <rPr>
        <sz val="11"/>
        <color theme="1"/>
        <rFont val="等线"/>
        <charset val="134"/>
        <scheme val="minor"/>
      </rPr>
      <t>m</t>
    </r>
    <r>
      <rPr>
        <vertAlign val="superscript"/>
        <sz val="11"/>
        <color theme="1"/>
        <rFont val="等线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/s</t>
    </r>
  </si>
  <si>
    <t>m</t>
  </si>
  <si>
    <t>-TEXT 10301.0460793114,300 3.5 0 R=20</t>
  </si>
  <si>
    <t xml:space="preserve">-TEXT 10301.0460793114,295 3.5 0 α=27.53° </t>
  </si>
  <si>
    <t xml:space="preserve">-TEXT 10301.0460793114,290 3.5 0 T=4.90 </t>
  </si>
  <si>
    <t xml:space="preserve">-TEXT 10301.0460793114,285 3.5 0 S=9.61 </t>
  </si>
  <si>
    <t>矩形渠道</t>
  </si>
  <si>
    <t>一</t>
  </si>
  <si>
    <t>-TEXT 10520.5139625146,300 3.5 0 R=20</t>
  </si>
  <si>
    <t xml:space="preserve">-TEXT 10520.5139625146,295 3.5 0 α=21.54° </t>
  </si>
  <si>
    <t xml:space="preserve">-TEXT 10520.5139625146,290 3.5 0 T=3.80 </t>
  </si>
  <si>
    <t xml:space="preserve">-TEXT 10520.5139625146,285 3.5 0 S=7.52 </t>
  </si>
  <si>
    <t>二</t>
  </si>
  <si>
    <t>-TEXT 10572.6151458313,300 3.5 0 R=20</t>
  </si>
  <si>
    <t xml:space="preserve">-TEXT 10572.6151458313,295 3.5 0 α=42.98° </t>
  </si>
  <si>
    <t xml:space="preserve">-TEXT 10572.6151458313,290 3.5 0 T=7.87 </t>
  </si>
  <si>
    <t xml:space="preserve">-TEXT 10572.6151458313,285 3.5 0 S=15.00 </t>
  </si>
  <si>
    <t>三</t>
  </si>
  <si>
    <t>-TEXT 10639.5797437849,300 3.5 0 R=20</t>
  </si>
  <si>
    <t xml:space="preserve">-TEXT 10639.5797437849,295 3.5 0 α=25.90° </t>
  </si>
  <si>
    <t xml:space="preserve">-TEXT 10639.5797437849,290 3.5 0 T=4.60 </t>
  </si>
  <si>
    <t xml:space="preserve">-TEXT 10639.5797437849,285 3.5 0 S=9.04 </t>
  </si>
  <si>
    <t>四</t>
  </si>
  <si>
    <t>-TEXT 10694.2744927952,300 3.5 0 R=20</t>
  </si>
  <si>
    <t xml:space="preserve">-TEXT 10694.2744927952,295 3.5 0 α=19.07° </t>
  </si>
  <si>
    <t xml:space="preserve">-TEXT 10694.2744927952,290 3.5 0 T=3.36 </t>
  </si>
  <si>
    <t xml:space="preserve">-TEXT 10694.2744927952,285 3.5 0 S=6.66 </t>
  </si>
  <si>
    <t>五</t>
  </si>
  <si>
    <t>-TEXT 10769.3916143083,300 3.5 0 R=60</t>
  </si>
  <si>
    <t xml:space="preserve">-TEXT 10769.3916143083,295 3.5 0 α=11.88° </t>
  </si>
  <si>
    <t xml:space="preserve">-TEXT 10769.3916143083,290 3.5 0 T=6.24 </t>
  </si>
  <si>
    <t xml:space="preserve">-TEXT 10769.3916143083,285 3.5 0 S=12.44 </t>
  </si>
  <si>
    <t>六</t>
  </si>
  <si>
    <t>-TEXT 10838.6847761983,300 3.5 0 R=80</t>
  </si>
  <si>
    <t xml:space="preserve">-TEXT 10838.6847761983,295 3.5 0 α=25.72° </t>
  </si>
  <si>
    <t xml:space="preserve">-TEXT 10838.6847761983,290 3.5 0 T=18.26 </t>
  </si>
  <si>
    <t xml:space="preserve">-TEXT 10838.6847761983,285 3.5 0 S=35.90 </t>
  </si>
  <si>
    <t>七</t>
  </si>
  <si>
    <t>-TEXT 10948.2198624476,300 3.5 0 R=80</t>
  </si>
  <si>
    <t xml:space="preserve">-TEXT 10948.2198624476,295 3.5 0 α=48.02° </t>
  </si>
  <si>
    <t xml:space="preserve">-TEXT 10948.2198624476,290 3.5 0 T=35.63 </t>
  </si>
  <si>
    <t xml:space="preserve">-TEXT 10948.2198624476,285 3.5 0 S=67.05 </t>
  </si>
  <si>
    <t>八</t>
  </si>
  <si>
    <t>-TEXT 11300.967347152,300 3.5 0 R=80</t>
  </si>
  <si>
    <t xml:space="preserve">-TEXT 11300.967347152,295 3.5 0 α=24.21° </t>
  </si>
  <si>
    <t xml:space="preserve">-TEXT 11300.967347152,290 3.5 0 T=17.16 </t>
  </si>
  <si>
    <t xml:space="preserve">-TEXT 11300.967347152,285 3.5 0 S=33.80 </t>
  </si>
  <si>
    <t>-TEXT 11461.5836709626,300 3.5 0 R=80</t>
  </si>
  <si>
    <t xml:space="preserve">-TEXT 11461.5836709626,295 3.5 0 α=22.90° </t>
  </si>
  <si>
    <t xml:space="preserve">-TEXT 11461.5836709626,290 3.5 0 T=16.21 </t>
  </si>
  <si>
    <t xml:space="preserve">-TEXT 11461.5836709626,285 3.5 0 S=31.98 </t>
  </si>
  <si>
    <t>-TEXT 11533.8952920477,300 3.5 0 R=80</t>
  </si>
  <si>
    <t xml:space="preserve">-TEXT 11533.8952920477,295 3.5 0 α=14.39° </t>
  </si>
  <si>
    <t xml:space="preserve">-TEXT 11533.8952920477,290 3.5 0 T=10.10 </t>
  </si>
  <si>
    <t xml:space="preserve">-TEXT 11533.8952920477,285 3.5 0 S=20.09 </t>
  </si>
  <si>
    <t>-TEXT 11685.1077868411,300 3.5 0 R=80</t>
  </si>
  <si>
    <t xml:space="preserve">-TEXT 11685.1077868411,295 3.5 0 α=42.17° </t>
  </si>
  <si>
    <t xml:space="preserve">-TEXT 11685.1077868411,290 3.5 0 T=30.84 </t>
  </si>
  <si>
    <t xml:space="preserve">-TEXT 11685.1077868411,285 3.5 0 S=58.88 </t>
  </si>
  <si>
    <t>-TEXT 11759.0373361104,300 3.5 0 R=80</t>
  </si>
  <si>
    <t xml:space="preserve">-TEXT 11759.0373361104,295 3.5 0 α=41.89° </t>
  </si>
  <si>
    <t xml:space="preserve">-TEXT 11759.0373361104,290 3.5 0 T=30.62 </t>
  </si>
  <si>
    <t xml:space="preserve">-TEXT 11759.0373361104,285 3.5 0 S=58.49 </t>
  </si>
  <si>
    <t>-TEXT 11986.9185338502,300 3.5 0 R=80</t>
  </si>
  <si>
    <t xml:space="preserve">-TEXT 11986.9185338502,295 3.5 0 α=47.73° </t>
  </si>
  <si>
    <t xml:space="preserve">-TEXT 11986.9185338502,290 3.5 0 T=35.39 </t>
  </si>
  <si>
    <t xml:space="preserve">-TEXT 11986.9185338502,285 3.5 0 S=66.64 </t>
  </si>
  <si>
    <t>-TEXT 12222.2560665871,300 3.5 0 R=80</t>
  </si>
  <si>
    <t xml:space="preserve">-TEXT 12222.2560665871,295 3.5 0 α=32.59° </t>
  </si>
  <si>
    <t xml:space="preserve">-TEXT 12222.2560665871,290 3.5 0 T=23.39 </t>
  </si>
  <si>
    <t xml:space="preserve">-TEXT 12222.2560665871,285 3.5 0 S=45.50 </t>
  </si>
  <si>
    <t>-TEXT 12275.7201109601,300 3.5 0 R=80</t>
  </si>
  <si>
    <t xml:space="preserve">-TEXT 12275.7201109601,295 3.5 0 α=40.00° </t>
  </si>
  <si>
    <t xml:space="preserve">-TEXT 12275.7201109601,290 3.5 0 T=29.12 </t>
  </si>
  <si>
    <t xml:space="preserve">-TEXT 12275.7201109601,285 3.5 0 S=55.85 </t>
  </si>
  <si>
    <t>-TEXT 12392.5682240392,300 3.5 0 R=80</t>
  </si>
  <si>
    <t xml:space="preserve">-TEXT 12392.5682240392,295 3.5 0 α=20.53° </t>
  </si>
  <si>
    <t xml:space="preserve">-TEXT 12392.5682240392,290 3.5 0 T=14.49 </t>
  </si>
  <si>
    <t xml:space="preserve">-TEXT 12392.5682240392,285 3.5 0 S=28.67 </t>
  </si>
  <si>
    <t>-TEXT 12477.980706777,300 3.5 0 R=80</t>
  </si>
  <si>
    <t xml:space="preserve">-TEXT 12477.980706777,295 3.5 0 α=17.71° </t>
  </si>
  <si>
    <t xml:space="preserve">-TEXT 12477.980706777,290 3.5 0 T=12.47 </t>
  </si>
  <si>
    <t xml:space="preserve">-TEXT 12477.980706777,285 3.5 0 S=24.73 </t>
  </si>
  <si>
    <t>-TEXT 12568.9590265175,300 3.5 0 R=80</t>
  </si>
  <si>
    <t xml:space="preserve">-TEXT 12568.9590265175,295 3.5 0 α=38.82° </t>
  </si>
  <si>
    <t xml:space="preserve">-TEXT 12568.9590265175,290 3.5 0 T=28.19 </t>
  </si>
  <si>
    <t xml:space="preserve">-TEXT 12568.9590265175,285 3.5 0 S=54.20 </t>
  </si>
  <si>
    <t>-TEXT 12611.7914346954,300 3.5 0 R=80</t>
  </si>
  <si>
    <t xml:space="preserve">-TEXT 12611.7914346954,295 3.5 0 α=46.51° </t>
  </si>
  <si>
    <t xml:space="preserve">-TEXT 12611.7914346954,290 3.5 0 T=34.38 </t>
  </si>
  <si>
    <t xml:space="preserve">-TEXT 12611.7914346954,285 3.5 0 S=64.94 </t>
  </si>
  <si>
    <t>-TEXT 12732.886724607,300 3.5 0 R=80</t>
  </si>
  <si>
    <t xml:space="preserve">-TEXT 12732.886724607,295 3.5 0 α=27.01° </t>
  </si>
  <si>
    <t xml:space="preserve">-TEXT 12732.886724607,290 3.5 0 T=19.21 </t>
  </si>
  <si>
    <t xml:space="preserve">-TEXT 12732.886724607,285 3.5 0 S=37.71 </t>
  </si>
  <si>
    <t>-TEXT 12796.7169424744,300 3.5 0 R=40</t>
  </si>
  <si>
    <t xml:space="preserve">-TEXT 12796.7169424744,295 3.5 0 α=34.43° </t>
  </si>
  <si>
    <t xml:space="preserve">-TEXT 12796.7169424744,290 3.5 0 T=12.40 </t>
  </si>
  <si>
    <t xml:space="preserve">-TEXT 12796.7169424744,285 3.5 0 S=24.04 </t>
  </si>
  <si>
    <t>-TEXT 12834.2823316766,300 3.5 0 R=40</t>
  </si>
  <si>
    <t xml:space="preserve">-TEXT 12834.2823316766,295 3.5 0 α=51.51° </t>
  </si>
  <si>
    <t xml:space="preserve">-TEXT 12834.2823316766,290 3.5 0 T=19.30 </t>
  </si>
  <si>
    <t xml:space="preserve">-TEXT 12834.2823316766,285 3.5 0 S=35.96 </t>
  </si>
  <si>
    <t>-TEXT 13088.3734570669,300 3.5 0 R=60</t>
  </si>
  <si>
    <t xml:space="preserve">-TEXT 13088.3734570669,295 3.5 0 α=46.81° </t>
  </si>
  <si>
    <t xml:space="preserve">-TEXT 13088.3734570669,290 3.5 0 T=25.97 </t>
  </si>
  <si>
    <t xml:space="preserve">-TEXT 13088.3734570669,285 3.5 0 S=49.02 </t>
  </si>
  <si>
    <t>-TEXT 13583.8516571977,300 3.5 0 R=80</t>
  </si>
  <si>
    <t xml:space="preserve">-TEXT 13583.8516571977,295 3.5 0 α=48.30° </t>
  </si>
  <si>
    <t xml:space="preserve">-TEXT 13583.8516571977,290 3.5 0 T=35.87 </t>
  </si>
  <si>
    <t xml:space="preserve">-TEXT 13583.8516571977,285 3.5 0 S=67.44 </t>
  </si>
  <si>
    <t>-TEXT 13698.0439949254,300 3.5 0 R=80</t>
  </si>
  <si>
    <t xml:space="preserve">-TEXT 13698.0439949254,295 3.5 0 α=13.96° </t>
  </si>
  <si>
    <t xml:space="preserve">-TEXT 13698.0439949254,290 3.5 0 T=9.79 </t>
  </si>
  <si>
    <t xml:space="preserve">-TEXT 13698.0439949254,285 3.5 0 S=19.48 </t>
  </si>
  <si>
    <t>-TEXT 13894.6707679386,300 3.5 0 R=80</t>
  </si>
  <si>
    <t xml:space="preserve">-TEXT 13894.6707679386,295 3.5 0 α=34.15° </t>
  </si>
  <si>
    <t xml:space="preserve">-TEXT 13894.6707679386,290 3.5 0 T=24.58 </t>
  </si>
  <si>
    <t xml:space="preserve">-TEXT 13894.6707679386,285 3.5 0 S=47.69 </t>
  </si>
  <si>
    <t>-TEXT 13957.7347240742,300 3.5 0 R=80</t>
  </si>
  <si>
    <t xml:space="preserve">-TEXT 13957.7347240742,295 3.5 0 α=56.68° </t>
  </si>
  <si>
    <t xml:space="preserve">-TEXT 13957.7347240742,290 3.5 0 T=43.14 </t>
  </si>
  <si>
    <t xml:space="preserve">-TEXT 13957.7347240742,285 3.5 0 S=79.13 </t>
  </si>
  <si>
    <t>-TEXT 14265.4008821617,300 3.5 0 R=80</t>
  </si>
  <si>
    <t xml:space="preserve">-TEXT 14265.4008821617,295 3.5 0 α=54.12° </t>
  </si>
  <si>
    <t xml:space="preserve">-TEXT 14265.4008821617,290 3.5 0 T=40.87 </t>
  </si>
  <si>
    <t xml:space="preserve">-TEXT 14265.4008821617,285 3.5 0 S=75.56 </t>
  </si>
  <si>
    <t>-TEXT 14377.15145133,300 3.5 0 R=80</t>
  </si>
  <si>
    <t xml:space="preserve">-TEXT 14377.15145133,295 3.5 0 α=16.35° </t>
  </si>
  <si>
    <t xml:space="preserve">-TEXT 14377.15145133,290 3.5 0 T=11.49 </t>
  </si>
  <si>
    <t xml:space="preserve">-TEXT 14377.15145133,285 3.5 0 S=22.83 </t>
  </si>
  <si>
    <t>-TEXT 14504.0223508532,300 3.5 0 R=80</t>
  </si>
  <si>
    <t xml:space="preserve">-TEXT 14504.0223508532,295 3.5 0 α=13.20° </t>
  </si>
  <si>
    <t xml:space="preserve">-TEXT 14504.0223508532,290 3.5 0 T=9.25 </t>
  </si>
  <si>
    <t xml:space="preserve">-TEXT 14504.0223508532,285 3.5 0 S=18.43 </t>
  </si>
  <si>
    <t>-TEXT 14790.815601245,300 3.5 0 R=80</t>
  </si>
  <si>
    <t xml:space="preserve">-TEXT 14790.815601245,295 3.5 0 α=34.82° </t>
  </si>
  <si>
    <t xml:space="preserve">-TEXT 14790.815601245,290 3.5 0 T=25.08 </t>
  </si>
  <si>
    <t xml:space="preserve">-TEXT 14790.815601245,285 3.5 0 S=48.61 </t>
  </si>
  <si>
    <t>-TEXT 14956.3785640144,300 3.5 0 R=80</t>
  </si>
  <si>
    <t xml:space="preserve">-TEXT 14956.3785640144,295 3.5 0 α=29.45° </t>
  </si>
  <si>
    <t xml:space="preserve">-TEXT 14956.3785640144,290 3.5 0 T=21.03 </t>
  </si>
  <si>
    <t xml:space="preserve">-TEXT 14956.3785640144,285 3.5 0 S=41.12 </t>
  </si>
  <si>
    <t>-TEXT 15211.5225684382,300 3.5 0 R=80</t>
  </si>
  <si>
    <t xml:space="preserve">-TEXT 15211.5225684382,295 3.5 0 α=36.39° </t>
  </si>
  <si>
    <t xml:space="preserve">-TEXT 15211.5225684382,290 3.5 0 T=26.30 </t>
  </si>
  <si>
    <t xml:space="preserve">-TEXT 15211.5225684382,285 3.5 0 S=50.82 </t>
  </si>
  <si>
    <t>-TEXT 15596.5431130453,300 3.5 0 R=80</t>
  </si>
  <si>
    <t xml:space="preserve">-TEXT 15596.5431130453,295 3.5 0 α=49.10° </t>
  </si>
  <si>
    <t xml:space="preserve">-TEXT 15596.5431130453,290 3.5 0 T=36.54 </t>
  </si>
  <si>
    <t xml:space="preserve">-TEXT 15596.5431130453,285 3.5 0 S=68.55 </t>
  </si>
  <si>
    <t>-TEXT 15763.5840618282,300 3.5 0 R=80</t>
  </si>
  <si>
    <t xml:space="preserve">-TEXT 15763.5840618282,295 3.5 0 α=15.99° </t>
  </si>
  <si>
    <t xml:space="preserve">-TEXT 15763.5840618282,290 3.5 0 T=11.24 </t>
  </si>
  <si>
    <t xml:space="preserve">-TEXT 15763.5840618282,285 3.5 0 S=22.33 </t>
  </si>
  <si>
    <t>-TEXT 15898.3635569476,300 3.5 0 R=80</t>
  </si>
  <si>
    <t xml:space="preserve">-TEXT 15898.3635569476,295 3.5 0 α=3.67° </t>
  </si>
  <si>
    <t xml:space="preserve">-TEXT 15898.3635569476,290 3.5 0 T=2.56 </t>
  </si>
  <si>
    <t xml:space="preserve">-TEXT 15898.3635569476,285 3.5 0 S=5.12 </t>
  </si>
  <si>
    <t>-TEXT 16003.525296633,300 3.5 0 R=80</t>
  </si>
  <si>
    <t xml:space="preserve">-TEXT 16003.525296633,295 3.5 0 α=8.97° </t>
  </si>
  <si>
    <t xml:space="preserve">-TEXT 16003.525296633,290 3.5 0 T=6.27 </t>
  </si>
  <si>
    <t xml:space="preserve">-TEXT 16003.525296633,285 3.5 0 S=12.52 </t>
  </si>
  <si>
    <t>-TEXT 16095.2696162408,300 3.5 0 R=80</t>
  </si>
  <si>
    <t xml:space="preserve">-TEXT 16095.2696162408,295 3.5 0 α=28.57° </t>
  </si>
  <si>
    <t xml:space="preserve">-TEXT 16095.2696162408,290 3.5 0 T=20.37 </t>
  </si>
  <si>
    <t xml:space="preserve">-TEXT 16095.2696162408,285 3.5 0 S=39.89 </t>
  </si>
  <si>
    <t>-TEXT 16141.8149900366,300 3.5 0 R=80</t>
  </si>
  <si>
    <t xml:space="preserve">-TEXT 16141.8149900366,295 3.5 0 α=21.21° </t>
  </si>
  <si>
    <t xml:space="preserve">-TEXT 16141.8149900366,290 3.5 0 T=14.98 </t>
  </si>
  <si>
    <t xml:space="preserve">-TEXT 16141.8149900366,285 3.5 0 S=29.62 </t>
  </si>
  <si>
    <t>-TEXT 16268.3277433784,300 3.5 0 R=80</t>
  </si>
  <si>
    <t xml:space="preserve">-TEXT 16268.3277433784,295 3.5 0 α=46.80° </t>
  </si>
  <si>
    <t xml:space="preserve">-TEXT 16268.3277433784,290 3.5 0 T=34.62 </t>
  </si>
  <si>
    <t xml:space="preserve">-TEXT 16268.3277433784,285 3.5 0 S=65.35 </t>
  </si>
  <si>
    <t>-TEXT 16329.1189772354,300 3.5 0 R=80</t>
  </si>
  <si>
    <t xml:space="preserve">-TEXT 16329.1189772354,295 3.5 0 α=15.24° </t>
  </si>
  <si>
    <t xml:space="preserve">-TEXT 16329.1189772354,290 3.5 0 T=10.70 </t>
  </si>
  <si>
    <t xml:space="preserve">-TEXT 16329.1189772354,285 3.5 0 S=21.27 </t>
  </si>
  <si>
    <t>-TEXT 16395.0269030645,300 3.5 0 R=80</t>
  </si>
  <si>
    <t xml:space="preserve">-TEXT 16395.0269030645,295 3.5 0 α=1.65° </t>
  </si>
  <si>
    <t xml:space="preserve">-TEXT 16395.0269030645,290 3.5 0 T=1.15 </t>
  </si>
  <si>
    <t xml:space="preserve">-TEXT 16395.0269030645,285 3.5 0 S=2.31 </t>
  </si>
  <si>
    <t>-TEXT 16505.6365505249,300 3.5 0 R=80</t>
  </si>
  <si>
    <t xml:space="preserve">-TEXT 16505.6365505249,295 3.5 0 α=24.63° </t>
  </si>
  <si>
    <t xml:space="preserve">-TEXT 16505.6365505249,290 3.5 0 T=17.46 </t>
  </si>
  <si>
    <t xml:space="preserve">-TEXT 16505.6365505249,285 3.5 0 S=34.38 </t>
  </si>
  <si>
    <t>-TEXT 16629.8382443744,300 3.5 0 R=40</t>
  </si>
  <si>
    <t xml:space="preserve">-TEXT 16629.8382443744,295 3.5 0 α=17.98° </t>
  </si>
  <si>
    <t xml:space="preserve">-TEXT 16629.8382443744,290 3.5 0 T=6.33 </t>
  </si>
  <si>
    <t xml:space="preserve">-TEXT 16629.8382443744,285 3.5 0 S=12.55 </t>
  </si>
  <si>
    <t>-TEXT 16820.5715017939,300 3.5 0 R=80</t>
  </si>
  <si>
    <t xml:space="preserve">-TEXT 16820.5715017939,295 3.5 0 α=54.79° </t>
  </si>
  <si>
    <t xml:space="preserve">-TEXT 16820.5715017939,290 3.5 0 T=41.46 </t>
  </si>
  <si>
    <t xml:space="preserve">-TEXT 16820.5715017939,285 3.5 0 S=76.50 </t>
  </si>
  <si>
    <t>-TEXT 16956.3513684275,300 3.5 0 R=80</t>
  </si>
  <si>
    <t xml:space="preserve">-TEXT 16956.3513684275,295 3.5 0 α=34.53° </t>
  </si>
  <si>
    <t xml:space="preserve">-TEXT 16956.3513684275,290 3.5 0 T=24.87 </t>
  </si>
  <si>
    <t xml:space="preserve">-TEXT 16956.3513684275,285 3.5 0 S=48.22 </t>
  </si>
  <si>
    <t>-TEXT 17133.6311429601,300 3.5 0 R=60</t>
  </si>
  <si>
    <t xml:space="preserve">-TEXT 17133.6311429601,295 3.5 0 α=15.15° </t>
  </si>
  <si>
    <t xml:space="preserve">-TEXT 17133.6311429601,290 3.5 0 T=7.98 </t>
  </si>
  <si>
    <t xml:space="preserve">-TEXT 17133.6311429601,285 3.5 0 S=15.86 </t>
  </si>
  <si>
    <t>-TEXT 17184.2037315036,300 3.5 0 R=80</t>
  </si>
  <si>
    <t xml:space="preserve">-TEXT 17184.2037315036,295 3.5 0 α=19.84° </t>
  </si>
  <si>
    <t xml:space="preserve">-TEXT 17184.2037315036,290 3.5 0 T=13.99 </t>
  </si>
  <si>
    <t xml:space="preserve">-TEXT 17184.2037315036,285 3.5 0 S=27.70 </t>
  </si>
  <si>
    <t>-TEXT 17261.0625010938,300 3.5 0 R=40</t>
  </si>
  <si>
    <t xml:space="preserve">-TEXT 17261.0625010938,295 3.5 0 α=28.57° </t>
  </si>
  <si>
    <t xml:space="preserve">-TEXT 17261.0625010938,290 3.5 0 T=10.19 </t>
  </si>
  <si>
    <t xml:space="preserve">-TEXT 17261.0625010938,285 3.5 0 S=19.95 </t>
  </si>
  <si>
    <t>-TEXT 17358.3636971333,300 3.5 0 R=80</t>
  </si>
  <si>
    <t xml:space="preserve">-TEXT 17358.3636971333,295 3.5 0 α=24.55° </t>
  </si>
  <si>
    <t xml:space="preserve">-TEXT 17358.3636971333,290 3.5 0 T=17.40 </t>
  </si>
  <si>
    <t xml:space="preserve">-TEXT 17358.3636971333,285 3.5 0 S=34.28 </t>
  </si>
  <si>
    <t>-TEXT 17447.0478181667,300 3.5 0 R=80</t>
  </si>
  <si>
    <t xml:space="preserve">-TEXT 17447.0478181667,295 3.5 0 α=50.48° </t>
  </si>
  <si>
    <t xml:space="preserve">-TEXT 17447.0478181667,290 3.5 0 T=37.72 </t>
  </si>
  <si>
    <t xml:space="preserve">-TEXT 17447.0478181667,285 3.5 0 S=70.49 </t>
  </si>
  <si>
    <t>-TEXT 17531.7198184736,300 3.5 0 R=80</t>
  </si>
  <si>
    <t xml:space="preserve">-TEXT 17531.7198184736,295 3.5 0 α=31.89° </t>
  </si>
  <si>
    <t xml:space="preserve">-TEXT 17531.7198184736,290 3.5 0 T=22.85 </t>
  </si>
  <si>
    <t xml:space="preserve">-TEXT 17531.7198184736,285 3.5 0 S=44.52 </t>
  </si>
  <si>
    <t>-TEXT 17719.7424159946,300 3.5 0 R=80</t>
  </si>
  <si>
    <t xml:space="preserve">-TEXT 17719.7424159946,295 3.5 0 α=32.28° </t>
  </si>
  <si>
    <t xml:space="preserve">-TEXT 17719.7424159946,290 3.5 0 T=23.15 </t>
  </si>
  <si>
    <t xml:space="preserve">-TEXT 17719.7424159946,285 3.5 0 S=45.07 </t>
  </si>
  <si>
    <t>-TEXT 17828.4749227132,300 3.5 0 R=80</t>
  </si>
  <si>
    <t xml:space="preserve">-TEXT 17828.4749227132,295 3.5 0 α=20.03° </t>
  </si>
  <si>
    <t xml:space="preserve">-TEXT 17828.4749227132,290 3.5 0 T=14.13 </t>
  </si>
  <si>
    <t xml:space="preserve">-TEXT 17828.4749227132,285 3.5 0 S=27.97 </t>
  </si>
  <si>
    <t>-TEXT 17945.8387043411,300 3.5 0 R=30</t>
  </si>
  <si>
    <t xml:space="preserve">-TEXT 17945.8387043411,295 3.5 0 α=50.39° </t>
  </si>
  <si>
    <t xml:space="preserve">-TEXT 17945.8387043411,290 3.5 0 T=14.11 </t>
  </si>
  <si>
    <t xml:space="preserve">-TEXT 17945.8387043411,285 3.5 0 S=26.38 </t>
  </si>
  <si>
    <t>-TEXT 18114.1689693566,300 3.5 0 R=80</t>
  </si>
  <si>
    <t xml:space="preserve">-TEXT 18114.1689693566,295 3.5 0 α=14.45° </t>
  </si>
  <si>
    <t xml:space="preserve">-TEXT 18114.1689693566,290 3.5 0 T=10.14 </t>
  </si>
  <si>
    <t xml:space="preserve">-TEXT 18114.1689693566,285 3.5 0 S=20.17 </t>
  </si>
  <si>
    <t>-TEXT 18225.3595600796,300 3.5 0 R=80</t>
  </si>
  <si>
    <t xml:space="preserve">-TEXT 18225.3595600796,295 3.5 0 α=17.29° </t>
  </si>
  <si>
    <t xml:space="preserve">-TEXT 18225.3595600796,290 3.5 0 T=12.16 </t>
  </si>
  <si>
    <t xml:space="preserve">-TEXT 18225.3595600796,285 3.5 0 S=24.14 </t>
  </si>
  <si>
    <t>-TEXT 18319.324527289,300 3.5 0 R=80</t>
  </si>
  <si>
    <t xml:space="preserve">-TEXT 18319.324527289,295 3.5 0 α=43.95° </t>
  </si>
  <si>
    <t xml:space="preserve">-TEXT 18319.324527289,290 3.5 0 T=32.28 </t>
  </si>
  <si>
    <t xml:space="preserve">-TEXT 18319.324527289,285 3.5 0 S=61.37 </t>
  </si>
  <si>
    <t>-TEXT 18493.4508910259,300 3.5 0 R=80</t>
  </si>
  <si>
    <t xml:space="preserve">-TEXT 18493.4508910259,295 3.5 0 α=16.90° </t>
  </si>
  <si>
    <t xml:space="preserve">-TEXT 18493.4508910259,290 3.5 0 T=11.89 </t>
  </si>
  <si>
    <t xml:space="preserve">-TEXT 18493.4508910259,285 3.5 0 S=23.60 </t>
  </si>
  <si>
    <t>-TEXT 18714.6497230332,300 3.5 0 R=80</t>
  </si>
  <si>
    <t xml:space="preserve">-TEXT 18714.6497230332,295 3.5 0 α=2.41° </t>
  </si>
  <si>
    <t xml:space="preserve">-TEXT 18714.6497230332,290 3.5 0 T=1.68 </t>
  </si>
  <si>
    <t xml:space="preserve">-TEXT 18714.6497230332,285 3.5 0 S=3.36 </t>
  </si>
  <si>
    <t>-TEXT 18870.3782085865,300 3.5 0 R=80</t>
  </si>
  <si>
    <t xml:space="preserve">-TEXT 18870.3782085865,295 3.5 0 α=7.31° </t>
  </si>
  <si>
    <t xml:space="preserve">-TEXT 18870.3782085865,290 3.5 0 T=5.11 </t>
  </si>
  <si>
    <t xml:space="preserve">-TEXT 18870.3782085865,285 3.5 0 S=10.20 </t>
  </si>
  <si>
    <t>-TEXT 19115.0879490701,300 3.5 0 R=80</t>
  </si>
  <si>
    <t xml:space="preserve">-TEXT 19115.0879490701,295 3.5 0 α=33.85° </t>
  </si>
  <si>
    <t xml:space="preserve">-TEXT 19115.0879490701,290 3.5 0 T=24.34 </t>
  </si>
  <si>
    <t xml:space="preserve">-TEXT 19115.0879490701,285 3.5 0 S=47.26 </t>
  </si>
  <si>
    <t>-TEXT 19329.9670929992,300 3.5 0 R=80</t>
  </si>
  <si>
    <t xml:space="preserve">-TEXT 19329.9670929992,295 3.5 0 α=13.19° </t>
  </si>
  <si>
    <t xml:space="preserve">-TEXT 19329.9670929992,290 3.5 0 T=9.25 </t>
  </si>
  <si>
    <t xml:space="preserve">-TEXT 19329.9670929992,285 3.5 0 S=18.42 </t>
  </si>
  <si>
    <t>-TEXT 19604.2697287495,300 3.5 0 R=80</t>
  </si>
  <si>
    <t xml:space="preserve">-TEXT 19604.2697287495,295 3.5 0 α=29.45° </t>
  </si>
  <si>
    <t xml:space="preserve">-TEXT 19604.2697287495,290 3.5 0 T=21.02 </t>
  </si>
  <si>
    <t xml:space="preserve">-TEXT 19604.2697287495,285 3.5 0 S=41.12 </t>
  </si>
  <si>
    <t>-TEXT 19742.9055177648,300 3.5 0 R=80</t>
  </si>
  <si>
    <t xml:space="preserve">-TEXT 19742.9055177648,295 3.5 0 α=10.64° </t>
  </si>
  <si>
    <t xml:space="preserve">-TEXT 19742.9055177648,290 3.5 0 T=7.45 </t>
  </si>
  <si>
    <t xml:space="preserve">-TEXT 19742.9055177648,285 3.5 0 S=14.86 </t>
  </si>
  <si>
    <t>-TEXT 19765.6408051427,300 3.5 0 R=80</t>
  </si>
  <si>
    <t xml:space="preserve">-TEXT 19765.6408051427,295 3.5 0 α=18.39° </t>
  </si>
  <si>
    <t xml:space="preserve">-TEXT 19765.6408051427,290 3.5 0 T=12.95 </t>
  </si>
  <si>
    <t xml:space="preserve">-TEXT 19765.6408051427,285 3.5 0 S=25.68 </t>
  </si>
  <si>
    <t>-TEXT 19793.8811328999,300 3.5 0 R=80</t>
  </si>
  <si>
    <t xml:space="preserve">-TEXT 19793.8811328999,295 3.5 0 α=16.33° </t>
  </si>
  <si>
    <t xml:space="preserve">-TEXT 19793.8811328999,290 3.5 0 T=11.48 </t>
  </si>
  <si>
    <t xml:space="preserve">-TEXT 19793.8811328999,285 3.5 0 S=22.80 </t>
  </si>
  <si>
    <t>-TEXT 19834.6838506598,300 3.5 0 R=80</t>
  </si>
  <si>
    <t xml:space="preserve">-TEXT 19834.6838506598,295 3.5 0 α=30.70° </t>
  </si>
  <si>
    <t xml:space="preserve">-TEXT 19834.6838506598,290 3.5 0 T=21.96 </t>
  </si>
  <si>
    <t xml:space="preserve">-TEXT 19834.6838506598,285 3.5 0 S=42.87 </t>
  </si>
  <si>
    <t>-TEXT 19920.0811378363,300 3.5 0 R=80</t>
  </si>
  <si>
    <t xml:space="preserve">-TEXT 19920.0811378363,295 3.5 0 α=35.00° </t>
  </si>
  <si>
    <t xml:space="preserve">-TEXT 19920.0811378363,290 3.5 0 T=25.22 </t>
  </si>
  <si>
    <t xml:space="preserve">-TEXT 19920.0811378363,285 3.5 0 S=48.86 </t>
  </si>
  <si>
    <t>-TEXT 20096.9128198524,300 3.5 0 R=80</t>
  </si>
  <si>
    <t xml:space="preserve">-TEXT 20096.9128198524,295 3.5 0 α=16.82° </t>
  </si>
  <si>
    <t xml:space="preserve">-TEXT 20096.9128198524,290 3.5 0 T=11.83 </t>
  </si>
  <si>
    <t xml:space="preserve">-TEXT 20096.9128198524,285 3.5 0 S=23.49 </t>
  </si>
  <si>
    <t>-TEXT 20180.155178235,300 3.5 0 R=80</t>
  </si>
  <si>
    <t xml:space="preserve">-TEXT 20180.155178235,295 3.5 0 α=11.16° </t>
  </si>
  <si>
    <t xml:space="preserve">-TEXT 20180.155178235,290 3.5 0 T=7.82 </t>
  </si>
  <si>
    <t xml:space="preserve">-TEXT 20180.155178235,285 3.5 0 S=15.59 </t>
  </si>
  <si>
    <t>-TEXT 20299.095188717,300 3.5 0 R=80</t>
  </si>
  <si>
    <t xml:space="preserve">-TEXT 20299.095188717,295 3.5 0 α=17.91° </t>
  </si>
  <si>
    <t xml:space="preserve">-TEXT 20299.095188717,290 3.5 0 T=12.61 </t>
  </si>
  <si>
    <t xml:space="preserve">-TEXT 20299.095188717,285 3.5 0 S=25.01 </t>
  </si>
  <si>
    <t>-TEXT 20747.4440335771,300 3.5 0 R=80</t>
  </si>
  <si>
    <t xml:space="preserve">-TEXT 20747.4440335771,295 3.5 0 α=16.02° </t>
  </si>
  <si>
    <t xml:space="preserve">-TEXT 20747.4440335771,290 3.5 0 T=11.26 </t>
  </si>
  <si>
    <t xml:space="preserve">-TEXT 20747.4440335771,285 3.5 0 S=22.36 </t>
  </si>
  <si>
    <t>-TEXT 20876.6613300042,300 3.5 0 R=80</t>
  </si>
  <si>
    <t xml:space="preserve">-TEXT 20876.6613300042,295 3.5 0 α=8.54° </t>
  </si>
  <si>
    <t xml:space="preserve">-TEXT 20876.6613300042,290 3.5 0 T=5.97 </t>
  </si>
  <si>
    <t xml:space="preserve">-TEXT 20876.6613300042,285 3.5 0 S=11.93 </t>
  </si>
  <si>
    <t>-TEXT 20985.6855060307,300 3.5 0 R=40</t>
  </si>
  <si>
    <t xml:space="preserve">-TEXT 20985.6855060307,295 3.5 0 α=35.51° </t>
  </si>
  <si>
    <t xml:space="preserve">-TEXT 20985.6855060307,290 3.5 0 T=12.81 </t>
  </si>
  <si>
    <t xml:space="preserve">-TEXT 20985.6855060307,285 3.5 0 S=24.79 </t>
  </si>
  <si>
    <t>-TEXT 21004.35381185,300 3.5 0 R=40</t>
  </si>
  <si>
    <t xml:space="preserve">-TEXT 21004.35381185,295 3.5 0 α=54.42° </t>
  </si>
  <si>
    <t xml:space="preserve">-TEXT 21004.35381185,290 3.5 0 T=20.57 </t>
  </si>
  <si>
    <t xml:space="preserve">-TEXT 21004.35381185,285 3.5 0 S=37.99 </t>
  </si>
  <si>
    <t>-TEXT 21126.5690619014,300 3.5 0 R=80</t>
  </si>
  <si>
    <t xml:space="preserve">-TEXT 21126.5690619014,295 3.5 0 α=4.57° </t>
  </si>
  <si>
    <t xml:space="preserve">-TEXT 21126.5690619014,290 3.5 0 T=3.19 </t>
  </si>
  <si>
    <t xml:space="preserve">-TEXT 21126.5690619014,285 3.5 0 S=6.39 </t>
  </si>
  <si>
    <t>-TEXT 21168.3612845471,300 3.5 0 R=80</t>
  </si>
  <si>
    <t xml:space="preserve">-TEXT 21168.3612845471,295 3.5 0 α=29.41° </t>
  </si>
  <si>
    <t xml:space="preserve">-TEXT 21168.3612845471,290 3.5 0 T=21.00 </t>
  </si>
  <si>
    <t xml:space="preserve">-TEXT 21168.3612845471,285 3.5 0 S=41.07 </t>
  </si>
  <si>
    <t>-TEXT 21210.367946109,300 3.5 0 R=80</t>
  </si>
  <si>
    <t xml:space="preserve">-TEXT 21210.367946109,295 3.5 0 α=20.56° </t>
  </si>
  <si>
    <t xml:space="preserve">-TEXT 21210.367946109,290 3.5 0 T=14.51 </t>
  </si>
  <si>
    <t xml:space="preserve">-TEXT 21210.367946109,285 3.5 0 S=28.71 </t>
  </si>
  <si>
    <t>-TEXT 21362.6766998914,300 3.5 0 R=80</t>
  </si>
  <si>
    <t xml:space="preserve">-TEXT 21362.6766998914,295 3.5 0 α=28.27° </t>
  </si>
  <si>
    <t xml:space="preserve">-TEXT 21362.6766998914,290 3.5 0 T=20.15 </t>
  </si>
  <si>
    <t xml:space="preserve">-TEXT 21362.6766998914,285 3.5 0 S=39.47 </t>
  </si>
  <si>
    <t>-TEXT 21446.8020879628,300 3.5 0 R=80</t>
  </si>
  <si>
    <t xml:space="preserve">-TEXT 21446.8020879628,295 3.5 0 α=28.12° </t>
  </si>
  <si>
    <t xml:space="preserve">-TEXT 21446.8020879628,290 3.5 0 T=20.03 </t>
  </si>
  <si>
    <t xml:space="preserve">-TEXT 21446.8020879628,285 3.5 0 S=39.26 </t>
  </si>
  <si>
    <t>-TEXT 21549.7106362595,300 3.5 0 R=80</t>
  </si>
  <si>
    <t xml:space="preserve">-TEXT 21549.7106362595,295 3.5 0 α=28.53° </t>
  </si>
  <si>
    <t xml:space="preserve">-TEXT 21549.7106362595,290 3.5 0 T=20.34 </t>
  </si>
  <si>
    <t xml:space="preserve">-TEXT 21549.7106362595,285 3.5 0 S=39.84 </t>
  </si>
  <si>
    <t>-TEXT 21647.2675287581,300 3.5 0 R=80</t>
  </si>
  <si>
    <t xml:space="preserve">-TEXT 21647.2675287581,295 3.5 0 α=3.92° </t>
  </si>
  <si>
    <t xml:space="preserve">-TEXT 21647.2675287581,290 3.5 0 T=2.74 </t>
  </si>
  <si>
    <t xml:space="preserve">-TEXT 21647.2675287581,285 3.5 0 S=5.47 </t>
  </si>
  <si>
    <t>-TEXT 21822.2909434956,300 3.5 0 R=80</t>
  </si>
  <si>
    <t xml:space="preserve">-TEXT 21822.2909434956,295 3.5 0 α=15.25° </t>
  </si>
  <si>
    <t xml:space="preserve">-TEXT 21822.2909434956,290 3.5 0 T=10.71 </t>
  </si>
  <si>
    <t xml:space="preserve">-TEXT 21822.2909434956,285 3.5 0 S=21.29 </t>
  </si>
  <si>
    <t>-TEXT 21847.4080482634,300 3.5 0 R=80</t>
  </si>
  <si>
    <t xml:space="preserve">-TEXT 21847.4080482634,295 3.5 0 α=20.15° </t>
  </si>
  <si>
    <t xml:space="preserve">-TEXT 21847.4080482634,290 3.5 0 T=14.22 </t>
  </si>
  <si>
    <t xml:space="preserve">-TEXT 21847.4080482634,285 3.5 0 S=28.14 </t>
  </si>
  <si>
    <t>-TEXT 21910.4339605457,300 3.5 0 R=80</t>
  </si>
  <si>
    <t xml:space="preserve">-TEXT 21910.4339605457,295 3.5 0 α=38.93° </t>
  </si>
  <si>
    <t xml:space="preserve">-TEXT 21910.4339605457,290 3.5 0 T=28.27 </t>
  </si>
  <si>
    <t xml:space="preserve">-TEXT 21910.4339605457,285 3.5 0 S=54.35 </t>
  </si>
  <si>
    <t>-TEXT 21937.3364479667,300 3.5 0 R=80</t>
  </si>
  <si>
    <t xml:space="preserve">-TEXT 21937.3364479667,295 3.5 0 α=24.15° </t>
  </si>
  <si>
    <t xml:space="preserve">-TEXT 21937.3364479667,290 3.5 0 T=17.12 </t>
  </si>
  <si>
    <t xml:space="preserve">-TEXT 21937.3364479667,285 3.5 0 S=33.73 </t>
  </si>
  <si>
    <t>-TEXT 21969.8602174974,300 3.5 0 R=80</t>
  </si>
  <si>
    <t xml:space="preserve">-TEXT 21969.8602174974,295 3.5 0 α=13.70° </t>
  </si>
  <si>
    <t xml:space="preserve">-TEXT 21969.8602174974,290 3.5 0 T=9.61 </t>
  </si>
  <si>
    <t xml:space="preserve">-TEXT 21969.8602174974,285 3.5 0 S=19.13 </t>
  </si>
  <si>
    <t>-TEXT 22042.9041452222,300 3.5 0 R=80</t>
  </si>
  <si>
    <t xml:space="preserve">-TEXT 22042.9041452222,295 3.5 0 α=27.76° </t>
  </si>
  <si>
    <t xml:space="preserve">-TEXT 22042.9041452222,290 3.5 0 T=19.77 </t>
  </si>
  <si>
    <t xml:space="preserve">-TEXT 22042.9041452222,285 3.5 0 S=38.76 </t>
  </si>
  <si>
    <t>-TEXT 22199.324464187,300 3.5 0 R=80</t>
  </si>
  <si>
    <t xml:space="preserve">-TEXT 22199.324464187,295 3.5 0 α=8.48° </t>
  </si>
  <si>
    <t xml:space="preserve">-TEXT 22199.324464187,290 3.5 0 T=5.93 </t>
  </si>
  <si>
    <t xml:space="preserve">-TEXT 22199.324464187,285 3.5 0 S=11.84 </t>
  </si>
  <si>
    <t>-TEXT 22229.891608171,300 3.5 0 R=80</t>
  </si>
  <si>
    <t xml:space="preserve">-TEXT 22229.891608171,295 3.5 0 α=17.03° </t>
  </si>
  <si>
    <t xml:space="preserve">-TEXT 22229.891608171,290 3.5 0 T=11.98 </t>
  </si>
  <si>
    <t xml:space="preserve">-TEXT 22229.891608171,285 3.5 0 S=23.77 </t>
  </si>
  <si>
    <t>-TEXT 22276.3684971461,300 3.5 0 R=80</t>
  </si>
  <si>
    <t xml:space="preserve">-TEXT 22276.3684971461,295 3.5 0 α=12.51° </t>
  </si>
  <si>
    <t xml:space="preserve">-TEXT 22276.3684971461,290 3.5 0 T=8.77 </t>
  </si>
  <si>
    <t xml:space="preserve">-TEXT 22276.3684971461,285 3.5 0 S=17.46 </t>
  </si>
  <si>
    <t>-TEXT 22334.8336149427,300 3.5 0 R=80</t>
  </si>
  <si>
    <t xml:space="preserve">-TEXT 22334.8336149427,295 3.5 0 α=23.66° </t>
  </si>
  <si>
    <t xml:space="preserve">-TEXT 22334.8336149427,290 3.5 0 T=16.75 </t>
  </si>
  <si>
    <t xml:space="preserve">-TEXT 22334.8336149427,285 3.5 0 S=33.03 </t>
  </si>
  <si>
    <t>-TEXT 22595.5476878717,300 3.5 0 R=80</t>
  </si>
  <si>
    <t xml:space="preserve">-TEXT 22595.5476878717,295 3.5 0 α=23.66° </t>
  </si>
  <si>
    <t xml:space="preserve">-TEXT 22595.5476878717,290 3.5 0 T=16.76 </t>
  </si>
  <si>
    <t xml:space="preserve">-TEXT 22595.5476878717,285 3.5 0 S=33.04 </t>
  </si>
  <si>
    <t>-TEXT 22650.9751570019,300 3.5 0 R=80</t>
  </si>
  <si>
    <t xml:space="preserve">-TEXT 22650.9751570019,295 3.5 0 α=6.65° </t>
  </si>
  <si>
    <t xml:space="preserve">-TEXT 22650.9751570019,290 3.5 0 T=4.65 </t>
  </si>
  <si>
    <t xml:space="preserve">-TEXT 22650.9751570019,285 3.5 0 S=9.28 </t>
  </si>
  <si>
    <t>-TEXT 22764.5391013323,300 3.5 0 R=60</t>
  </si>
  <si>
    <t xml:space="preserve">-TEXT 22764.5391013323,295 3.5 0 α=46.14° </t>
  </si>
  <si>
    <t xml:space="preserve">-TEXT 22764.5391013323,290 3.5 0 T=25.55 </t>
  </si>
  <si>
    <t xml:space="preserve">-TEXT 22764.5391013323,285 3.5 0 S=48.31 </t>
  </si>
  <si>
    <t>-TEXT 22899.5835560548,300 3.5 0 R=80</t>
  </si>
  <si>
    <t xml:space="preserve">-TEXT 22899.5835560548,295 3.5 0 α=49.54° </t>
  </si>
  <si>
    <t xml:space="preserve">-TEXT 22899.5835560548,290 3.5 0 T=36.92 </t>
  </si>
  <si>
    <t xml:space="preserve">-TEXT 22899.5835560548,285 3.5 0 S=69.17 </t>
  </si>
  <si>
    <t>-TEXT 23027.8175505408,300 3.5 0 R=80</t>
  </si>
  <si>
    <t xml:space="preserve">-TEXT 23027.8175505408,295 3.5 0 α=24.42° </t>
  </si>
  <si>
    <t xml:space="preserve">-TEXT 23027.8175505408,290 3.5 0 T=17.31 </t>
  </si>
  <si>
    <t xml:space="preserve">-TEXT 23027.8175505408,285 3.5 0 S=34.09 </t>
  </si>
  <si>
    <t>-TEXT 23054.5052807191,300 3.5 0 R=80</t>
  </si>
  <si>
    <t xml:space="preserve">-TEXT 23054.5052807191,295 3.5 0 α=10.98° </t>
  </si>
  <si>
    <t xml:space="preserve">-TEXT 23054.5052807191,290 3.5 0 T=7.69 </t>
  </si>
  <si>
    <t xml:space="preserve">-TEXT 23054.5052807191,285 3.5 0 S=15.34 </t>
  </si>
  <si>
    <t>-TEXT 23107.6439089224,300 3.5 0 R=80</t>
  </si>
  <si>
    <t xml:space="preserve">-TEXT 23107.6439089224,295 3.5 0 α=12.78° </t>
  </si>
  <si>
    <t xml:space="preserve">-TEXT 23107.6439089224,290 3.5 0 T=8.96 </t>
  </si>
  <si>
    <t xml:space="preserve">-TEXT 23107.6439089224,285 3.5 0 S=17.84 </t>
  </si>
  <si>
    <t>-TEXT 23205.3382650068,300 3.5 0 R=80</t>
  </si>
  <si>
    <t xml:space="preserve">-TEXT 23205.3382650068,295 3.5 0 α=22.71° </t>
  </si>
  <si>
    <t xml:space="preserve">-TEXT 23205.3382650068,290 3.5 0 T=16.07 </t>
  </si>
  <si>
    <t xml:space="preserve">-TEXT 23205.3382650068,285 3.5 0 S=31.71 </t>
  </si>
  <si>
    <t>-TEXT 23281.7441036405,300 3.5 0 R=12</t>
  </si>
  <si>
    <t xml:space="preserve">-TEXT 23281.7441036405,295 3.5 0 α=56.97° </t>
  </si>
  <si>
    <t xml:space="preserve">-TEXT 23281.7441036405,290 3.5 0 T=6.51 </t>
  </si>
  <si>
    <t xml:space="preserve">-TEXT 23281.7441036405,285 3.5 0 S=11.93 </t>
  </si>
  <si>
    <t>-TEXT 23414.175196033,300 3.5 0 R=12</t>
  </si>
  <si>
    <t xml:space="preserve">-TEXT 23414.175196033,295 3.5 0 α=37.22° </t>
  </si>
  <si>
    <t xml:space="preserve">-TEXT 23414.175196033,290 3.5 0 T=4.04 </t>
  </si>
  <si>
    <t xml:space="preserve">-TEXT 23414.175196033,285 3.5 0 S=7.79 </t>
  </si>
  <si>
    <t>-TEXT 23531.7698733689,300 3.5 0 R=12</t>
  </si>
  <si>
    <t xml:space="preserve">-TEXT 23531.7698733689,295 3.5 0 α=31.45° </t>
  </si>
  <si>
    <t xml:space="preserve">-TEXT 23531.7698733689,290 3.5 0 T=3.38 </t>
  </si>
  <si>
    <t xml:space="preserve">-TEXT 23531.7698733689,285 3.5 0 S=6.59 </t>
  </si>
  <si>
    <t>-TEXT 23709.0188141902,300 3.5 0 R=12</t>
  </si>
  <si>
    <t xml:space="preserve">-TEXT 23709.0188141902,295 3.5 0 α=35.09° </t>
  </si>
  <si>
    <t xml:space="preserve">-TEXT 23709.0188141902,290 3.5 0 T=3.79 </t>
  </si>
  <si>
    <t xml:space="preserve">-TEXT 23709.0188141902,285 3.5 0 S=7.35 </t>
  </si>
  <si>
    <t>-TEXT 23792.9265208749,300 3.5 0 R=12</t>
  </si>
  <si>
    <t xml:space="preserve">-TEXT 23792.9265208749,295 3.5 0 α=17.17° </t>
  </si>
  <si>
    <t xml:space="preserve">-TEXT 23792.9265208749,290 3.5 0 T=1.81 </t>
  </si>
  <si>
    <t xml:space="preserve">-TEXT 23792.9265208749,285 3.5 0 S=3.60 </t>
  </si>
  <si>
    <t>-TEXT 23895.6943493108,300 3.5 0 R=12</t>
  </si>
  <si>
    <t xml:space="preserve">-TEXT 23895.6943493108,295 3.5 0 α=22.82° </t>
  </si>
  <si>
    <t xml:space="preserve">-TEXT 23895.6943493108,290 3.5 0 T=2.42 </t>
  </si>
  <si>
    <t xml:space="preserve">-TEXT 23895.6943493108,285 3.5 0 S=4.78 </t>
  </si>
  <si>
    <t>-TEXT 24093.7281141799,300 3.5 0 R=12</t>
  </si>
  <si>
    <t xml:space="preserve">-TEXT 24093.7281141799,295 3.5 0 α=22.16° </t>
  </si>
  <si>
    <t xml:space="preserve">-TEXT 24093.7281141799,290 3.5 0 T=2.35 </t>
  </si>
  <si>
    <t xml:space="preserve">-TEXT 24093.7281141799,285 3.5 0 S=4.64 </t>
  </si>
  <si>
    <t>-TEXT 24200.3434969193,300 3.5 0 R=12</t>
  </si>
  <si>
    <t xml:space="preserve">-TEXT 24200.3434969193,295 3.5 0 α=25.73° </t>
  </si>
  <si>
    <t xml:space="preserve">-TEXT 24200.3434969193,290 3.5 0 T=2.74 </t>
  </si>
  <si>
    <t xml:space="preserve">-TEXT 24200.3434969193,285 3.5 0 S=5.39 </t>
  </si>
  <si>
    <t>-TEXT 24360.6549362429,300 3.5 0 R=12</t>
  </si>
  <si>
    <t xml:space="preserve">-TEXT 24360.6549362429,295 3.5 0 α=48.26° </t>
  </si>
  <si>
    <t xml:space="preserve">-TEXT 24360.6549362429,290 3.5 0 T=5.38 </t>
  </si>
  <si>
    <t xml:space="preserve">-TEXT 24360.6549362429,285 3.5 0 S=10.11 </t>
  </si>
  <si>
    <t>-TEXT 24489.2976402349,300 3.5 0 R=12</t>
  </si>
  <si>
    <t xml:space="preserve">-TEXT 24489.2976402349,295 3.5 0 α=7.01° </t>
  </si>
  <si>
    <t xml:space="preserve">-TEXT 24489.2976402349,290 3.5 0 T=0.73 </t>
  </si>
  <si>
    <t xml:space="preserve">-TEXT 24489.2976402349,285 3.5 0 S=1.47 </t>
  </si>
  <si>
    <t>-TEXT 24594.4182254928,300 3.5 0 R=12</t>
  </si>
  <si>
    <t xml:space="preserve">-TEXT 24594.4182254928,295 3.5 0 α=15.43° </t>
  </si>
  <si>
    <t xml:space="preserve">-TEXT 24594.4182254928,290 3.5 0 T=1.63 </t>
  </si>
  <si>
    <t xml:space="preserve">-TEXT 24594.4182254928,285 3.5 0 S=3.23 </t>
  </si>
  <si>
    <t>-TEXT 24686.7929381791,300 3.5 0 R=12</t>
  </si>
  <si>
    <t xml:space="preserve">-TEXT 24686.7929381791,295 3.5 0 α=43.96° </t>
  </si>
  <si>
    <t xml:space="preserve">-TEXT 24686.7929381791,290 3.5 0 T=4.84 </t>
  </si>
  <si>
    <t xml:space="preserve">-TEXT 24686.7929381791,285 3.5 0 S=9.21 </t>
  </si>
  <si>
    <t>-TEXT 24764.1257042488,300 3.5 0 R=12</t>
  </si>
  <si>
    <t xml:space="preserve">-TEXT 24764.1257042488,295 3.5 0 α=33.72° </t>
  </si>
  <si>
    <t xml:space="preserve">-TEXT 24764.1257042488,290 3.5 0 T=3.64 </t>
  </si>
  <si>
    <t xml:space="preserve">-TEXT 24764.1257042488,285 3.5 0 S=7.06 </t>
  </si>
  <si>
    <t>-TEXT 24849.3045448047,300 3.5 0 R=12</t>
  </si>
  <si>
    <t xml:space="preserve">-TEXT 24849.3045448047,295 3.5 0 α=29.53° </t>
  </si>
  <si>
    <t xml:space="preserve">-TEXT 24849.3045448047,290 3.5 0 T=3.16 </t>
  </si>
  <si>
    <t xml:space="preserve">-TEXT 24849.3045448047,285 3.5 0 S=6.19 </t>
  </si>
  <si>
    <t>-TEXT 24925.7929508104,300 3.5 0 R=12</t>
  </si>
  <si>
    <t xml:space="preserve">-TEXT 24925.7929508104,295 3.5 0 α=15.02° </t>
  </si>
  <si>
    <t xml:space="preserve">-TEXT 24925.7929508104,290 3.5 0 T=1.58 </t>
  </si>
  <si>
    <t xml:space="preserve">-TEXT 24925.7929508104,285 3.5 0 S=3.15 </t>
  </si>
  <si>
    <t>-TEXT 25092.074009447,300 3.5 0 R=80</t>
  </si>
  <si>
    <t xml:space="preserve">-TEXT 25092.074009447,295 3.5 0 α=42.57° </t>
  </si>
  <si>
    <t xml:space="preserve">-TEXT 25092.074009447,290 3.5 0 T=31.17 </t>
  </si>
  <si>
    <t xml:space="preserve">-TEXT 25092.074009447,285 3.5 0 S=59.44 </t>
  </si>
  <si>
    <t>-TEXT 25153.0487591442,300 3.5 0 R=80</t>
  </si>
  <si>
    <t xml:space="preserve">-TEXT 25153.0487591442,295 3.5 0 α=21.58° </t>
  </si>
  <si>
    <t xml:space="preserve">-TEXT 25153.0487591442,290 3.5 0 T=15.24 </t>
  </si>
  <si>
    <t xml:space="preserve">-TEXT 25153.0487591442,285 3.5 0 S=30.12 </t>
  </si>
  <si>
    <t>-TEXT 25204.7547174386,300 3.5 0 R=80</t>
  </si>
  <si>
    <t xml:space="preserve">-TEXT 25204.7547174386,295 3.5 0 α=29.29° </t>
  </si>
  <si>
    <t xml:space="preserve">-TEXT 25204.7547174386,290 3.5 0 T=20.90 </t>
  </si>
  <si>
    <t xml:space="preserve">-TEXT 25204.7547174386,285 3.5 0 S=40.89 </t>
  </si>
  <si>
    <t>-TEXT 25387.2140666859,300 3.5 0 R=80</t>
  </si>
  <si>
    <t xml:space="preserve">-TEXT 25387.2140666859,295 3.5 0 α=55.90° </t>
  </si>
  <si>
    <t xml:space="preserve">-TEXT 25387.2140666859,290 3.5 0 T=42.44 </t>
  </si>
  <si>
    <t xml:space="preserve">-TEXT 25387.2140666859,285 3.5 0 S=78.04 </t>
  </si>
  <si>
    <t>-TEXT 25657.0373308374,300 3.5 0 R=80</t>
  </si>
  <si>
    <t xml:space="preserve">-TEXT 25657.0373308374,295 3.5 0 α=20.74° </t>
  </si>
  <si>
    <t xml:space="preserve">-TEXT 25657.0373308374,290 3.5 0 T=14.64 </t>
  </si>
  <si>
    <t xml:space="preserve">-TEXT 25657.0373308374,285 3.5 0 S=28.95 </t>
  </si>
  <si>
    <t>-TEXT 25937.8371679722,300 3.5 0 R=80</t>
  </si>
  <si>
    <t xml:space="preserve">-TEXT 25937.8371679722,295 3.5 0 α=6.39° </t>
  </si>
  <si>
    <t xml:space="preserve">-TEXT 25937.8371679722,290 3.5 0 T=4.46 </t>
  </si>
  <si>
    <t xml:space="preserve">-TEXT 25937.8371679722,285 3.5 0 S=8.92 </t>
  </si>
  <si>
    <t>-TEXT 26045.5771518345,300 3.5 0 R=80</t>
  </si>
  <si>
    <t xml:space="preserve">-TEXT 26045.5771518345,295 3.5 0 α=5.58° </t>
  </si>
  <si>
    <t xml:space="preserve">-TEXT 26045.5771518345,290 3.5 0 T=3.90 </t>
  </si>
  <si>
    <t xml:space="preserve">-TEXT 26045.5771518345,285 3.5 0 S=7.79 </t>
  </si>
  <si>
    <t>-TEXT 26150.5296752785,300 3.5 0 R=80</t>
  </si>
  <si>
    <t xml:space="preserve">-TEXT 26150.5296752785,295 3.5 0 α=28.52° </t>
  </si>
  <si>
    <t xml:space="preserve">-TEXT 26150.5296752785,290 3.5 0 T=20.33 </t>
  </si>
  <si>
    <t xml:space="preserve">-TEXT 26150.5296752785,285 3.5 0 S=39.82 </t>
  </si>
  <si>
    <t>-TEXT 26276.471316637,300 3.5 0 R=60</t>
  </si>
  <si>
    <t xml:space="preserve">-TEXT 26276.471316637,295 3.5 0 α=20.86° </t>
  </si>
  <si>
    <t xml:space="preserve">-TEXT 26276.471316637,290 3.5 0 T=11.04 </t>
  </si>
  <si>
    <t xml:space="preserve">-TEXT 26276.471316637,285 3.5 0 S=21.84 </t>
  </si>
  <si>
    <t>-TEXT 26310.2540817172,300 3.5 0 R=60</t>
  </si>
  <si>
    <t xml:space="preserve">-TEXT 26310.2540817172,295 3.5 0 α=14.03° </t>
  </si>
  <si>
    <t xml:space="preserve">-TEXT 26310.2540817172,290 3.5 0 T=7.38 </t>
  </si>
  <si>
    <t xml:space="preserve">-TEXT 26310.2540817172,285 3.5 0 S=14.69 </t>
  </si>
  <si>
    <t>-TEXT 26559.0742079351,300 3.5 0 R=60</t>
  </si>
  <si>
    <t xml:space="preserve">-TEXT 26559.0742079351,295 3.5 0 α=13.69° </t>
  </si>
  <si>
    <t xml:space="preserve">-TEXT 26559.0742079351,290 3.5 0 T=7.20 </t>
  </si>
  <si>
    <t xml:space="preserve">-TEXT 26559.0742079351,285 3.5 0 S=14.34 </t>
  </si>
  <si>
    <t>-TEXT 26975.068045881,300 3.5 0 R=80</t>
  </si>
  <si>
    <t xml:space="preserve">-TEXT 26975.068045881,295 3.5 0 α=48.34° </t>
  </si>
  <si>
    <t xml:space="preserve">-TEXT 26975.068045881,290 3.5 0 T=35.90 </t>
  </si>
  <si>
    <t xml:space="preserve">-TEXT 26975.068045881,285 3.5 0 S=67.49 </t>
  </si>
  <si>
    <t>-TEXT 27217.2852140732,300 3.5 0 R=40</t>
  </si>
  <si>
    <t xml:space="preserve">-TEXT 27217.2852140732,295 3.5 0 α=55.69° </t>
  </si>
  <si>
    <t xml:space="preserve">-TEXT 27217.2852140732,290 3.5 0 T=21.13 </t>
  </si>
  <si>
    <t xml:space="preserve">-TEXT 27217.2852140732,285 3.5 0 S=38.88 </t>
  </si>
  <si>
    <t>-TEXT 27252.1056927341,300 3.5 0 R=40</t>
  </si>
  <si>
    <t xml:space="preserve">-TEXT 27252.1056927341,295 3.5 0 α=41.87° </t>
  </si>
  <si>
    <t xml:space="preserve">-TEXT 27252.1056927341,290 3.5 0 T=15.30 </t>
  </si>
  <si>
    <t xml:space="preserve">-TEXT 27252.1056927341,285 3.5 0 S=29.23 </t>
  </si>
  <si>
    <t>-TEXT 27307.2362877781,300 3.5 0 R=80</t>
  </si>
  <si>
    <t xml:space="preserve">-TEXT 27307.2362877781,295 3.5 0 α=52.96° </t>
  </si>
  <si>
    <t xml:space="preserve">-TEXT 27307.2362877781,290 3.5 0 T=39.85 </t>
  </si>
  <si>
    <t xml:space="preserve">-TEXT 27307.2362877781,285 3.5 0 S=73.95 </t>
  </si>
  <si>
    <t>-TEXT 27393.4063712076,300 3.5 0 R=80</t>
  </si>
  <si>
    <t xml:space="preserve">-TEXT 27393.4063712076,295 3.5 0 α=42.56° </t>
  </si>
  <si>
    <t xml:space="preserve">-TEXT 27393.4063712076,290 3.5 0 T=31.16 </t>
  </si>
  <si>
    <t xml:space="preserve">-TEXT 27393.4063712076,285 3.5 0 S=59.42 </t>
  </si>
  <si>
    <t>-TEXT 27430.4056346768,300 3.5 0 R=80</t>
  </si>
  <si>
    <t xml:space="preserve">-TEXT 27430.4056346768,295 3.5 0 α=41.16° </t>
  </si>
  <si>
    <t xml:space="preserve">-TEXT 27430.4056346768,290 3.5 0 T=30.04 </t>
  </si>
  <si>
    <t xml:space="preserve">-TEXT 27430.4056346768,285 3.5 0 S=57.47 </t>
  </si>
  <si>
    <t>-TEXT 27462.1750754715,300 3.5 0 R=80</t>
  </si>
  <si>
    <t xml:space="preserve">-TEXT 27462.1750754715,295 3.5 0 α=29.12° </t>
  </si>
  <si>
    <t xml:space="preserve">-TEXT 27462.1750754715,290 3.5 0 T=20.78 </t>
  </si>
  <si>
    <t xml:space="preserve">-TEXT 27462.1750754715,285 3.5 0 S=40.66 </t>
  </si>
  <si>
    <t>-TEXT 27500.2293315756,300 3.5 0 R=80</t>
  </si>
  <si>
    <t xml:space="preserve">-TEXT 27500.2293315756,295 3.5 0 α=32.14° </t>
  </si>
  <si>
    <t xml:space="preserve">-TEXT 27500.2293315756,290 3.5 0 T=23.04 </t>
  </si>
  <si>
    <t xml:space="preserve">-TEXT 27500.2293315756,285 3.5 0 S=44.87 </t>
  </si>
  <si>
    <t>-TEXT 27798.2319273821,300 3.5 0 R=60</t>
  </si>
  <si>
    <t xml:space="preserve">-TEXT 27798.2319273821,295 3.5 0 α=32.03° </t>
  </si>
  <si>
    <t xml:space="preserve">-TEXT 27798.2319273821,290 3.5 0 T=17.22 </t>
  </si>
  <si>
    <t xml:space="preserve">-TEXT 27798.2319273821,285 3.5 0 S=33.54 </t>
  </si>
  <si>
    <t>-TEXT 27833.6015664174,300 3.5 0 R=80</t>
  </si>
  <si>
    <t xml:space="preserve">-TEXT 27833.6015664174,295 3.5 0 α=19.75° </t>
  </si>
  <si>
    <t xml:space="preserve">-TEXT 27833.6015664174,290 3.5 0 T=13.93 </t>
  </si>
  <si>
    <t xml:space="preserve">-TEXT 27833.6015664174,285 3.5 0 S=27.58 </t>
  </si>
  <si>
    <t>-TEXT 27865.6889688717,300 3.5 0 R=80</t>
  </si>
  <si>
    <t xml:space="preserve">-TEXT 27865.6889688717,295 3.5 0 α=11.67° </t>
  </si>
  <si>
    <t xml:space="preserve">-TEXT 27865.6889688717,290 3.5 0 T=8.18 </t>
  </si>
  <si>
    <t xml:space="preserve">-TEXT 27865.6889688717,285 3.5 0 S=16.30 </t>
  </si>
  <si>
    <t>-TEXT 27920.4173665968,300 3.5 0 R=80</t>
  </si>
  <si>
    <t xml:space="preserve">-TEXT 27920.4173665968,295 3.5 0 α=10.53° </t>
  </si>
  <si>
    <t xml:space="preserve">-TEXT 27920.4173665968,290 3.5 0 T=7.37 </t>
  </si>
  <si>
    <t xml:space="preserve">-TEXT 27920.4173665968,285 3.5 0 S=14.71 </t>
  </si>
  <si>
    <t>-TEXT 28097.4035700623,300 3.5 0 R=60</t>
  </si>
  <si>
    <t xml:space="preserve">-TEXT 28097.4035700623,295 3.5 0 α=20.55° </t>
  </si>
  <si>
    <t xml:space="preserve">-TEXT 28097.4035700623,290 3.5 0 T=10.88 </t>
  </si>
  <si>
    <t xml:space="preserve">-TEXT 28097.4035700623,285 3.5 0 S=21.52 </t>
  </si>
  <si>
    <t>-TEXT 28148.9918118509,300 3.5 0 R=80</t>
  </si>
  <si>
    <t xml:space="preserve">-TEXT 28148.9918118509,295 3.5 0 α=21.72° </t>
  </si>
  <si>
    <t xml:space="preserve">-TEXT 28148.9918118509,290 3.5 0 T=15.35 </t>
  </si>
  <si>
    <t xml:space="preserve">-TEXT 28148.9918118509,285 3.5 0 S=30.33 </t>
  </si>
  <si>
    <t>-TEXT 28179.0601208351,300 3.5 0 R=80</t>
  </si>
  <si>
    <t xml:space="preserve">-TEXT 28179.0601208351,295 3.5 0 α=25.99° </t>
  </si>
  <si>
    <t xml:space="preserve">-TEXT 28179.0601208351,290 3.5 0 T=18.46 </t>
  </si>
  <si>
    <t xml:space="preserve">-TEXT 28179.0601208351,285 3.5 0 S=36.28 </t>
  </si>
  <si>
    <t>-TEXT 28205.3849486522,300 3.5 0 R=80</t>
  </si>
  <si>
    <t xml:space="preserve">-TEXT 28205.3849486522,295 3.5 0 α=7.52° </t>
  </si>
  <si>
    <t xml:space="preserve">-TEXT 28205.3849486522,290 3.5 0 T=5.26 </t>
  </si>
  <si>
    <t xml:space="preserve">-TEXT 28205.3849486522,285 3.5 0 S=10.50 </t>
  </si>
  <si>
    <t>-TEXT 28383.5194102001,300 3.5 0 R=80</t>
  </si>
  <si>
    <t xml:space="preserve">-TEXT 28383.5194102001,295 3.5 0 α=10.23° </t>
  </si>
  <si>
    <t xml:space="preserve">-TEXT 28383.5194102001,290 3.5 0 T=7.16 </t>
  </si>
  <si>
    <t xml:space="preserve">-TEXT 28383.5194102001,285 3.5 0 S=14.28 </t>
  </si>
  <si>
    <t>-TEXT 28454.4871450397,300 3.5 0 R=80</t>
  </si>
  <si>
    <t xml:space="preserve">-TEXT 28454.4871450397,295 3.5 0 α=34.21° </t>
  </si>
  <si>
    <t xml:space="preserve">-TEXT 28454.4871450397,290 3.5 0 T=24.62 </t>
  </si>
  <si>
    <t xml:space="preserve">-TEXT 28454.4871450397,285 3.5 0 S=47.77 </t>
  </si>
  <si>
    <t>-TEXT 28495.6236278168,300 3.5 0 R=80</t>
  </si>
  <si>
    <t xml:space="preserve">-TEXT 28495.6236278168,295 3.5 0 α=46.74° </t>
  </si>
  <si>
    <t xml:space="preserve">-TEXT 28495.6236278168,290 3.5 0 T=34.57 </t>
  </si>
  <si>
    <t xml:space="preserve">-TEXT 28495.6236278168,285 3.5 0 S=65.26 </t>
  </si>
  <si>
    <t>-TEXT 28540.8871329707,300 3.5 0 R=80</t>
  </si>
  <si>
    <t xml:space="preserve">-TEXT 28540.8871329707,295 3.5 0 α=29.82° </t>
  </si>
  <si>
    <t xml:space="preserve">-TEXT 28540.8871329707,290 3.5 0 T=21.30 </t>
  </si>
  <si>
    <t xml:space="preserve">-TEXT 28540.8871329707,285 3.5 0 S=41.64 </t>
  </si>
  <si>
    <t>-TEXT 28589.0628543102,300 3.5 0 R=80</t>
  </si>
  <si>
    <t xml:space="preserve">-TEXT 28589.0628543102,295 3.5 0 α=12.35° </t>
  </si>
  <si>
    <t xml:space="preserve">-TEXT 28589.0628543102,290 3.5 0 T=8.65 </t>
  </si>
  <si>
    <t xml:space="preserve">-TEXT 28589.0628543102,285 3.5 0 S=17.24 </t>
  </si>
  <si>
    <t>-TEXT 28857.8315510553,300 3.5 0 R=80</t>
  </si>
  <si>
    <t xml:space="preserve">-TEXT 28857.8315510553,295 3.5 0 α=10.97° </t>
  </si>
  <si>
    <t xml:space="preserve">-TEXT 28857.8315510553,290 3.5 0 T=7.68 </t>
  </si>
  <si>
    <t xml:space="preserve">-TEXT 28857.8315510553,285 3.5 0 S=15.32 </t>
  </si>
  <si>
    <t>-TEXT 28944.8364932567,300 3.5 0 R=80</t>
  </si>
  <si>
    <t xml:space="preserve">-TEXT 28944.8364932567,295 3.5 0 α=16.39° </t>
  </si>
  <si>
    <t xml:space="preserve">-TEXT 28944.8364932567,290 3.5 0 T=11.52 </t>
  </si>
  <si>
    <t xml:space="preserve">-TEXT 28944.8364932567,285 3.5 0 S=22.88 </t>
  </si>
  <si>
    <t>-TEXT 29151.568573373,300 3.5 0 R=80</t>
  </si>
  <si>
    <t xml:space="preserve">-TEXT 29151.568573373,295 3.5 0 α=18.54° </t>
  </si>
  <si>
    <t xml:space="preserve">-TEXT 29151.568573373,290 3.5 0 T=13.06 </t>
  </si>
  <si>
    <t xml:space="preserve">-TEXT 29151.568573373,285 3.5 0 S=25.88 </t>
  </si>
  <si>
    <t>-TEXT 29194.915588171,300 3.5 0 R=80</t>
  </si>
  <si>
    <t xml:space="preserve">-TEXT 29194.915588171,295 3.5 0 α=19.85° </t>
  </si>
  <si>
    <t xml:space="preserve">-TEXT 29194.915588171,290 3.5 0 T=13.99 </t>
  </si>
  <si>
    <t xml:space="preserve">-TEXT 29194.915588171,285 3.5 0 S=27.71 </t>
  </si>
  <si>
    <t>-TEXT 29652.0374153575,300 3.5 0 R=80</t>
  </si>
  <si>
    <t xml:space="preserve">-TEXT 29652.0374153575,295 3.5 0 α=19.56° </t>
  </si>
  <si>
    <t xml:space="preserve">-TEXT 29652.0374153575,290 3.5 0 T=13.79 </t>
  </si>
  <si>
    <t xml:space="preserve">-TEXT 29652.0374153575,285 3.5 0 S=27.31 </t>
  </si>
  <si>
    <t>-TEXT 30378.1416175856,300 3.5 0 R=60</t>
  </si>
  <si>
    <t xml:space="preserve">-TEXT 30378.1416175856,295 3.5 0 α=19.42° </t>
  </si>
  <si>
    <t xml:space="preserve">-TEXT 30378.1416175856,290 3.5 0 T=10.27 </t>
  </si>
  <si>
    <t xml:space="preserve">-TEXT 30378.1416175856,285 3.5 0 S=20.34 </t>
  </si>
  <si>
    <t>-TEXT 30875.9270936399,300 3.5 0 R=80</t>
  </si>
  <si>
    <t xml:space="preserve">-TEXT 30875.9270936399,295 3.5 0 α=19.98° </t>
  </si>
  <si>
    <t xml:space="preserve">-TEXT 30875.9270936399,290 3.5 0 T=14.09 </t>
  </si>
  <si>
    <t xml:space="preserve">-TEXT 30875.9270936399,285 3.5 0 S=27.90 </t>
  </si>
  <si>
    <t>-TEXT 31177.4032767511,300 3.5 0 R=80</t>
  </si>
  <si>
    <t xml:space="preserve">-TEXT 31177.4032767511,295 3.5 0 α=54.29° </t>
  </si>
  <si>
    <t xml:space="preserve">-TEXT 31177.4032767511,290 3.5 0 T=41.02 </t>
  </si>
  <si>
    <t xml:space="preserve">-TEXT 31177.4032767511,285 3.5 0 S=75.80 </t>
  </si>
  <si>
    <t>-TEXT 32096.0093134952,300 3.5 0 R=80</t>
  </si>
  <si>
    <t xml:space="preserve">-TEXT 32096.0093134952,295 3.5 0 α=9.54° </t>
  </si>
  <si>
    <t xml:space="preserve">-TEXT 32096.0093134952,290 3.5 0 T=6.67 </t>
  </si>
  <si>
    <t xml:space="preserve">-TEXT 32096.0093134952,285 3.5 0 S=13.31 </t>
  </si>
  <si>
    <t>-TEXT 32276.4244898751,300 3.5 0 R=80</t>
  </si>
  <si>
    <t xml:space="preserve">-TEXT 32276.4244898751,295 3.5 0 α=7.41° </t>
  </si>
  <si>
    <t xml:space="preserve">-TEXT 32276.4244898751,290 3.5 0 T=5.18 </t>
  </si>
  <si>
    <t xml:space="preserve">-TEXT 32276.4244898751,285 3.5 0 S=10.35 </t>
  </si>
  <si>
    <t>-TEXT 32551.9023537034,300 3.5 0 R=80</t>
  </si>
  <si>
    <t xml:space="preserve">-TEXT 32551.9023537034,295 3.5 0 α=5.53° </t>
  </si>
  <si>
    <t xml:space="preserve">-TEXT 32551.9023537034,290 3.5 0 T=3.86 </t>
  </si>
  <si>
    <t xml:space="preserve">-TEXT 32551.9023537034,285 3.5 0 S=7.72 </t>
  </si>
  <si>
    <t>-TEXT 32665.3429665812,300 3.5 0 R=80</t>
  </si>
  <si>
    <t xml:space="preserve">-TEXT 32665.3429665812,295 3.5 0 α=40.04° </t>
  </si>
  <si>
    <t xml:space="preserve">-TEXT 32665.3429665812,290 3.5 0 T=29.15 </t>
  </si>
  <si>
    <t xml:space="preserve">-TEXT 32665.3429665812,285 3.5 0 S=55.90 </t>
  </si>
  <si>
    <t>-TEXT 32709.5730000931,300 3.5 0 R=80</t>
  </si>
  <si>
    <t xml:space="preserve">-TEXT 32709.5730000931,295 3.5 0 α=40.50° </t>
  </si>
  <si>
    <t xml:space="preserve">-TEXT 32709.5730000931,290 3.5 0 T=29.51 </t>
  </si>
  <si>
    <t xml:space="preserve">-TEXT 32709.5730000931,285 3.5 0 S=56.55 </t>
  </si>
  <si>
    <t>-TEXT 32751.7503219788,300 3.5 0 R=80</t>
  </si>
  <si>
    <t xml:space="preserve">-TEXT 32751.7503219788,295 3.5 0 α=7.99° </t>
  </si>
  <si>
    <t xml:space="preserve">-TEXT 32751.7503219788,290 3.5 0 T=5.59 </t>
  </si>
  <si>
    <t xml:space="preserve">-TEXT 32751.7503219788,285 3.5 0 S=11.15 </t>
  </si>
  <si>
    <t>-TEXT 32798.0025456656,300 3.5 0 R=80</t>
  </si>
  <si>
    <t xml:space="preserve">-TEXT 32798.0025456656,295 3.5 0 α=28.80° </t>
  </si>
  <si>
    <t xml:space="preserve">-TEXT 32798.0025456656,290 3.5 0 T=20.54 </t>
  </si>
  <si>
    <t xml:space="preserve">-TEXT 32798.0025456656,285 3.5 0 S=40.22 </t>
  </si>
  <si>
    <t>-TEXT 32820.0523740673,300 3.5 0 R=80</t>
  </si>
  <si>
    <t xml:space="preserve">-TEXT 32820.0523740673,295 3.5 0 α=34.00° </t>
  </si>
  <si>
    <t xml:space="preserve">-TEXT 32820.0523740673,290 3.5 0 T=24.46 </t>
  </si>
  <si>
    <t xml:space="preserve">-TEXT 32820.0523740673,285 3.5 0 S=47.47 </t>
  </si>
  <si>
    <t>-TEXT 33217.8323965248,300 3.5 0 R=80</t>
  </si>
  <si>
    <t xml:space="preserve">-TEXT 33217.8323965248,295 3.5 0 α=42.14° </t>
  </si>
  <si>
    <t xml:space="preserve">-TEXT 33217.8323965248,290 3.5 0 T=30.82 </t>
  </si>
  <si>
    <t xml:space="preserve">-TEXT 33217.8323965248,285 3.5 0 S=58.84 </t>
  </si>
  <si>
    <t>-TEXT 33278.0259486752,300 3.5 0 R=80</t>
  </si>
  <si>
    <t xml:space="preserve">-TEXT 33278.0259486752,295 3.5 0 α=32.79° </t>
  </si>
  <si>
    <t xml:space="preserve">-TEXT 33278.0259486752,290 3.5 0 T=23.54 </t>
  </si>
  <si>
    <t xml:space="preserve">-TEXT 33278.0259486752,285 3.5 0 S=45.78 </t>
  </si>
  <si>
    <t>-TEXT 33346.3102244918,300 3.5 0 R=80</t>
  </si>
  <si>
    <t xml:space="preserve">-TEXT 33346.3102244918,295 3.5 0 α=16.05° </t>
  </si>
  <si>
    <t xml:space="preserve">-TEXT 33346.3102244918,290 3.5 0 T=11.28 </t>
  </si>
  <si>
    <t xml:space="preserve">-TEXT 33346.3102244918,285 3.5 0 S=22.41 </t>
  </si>
  <si>
    <t>-TEXT 33642.0996576705,300 3.5 0 R=80</t>
  </si>
  <si>
    <t xml:space="preserve">-TEXT 33642.0996576705,295 3.5 0 α=15.58° </t>
  </si>
  <si>
    <t xml:space="preserve">-TEXT 33642.0996576705,290 3.5 0 T=10.94 </t>
  </si>
  <si>
    <t xml:space="preserve">-TEXT 33642.0996576705,285 3.5 0 S=21.75 </t>
  </si>
  <si>
    <t>-TEXT 33692.4466586358,300 3.5 0 R=80</t>
  </si>
  <si>
    <t xml:space="preserve">-TEXT 33692.4466586358,295 3.5 0 α=12.08° </t>
  </si>
  <si>
    <t xml:space="preserve">-TEXT 33692.4466586358,290 3.5 0 T=8.47 </t>
  </si>
  <si>
    <t xml:space="preserve">-TEXT 33692.4466586358,285 3.5 0 S=16.87 </t>
  </si>
  <si>
    <t>-TEXT 33753.7504363161,300 3.5 0 R=80</t>
  </si>
  <si>
    <t xml:space="preserve">-TEXT 33753.7504363161,295 3.5 0 α=31.65° </t>
  </si>
  <si>
    <t xml:space="preserve">-TEXT 33753.7504363161,290 3.5 0 T=22.67 </t>
  </si>
  <si>
    <t xml:space="preserve">-TEXT 33753.7504363161,285 3.5 0 S=44.18 </t>
  </si>
  <si>
    <t>-TEXT 33804.9805595078,300 3.5 0 R=80</t>
  </si>
  <si>
    <t xml:space="preserve">-TEXT 33804.9805595078,295 3.5 0 α=28.95° </t>
  </si>
  <si>
    <t xml:space="preserve">-TEXT 33804.9805595078,290 3.5 0 T=20.66 </t>
  </si>
  <si>
    <t xml:space="preserve">-TEXT 33804.9805595078,285 3.5 0 S=40.43 </t>
  </si>
  <si>
    <t>-TEXT 33859.9900813431,300 3.5 0 R=60</t>
  </si>
  <si>
    <t xml:space="preserve">-TEXT 33859.9900813431,295 3.5 0 α=35.93° </t>
  </si>
  <si>
    <t xml:space="preserve">-TEXT 33859.9900813431,290 3.5 0 T=19.46 </t>
  </si>
  <si>
    <t xml:space="preserve">-TEXT 33859.9900813431,285 3.5 0 S=37.63 </t>
  </si>
  <si>
    <t>-TEXT 33887.2843556124,300 3.5 0 R=40</t>
  </si>
  <si>
    <t xml:space="preserve">-TEXT 33887.2843556124,295 3.5 0 α=77.65° </t>
  </si>
  <si>
    <t xml:space="preserve">-TEXT 33887.2843556124,290 3.5 0 T=32.19 </t>
  </si>
  <si>
    <t xml:space="preserve">-TEXT 33887.2843556124,285 3.5 0 S=54.21 </t>
  </si>
  <si>
    <t>-TEXT 33945.6890200879,300 3.5 0 R=80</t>
  </si>
  <si>
    <t xml:space="preserve">-TEXT 33945.6890200879,295 3.5 0 α=27.46° </t>
  </si>
  <si>
    <t xml:space="preserve">-TEXT 33945.6890200879,290 3.5 0 T=19.55 </t>
  </si>
  <si>
    <t xml:space="preserve">-TEXT 33945.6890200879,285 3.5 0 S=38.35 </t>
  </si>
  <si>
    <t>-TEXT 34.6220593204804,300 3.5 0 R=40</t>
  </si>
  <si>
    <t xml:space="preserve">-TEXT 34.6220593204804,295 3.5 0 α=53.69° </t>
  </si>
  <si>
    <t xml:space="preserve">-TEXT 34.6220593204804,290 3.5 0 T=20.25 </t>
  </si>
  <si>
    <t xml:space="preserve">-TEXT 34.6220593204804,285 3.5 0 S=37.48 </t>
  </si>
  <si>
    <t>-TEXT 34006.8893952988,300 3.5 0 R=80</t>
  </si>
  <si>
    <t xml:space="preserve">-TEXT 34006.8893952988,295 3.5 0 α=12.42° </t>
  </si>
  <si>
    <t xml:space="preserve">-TEXT 34006.8893952988,290 3.5 0 T=8.70 </t>
  </si>
  <si>
    <t xml:space="preserve">-TEXT 34006.8893952988,285 3.5 0 S=17.33 </t>
  </si>
  <si>
    <t>-TEXT 34505.5621172045,300 3.5 0 R=80</t>
  </si>
  <si>
    <t xml:space="preserve">-TEXT 34505.5621172045,295 3.5 0 α=23.22° </t>
  </si>
  <si>
    <t xml:space="preserve">-TEXT 34505.5621172045,290 3.5 0 T=16.44 </t>
  </si>
  <si>
    <t xml:space="preserve">-TEXT 34505.5621172045,285 3.5 0 S=32.42 </t>
  </si>
  <si>
    <t>-TEXT 34638.6809008484,300 3.5 0 R=80</t>
  </si>
  <si>
    <t xml:space="preserve">-TEXT 34638.6809008484,295 3.5 0 α=31.05° </t>
  </si>
  <si>
    <t xml:space="preserve">-TEXT 34638.6809008484,290 3.5 0 T=22.22 </t>
  </si>
  <si>
    <t xml:space="preserve">-TEXT 34638.6809008484,285 3.5 0 S=43.36 </t>
  </si>
  <si>
    <t>-TEXT 34736.1126474424,300 3.5 0 R=60</t>
  </si>
  <si>
    <t xml:space="preserve">-TEXT 34736.1126474424,295 3.5 0 α=16.84° </t>
  </si>
  <si>
    <t xml:space="preserve">-TEXT 34736.1126474424,290 3.5 0 T=8.88 </t>
  </si>
  <si>
    <t xml:space="preserve">-TEXT 34736.1126474424,285 3.5 0 S=17.63 </t>
  </si>
  <si>
    <t>-TEXT 34787.2523742152,300 3.5 0 R=60</t>
  </si>
  <si>
    <t xml:space="preserve">-TEXT 34787.2523742152,295 3.5 0 α=19.71° </t>
  </si>
  <si>
    <t xml:space="preserve">-TEXT 34787.2523742152,290 3.5 0 T=10.42 </t>
  </si>
  <si>
    <t xml:space="preserve">-TEXT 34787.2523742152,285 3.5 0 S=20.64 </t>
  </si>
  <si>
    <t>-TEXT 34806.3074175151,300 3.5 0 R=60</t>
  </si>
  <si>
    <t xml:space="preserve">-TEXT 34806.3074175151,295 3.5 0 α=43.43° </t>
  </si>
  <si>
    <t xml:space="preserve">-TEXT 34806.3074175151,290 3.5 0 T=23.89 </t>
  </si>
  <si>
    <t xml:space="preserve">-TEXT 34806.3074175151,285 3.5 0 S=45.48 </t>
  </si>
  <si>
    <t>-TEXT 34833.4659861671,300 3.5 0 R=60</t>
  </si>
  <si>
    <t xml:space="preserve">-TEXT 34833.4659861671,295 3.5 0 α=23.07° </t>
  </si>
  <si>
    <t xml:space="preserve">-TEXT 34833.4659861671,290 3.5 0 T=12.25 </t>
  </si>
  <si>
    <t xml:space="preserve">-TEXT 34833.4659861671,285 3.5 0 S=24.16 </t>
  </si>
  <si>
    <t>-TEXT 35060.2065910696,300 3.5 0 R=80</t>
  </si>
  <si>
    <t xml:space="preserve">-TEXT 35060.2065910696,295 3.5 0 α=12.01° </t>
  </si>
  <si>
    <t xml:space="preserve">-TEXT 35060.2065910696,290 3.5 0 T=8.41 </t>
  </si>
  <si>
    <t xml:space="preserve">-TEXT 35060.2065910696,285 3.5 0 S=16.76 </t>
  </si>
  <si>
    <t>-TEXT 35156.3304922481,300 3.5 0 R=80</t>
  </si>
  <si>
    <t xml:space="preserve">-TEXT 35156.3304922481,295 3.5 0 α=18.87° </t>
  </si>
  <si>
    <t xml:space="preserve">-TEXT 35156.3304922481,290 3.5 0 T=13.29 </t>
  </si>
  <si>
    <t xml:space="preserve">-TEXT 35156.3304922481,285 3.5 0 S=26.35 </t>
  </si>
  <si>
    <t>-TEXT 35338.7999395123,300 3.5 0 R=80</t>
  </si>
  <si>
    <t xml:space="preserve">-TEXT 35338.7999395123,295 3.5 0 α=58.27° </t>
  </si>
  <si>
    <t xml:space="preserve">-TEXT 35338.7999395123,290 3.5 0 T=44.59 </t>
  </si>
  <si>
    <t xml:space="preserve">-TEXT 35338.7999395123,285 3.5 0 S=81.35 </t>
  </si>
  <si>
    <t>-TEXT 35497.5460942746,300 3.5 0 R=12</t>
  </si>
  <si>
    <t xml:space="preserve">-TEXT 35497.5460942746,295 3.5 0 α=37.66° </t>
  </si>
  <si>
    <t xml:space="preserve">-TEXT 35497.5460942746,290 3.5 0 T=4.09 </t>
  </si>
  <si>
    <t xml:space="preserve">-TEXT 35497.5460942746,285 3.5 0 S=7.89 </t>
  </si>
  <si>
    <t>-TEXT 35614.4676225869,300 3.5 0 R=12</t>
  </si>
  <si>
    <t xml:space="preserve">-TEXT 35614.4676225869,295 3.5 0 α=16.41° </t>
  </si>
  <si>
    <t xml:space="preserve">-TEXT 35614.4676225869,290 3.5 0 T=1.73 </t>
  </si>
  <si>
    <t xml:space="preserve">-TEXT 35614.4676225869,285 3.5 0 S=3.44 </t>
  </si>
  <si>
    <t>-TEXT 35832.6736810958,300 3.5 0 R=12</t>
  </si>
  <si>
    <t xml:space="preserve">-TEXT 35832.6736810958,295 3.5 0 α=21.76° </t>
  </si>
  <si>
    <t xml:space="preserve">-TEXT 35832.6736810958,290 3.5 0 T=2.31 </t>
  </si>
  <si>
    <t xml:space="preserve">-TEXT 35832.6736810958,285 3.5 0 S=4.56 </t>
  </si>
  <si>
    <t>-TEXT 36085.4709959751,300 3.5 0 R=12</t>
  </si>
  <si>
    <t xml:space="preserve">-TEXT 36085.4709959751,295 3.5 0 α=19.19° </t>
  </si>
  <si>
    <t xml:space="preserve">-TEXT 36085.4709959751,290 3.5 0 T=2.03 </t>
  </si>
  <si>
    <t xml:space="preserve">-TEXT 36085.4709959751,285 3.5 0 S=4.02 </t>
  </si>
  <si>
    <t>-TEXT 36267.832564387,300 3.5 0 R=12</t>
  </si>
  <si>
    <t xml:space="preserve">-TEXT 36267.832564387,295 3.5 0 α=52.94° </t>
  </si>
  <si>
    <t xml:space="preserve">-TEXT 36267.832564387,290 3.5 0 T=5.98 </t>
  </si>
  <si>
    <t xml:space="preserve">-TEXT 36267.832564387,285 3.5 0 S=11.09 </t>
  </si>
  <si>
    <t>-TEXT 36427.1904424978,300 3.5 0 R=12</t>
  </si>
  <si>
    <t xml:space="preserve">-TEXT 36427.1904424978,295 3.5 0 α=18.20° </t>
  </si>
  <si>
    <t xml:space="preserve">-TEXT 36427.1904424978,290 3.5 0 T=1.92 </t>
  </si>
  <si>
    <t xml:space="preserve">-TEXT 36427.1904424978,285 3.5 0 S=3.81 </t>
  </si>
  <si>
    <t>-TEXT 36514.3154906301,300 3.5 0 R=12</t>
  </si>
  <si>
    <t xml:space="preserve">-TEXT 36514.3154906301,295 3.5 0 α=15.40° </t>
  </si>
  <si>
    <t xml:space="preserve">-TEXT 36514.3154906301,290 3.5 0 T=1.62 </t>
  </si>
  <si>
    <t xml:space="preserve">-TEXT 36514.3154906301,285 3.5 0 S=3.23 </t>
  </si>
  <si>
    <t>-TEXT 36836.7835448864,300 3.5 0 R=12</t>
  </si>
  <si>
    <t xml:space="preserve">-TEXT 36836.7835448864,295 3.5 0 α=17.72° </t>
  </si>
  <si>
    <t xml:space="preserve">-TEXT 36836.7835448864,290 3.5 0 T=1.87 </t>
  </si>
  <si>
    <t xml:space="preserve">-TEXT 36836.7835448864,285 3.5 0 S=3.71 </t>
  </si>
  <si>
    <t>-TEXT 36983.649597821,300 3.5 0 R=12</t>
  </si>
  <si>
    <t xml:space="preserve">-TEXT 36983.649597821,295 3.5 0 α=42.09° </t>
  </si>
  <si>
    <t xml:space="preserve">-TEXT 36983.649597821,290 3.5 0 T=4.62 </t>
  </si>
  <si>
    <t xml:space="preserve">-TEXT 36983.649597821,285 3.5 0 S=8.82 </t>
  </si>
  <si>
    <t>-TEXT 37035.1896882416,300 3.5 0 R=12</t>
  </si>
  <si>
    <t xml:space="preserve">-TEXT 37035.1896882416,295 3.5 0 α=30.33° </t>
  </si>
  <si>
    <t xml:space="preserve">-TEXT 37035.1896882416,290 3.5 0 T=3.25 </t>
  </si>
  <si>
    <t xml:space="preserve">-TEXT 37035.1896882416,285 3.5 0 S=6.35 </t>
  </si>
  <si>
    <t>-TEXT 37120.0004308841,300 3.5 0 R=12</t>
  </si>
  <si>
    <t xml:space="preserve">-TEXT 37120.0004308841,295 3.5 0 α=34.96° </t>
  </si>
  <si>
    <t xml:space="preserve">-TEXT 37120.0004308841,290 3.5 0 T=3.78 </t>
  </si>
  <si>
    <t xml:space="preserve">-TEXT 37120.0004308841,285 3.5 0 S=7.32 </t>
  </si>
  <si>
    <t>-TEXT 37165.5010017534,300 3.5 0 R=12</t>
  </si>
  <si>
    <t xml:space="preserve">-TEXT 37165.5010017534,295 3.5 0 α=65.98° </t>
  </si>
  <si>
    <t xml:space="preserve">-TEXT 37165.5010017534,290 3.5 0 T=7.79 </t>
  </si>
  <si>
    <t xml:space="preserve">-TEXT 37165.5010017534,285 3.5 0 S=13.82 </t>
  </si>
  <si>
    <t>-TEXT 37237.6413027135,300 3.5 0 R=12</t>
  </si>
  <si>
    <t xml:space="preserve">-TEXT 37237.6413027135,295 3.5 0 α=68.00° </t>
  </si>
  <si>
    <t xml:space="preserve">-TEXT 37237.6413027135,290 3.5 0 T=8.09 </t>
  </si>
  <si>
    <t xml:space="preserve">-TEXT 37237.6413027135,285 3.5 0 S=14.24 </t>
  </si>
  <si>
    <t>-TEXT 37424.9144990297,300 3.5 0 R=80</t>
  </si>
  <si>
    <t xml:space="preserve">-TEXT 37424.9144990297,295 3.5 0 α=11.45° </t>
  </si>
  <si>
    <t xml:space="preserve">-TEXT 37424.9144990297,290 3.5 0 T=8.02 </t>
  </si>
  <si>
    <t xml:space="preserve">-TEXT 37424.9144990297,285 3.5 0 S=15.99 </t>
  </si>
  <si>
    <t>-TEXT 37516.3841693692,300 3.5 0 R=80</t>
  </si>
  <si>
    <t xml:space="preserve">-TEXT 37516.3841693692,295 3.5 0 α=11.36° </t>
  </si>
  <si>
    <t xml:space="preserve">-TEXT 37516.3841693692,290 3.5 0 T=7.96 </t>
  </si>
  <si>
    <t xml:space="preserve">-TEXT 37516.3841693692,285 3.5 0 S=15.86 </t>
  </si>
  <si>
    <t>-TEXT 37694.3002305136,300 3.5 0 R=80</t>
  </si>
  <si>
    <t xml:space="preserve">-TEXT 37694.3002305136,295 3.5 0 α=7.82° </t>
  </si>
  <si>
    <t xml:space="preserve">-TEXT 37694.3002305136,290 3.5 0 T=5.47 </t>
  </si>
  <si>
    <t xml:space="preserve">-TEXT 37694.3002305136,285 3.5 0 S=10.92 </t>
  </si>
  <si>
    <t>-TEXT 37761.3305777506,300 3.5 0 R=80</t>
  </si>
  <si>
    <t xml:space="preserve">-TEXT 37761.3305777506,295 3.5 0 α=24.92° </t>
  </si>
  <si>
    <t xml:space="preserve">-TEXT 37761.3305777506,290 3.5 0 T=17.68 </t>
  </si>
  <si>
    <t xml:space="preserve">-TEXT 37761.3305777506,285 3.5 0 S=34.79 </t>
  </si>
  <si>
    <t>-TEXT 37822.1158813131,300 3.5 0 R=80</t>
  </si>
  <si>
    <t xml:space="preserve">-TEXT 37822.1158813131,295 3.5 0 α=23.75° </t>
  </si>
  <si>
    <t xml:space="preserve">-TEXT 37822.1158813131,290 3.5 0 T=16.82 </t>
  </si>
  <si>
    <t xml:space="preserve">-TEXT 37822.1158813131,285 3.5 0 S=33.17 </t>
  </si>
  <si>
    <t>-TEXT 37996.83517112,300 3.5 0 R=60</t>
  </si>
  <si>
    <t xml:space="preserve">-TEXT 37996.83517112,295 3.5 0 α=41.79° </t>
  </si>
  <si>
    <t xml:space="preserve">-TEXT 37996.83517112,290 3.5 0 T=22.90 </t>
  </si>
  <si>
    <t xml:space="preserve">-TEXT 37996.83517112,285 3.5 0 S=43.76 </t>
  </si>
  <si>
    <t>-TEXT 38059.8887271339,300 3.5 0 R=80</t>
  </si>
  <si>
    <t xml:space="preserve">-TEXT 38059.8887271339,295 3.5 0 α=23.88° </t>
  </si>
  <si>
    <t xml:space="preserve">-TEXT 38059.8887271339,290 3.5 0 T=16.92 </t>
  </si>
  <si>
    <t xml:space="preserve">-TEXT 38059.8887271339,285 3.5 0 S=33.35 </t>
  </si>
  <si>
    <t>-TEXT 38125.9933724516,300 3.5 0 R=60</t>
  </si>
  <si>
    <t xml:space="preserve">-TEXT 38125.9933724516,295 3.5 0 α=13.92° </t>
  </si>
  <si>
    <t xml:space="preserve">-TEXT 38125.9933724516,290 3.5 0 T=7.32 </t>
  </si>
  <si>
    <t xml:space="preserve">-TEXT 38125.9933724516,285 3.5 0 S=14.57 </t>
  </si>
  <si>
    <t>-TEXT 38298.0906651974,300 3.5 0 R=80</t>
  </si>
  <si>
    <t xml:space="preserve">-TEXT 38298.0906651974,295 3.5 0 α=22.96° </t>
  </si>
  <si>
    <t xml:space="preserve">-TEXT 38298.0906651974,290 3.5 0 T=16.25 </t>
  </si>
  <si>
    <t xml:space="preserve">-TEXT 38298.0906651974,285 3.5 0 S=32.06 </t>
  </si>
  <si>
    <t>-TEXT 38412.1602013963,300 3.5 0 R=80</t>
  </si>
  <si>
    <t xml:space="preserve">-TEXT 38412.1602013963,295 3.5 0 α=41.32° </t>
  </si>
  <si>
    <t xml:space="preserve">-TEXT 38412.1602013963,290 3.5 0 T=30.16 </t>
  </si>
  <si>
    <t xml:space="preserve">-TEXT 38412.1602013963,285 3.5 0 S=57.69 </t>
  </si>
  <si>
    <t>-TEXT 38478.4778509603,300 3.5 0 R=80</t>
  </si>
  <si>
    <t xml:space="preserve">-TEXT 38478.4778509603,295 3.5 0 α=12.38° </t>
  </si>
  <si>
    <t xml:space="preserve">-TEXT 38478.4778509603,290 3.5 0 T=8.68 </t>
  </si>
  <si>
    <t xml:space="preserve">-TEXT 38478.4778509603,285 3.5 0 S=17.29 </t>
  </si>
  <si>
    <t>-TEXT 38513.2882546512,300 3.5 0 R=80</t>
  </si>
  <si>
    <t xml:space="preserve">-TEXT 38513.2882546512,295 3.5 0 α=19.21° </t>
  </si>
  <si>
    <t xml:space="preserve">-TEXT 38513.2882546512,290 3.5 0 T=13.54 </t>
  </si>
  <si>
    <t xml:space="preserve">-TEXT 38513.2882546512,285 3.5 0 S=26.82 </t>
  </si>
  <si>
    <t>-TEXT 38538.8026805133,300 3.5 0 R=80</t>
  </si>
  <si>
    <t xml:space="preserve">-TEXT 38538.8026805133,295 3.5 0 α=32.68° </t>
  </si>
  <si>
    <t xml:space="preserve">-TEXT 38538.8026805133,290 3.5 0 T=23.45 </t>
  </si>
  <si>
    <t xml:space="preserve">-TEXT 38538.8026805133,285 3.5 0 S=45.63 </t>
  </si>
  <si>
    <t>-TEXT 38625.1271329928,300 3.5 0 R=60</t>
  </si>
  <si>
    <t xml:space="preserve">-TEXT 38625.1271329928,295 3.5 0 α=18.27° </t>
  </si>
  <si>
    <t xml:space="preserve">-TEXT 38625.1271329928,290 3.5 0 T=9.65 </t>
  </si>
  <si>
    <t xml:space="preserve">-TEXT 38625.1271329928,285 3.5 0 S=19.13 </t>
  </si>
  <si>
    <t>-TEXT 38645.4852020587,300 3.5 0 R=80</t>
  </si>
  <si>
    <t xml:space="preserve">-TEXT 38645.4852020587,295 3.5 0 α=41.65° </t>
  </si>
  <si>
    <t xml:space="preserve">-TEXT 38645.4852020587,290 3.5 0 T=30.43 </t>
  </si>
  <si>
    <t xml:space="preserve">-TEXT 38645.4852020587,285 3.5 0 S=58.16 </t>
  </si>
  <si>
    <t>-TEXT 38682.7061082534,300 3.5 0 R=80</t>
  </si>
  <si>
    <t xml:space="preserve">-TEXT 38682.7061082534,295 3.5 0 α=27.97° </t>
  </si>
  <si>
    <t xml:space="preserve">-TEXT 38682.7061082534,290 3.5 0 T=19.93 </t>
  </si>
  <si>
    <t xml:space="preserve">-TEXT 38682.7061082534,285 3.5 0 S=39.06 </t>
  </si>
  <si>
    <t>-TEXT 38714.1083064757,300 3.5 0 R=80</t>
  </si>
  <si>
    <t xml:space="preserve">-TEXT 38714.1083064757,295 3.5 0 α=46.94° </t>
  </si>
  <si>
    <t xml:space="preserve">-TEXT 38714.1083064757,290 3.5 0 T=34.73 </t>
  </si>
  <si>
    <t xml:space="preserve">-TEXT 38714.1083064757,285 3.5 0 S=65.54 </t>
  </si>
  <si>
    <t>-TEXT 38778.0497134122,300 3.5 0 R=80</t>
  </si>
  <si>
    <t xml:space="preserve">-TEXT 38778.0497134122,295 3.5 0 α=39.12° </t>
  </si>
  <si>
    <t xml:space="preserve">-TEXT 38778.0497134122,290 3.5 0 T=28.43 </t>
  </si>
  <si>
    <t xml:space="preserve">-TEXT 38778.0497134122,285 3.5 0 S=54.63 </t>
  </si>
  <si>
    <t>-TEXT 38804.8467952861,300 3.5 0 R=80</t>
  </si>
  <si>
    <t xml:space="preserve">-TEXT 38804.8467952861,295 3.5 0 α=27.52° </t>
  </si>
  <si>
    <t xml:space="preserve">-TEXT 38804.8467952861,290 3.5 0 T=19.59 </t>
  </si>
  <si>
    <t xml:space="preserve">-TEXT 38804.8467952861,285 3.5 0 S=38.42 </t>
  </si>
  <si>
    <t>-TEXT 38868.2843489787,300 3.5 0 R=40</t>
  </si>
  <si>
    <t xml:space="preserve">-TEXT 38868.2843489787,295 3.5 0 α=41.95° </t>
  </si>
  <si>
    <t xml:space="preserve">-TEXT 38868.2843489787,290 3.5 0 T=15.33 </t>
  </si>
  <si>
    <t xml:space="preserve">-TEXT 38868.2843489787,285 3.5 0 S=29.28 </t>
  </si>
  <si>
    <t>-TEXT 38890.4358404301,300 3.5 0 R=40</t>
  </si>
  <si>
    <t xml:space="preserve">-TEXT 38890.4358404301,295 3.5 0 α=71.11° </t>
  </si>
  <si>
    <t xml:space="preserve">-TEXT 38890.4358404301,290 3.5 0 T=28.59 </t>
  </si>
  <si>
    <t xml:space="preserve">-TEXT 38890.4358404301,285 3.5 0 S=49.64 </t>
  </si>
  <si>
    <t>-TEXT 38936.1222677009,300 3.5 0 R=80</t>
  </si>
  <si>
    <t xml:space="preserve">-TEXT 38936.1222677009,295 3.5 0 α=18.96° </t>
  </si>
  <si>
    <t xml:space="preserve">-TEXT 38936.1222677009,290 3.5 0 T=13.36 </t>
  </si>
  <si>
    <t xml:space="preserve">-TEXT 38936.1222677009,285 3.5 0 S=26.47 </t>
  </si>
  <si>
    <t>-TEXT 39025.6983072196,300 3.5 0 R=80</t>
  </si>
  <si>
    <t xml:space="preserve">-TEXT 39025.6983072196,295 3.5 0 α=35.60° </t>
  </si>
  <si>
    <t xml:space="preserve">-TEXT 39025.6983072196,290 3.5 0 T=25.69 </t>
  </si>
  <si>
    <t xml:space="preserve">-TEXT 39025.6983072196,285 3.5 0 S=49.71 </t>
  </si>
  <si>
    <t>-TEXT 39293.3922345644,300 3.5 0 R=80</t>
  </si>
  <si>
    <t xml:space="preserve">-TEXT 39293.3922345644,295 3.5 0 α=13.46° </t>
  </si>
  <si>
    <t xml:space="preserve">-TEXT 39293.3922345644,290 3.5 0 T=9.44 </t>
  </si>
  <si>
    <t xml:space="preserve">-TEXT 39293.3922345644,285 3.5 0 S=18.79 </t>
  </si>
  <si>
    <t>-TEXT 39340.3607449485,300 3.5 0 R=80</t>
  </si>
  <si>
    <t xml:space="preserve">-TEXT 39340.3607449485,295 3.5 0 α=29.20° </t>
  </si>
  <si>
    <t xml:space="preserve">-TEXT 39340.3607449485,290 3.5 0 T=20.84 </t>
  </si>
  <si>
    <t xml:space="preserve">-TEXT 39340.3607449485,285 3.5 0 S=40.77 </t>
  </si>
  <si>
    <t>-TEXT 39363.4821183619,300 3.5 0 R=80</t>
  </si>
  <si>
    <t xml:space="preserve">-TEXT 39363.4821183619,295 3.5 0 α=33.04° </t>
  </si>
  <si>
    <t xml:space="preserve">-TEXT 39363.4821183619,290 3.5 0 T=23.73 </t>
  </si>
  <si>
    <t xml:space="preserve">-TEXT 39363.4821183619,285 3.5 0 S=46.13 </t>
  </si>
  <si>
    <t>-TEXT 39392.440038358,300 3.5 0 R=40</t>
  </si>
  <si>
    <t xml:space="preserve">-TEXT 39392.440038358,295 3.5 0 α=34.21° </t>
  </si>
  <si>
    <t xml:space="preserve">-TEXT 39392.440038358,290 3.5 0 T=12.31 </t>
  </si>
  <si>
    <t xml:space="preserve">-TEXT 39392.440038358,285 3.5 0 S=23.88 </t>
  </si>
  <si>
    <t>-TEXT 39475.1875003476,300 3.5 0 R=80</t>
  </si>
  <si>
    <t xml:space="preserve">-TEXT 39475.1875003476,295 3.5 0 α=14.99° </t>
  </si>
  <si>
    <t xml:space="preserve">-TEXT 39475.1875003476,290 3.5 0 T=10.53 </t>
  </si>
  <si>
    <t xml:space="preserve">-TEXT 39475.1875003476,285 3.5 0 S=20.93 </t>
  </si>
  <si>
    <t>-TEXT 39618.8160409748,300 3.5 0 R=80</t>
  </si>
  <si>
    <t xml:space="preserve">-TEXT 39618.8160409748,295 3.5 0 α=14.78° </t>
  </si>
  <si>
    <t xml:space="preserve">-TEXT 39618.8160409748,290 3.5 0 T=10.37 </t>
  </si>
  <si>
    <t xml:space="preserve">-TEXT 39618.8160409748,285 3.5 0 S=20.63 </t>
  </si>
  <si>
    <t>-TEXT 39768.5728522097,300 3.5 0 R=80</t>
  </si>
  <si>
    <t xml:space="preserve">-TEXT 39768.5728522097,295 3.5 0 α=25.86° </t>
  </si>
  <si>
    <t xml:space="preserve">-TEXT 39768.5728522097,290 3.5 0 T=18.37 </t>
  </si>
  <si>
    <t xml:space="preserve">-TEXT 39768.5728522097,285 3.5 0 S=36.11 </t>
  </si>
  <si>
    <t>-TEXT 40084.3808907336,300 3.5 0 R=80</t>
  </si>
  <si>
    <t xml:space="preserve">-TEXT 40084.3808907336,295 3.5 0 α=45.90° </t>
  </si>
  <si>
    <t xml:space="preserve">-TEXT 40084.3808907336,290 3.5 0 T=33.87 </t>
  </si>
  <si>
    <t xml:space="preserve">-TEXT 40084.3808907336,285 3.5 0 S=64.08 </t>
  </si>
  <si>
    <t>-TEXT 40402.0486228672,300 3.5 0 R=80</t>
  </si>
  <si>
    <t xml:space="preserve">-TEXT 40402.0486228672,295 3.5 0 α=29.62° </t>
  </si>
  <si>
    <t xml:space="preserve">-TEXT 40402.0486228672,290 3.5 0 T=21.15 </t>
  </si>
  <si>
    <t xml:space="preserve">-TEXT 40402.0486228672,285 3.5 0 S=41.36 </t>
  </si>
  <si>
    <t>-TEXT 40634.2877473118,300 3.5 0 R=80</t>
  </si>
  <si>
    <t xml:space="preserve">-TEXT 40634.2877473118,295 3.5 0 α=16.13° </t>
  </si>
  <si>
    <t xml:space="preserve">-TEXT 40634.2877473118,290 3.5 0 T=11.33 </t>
  </si>
  <si>
    <t xml:space="preserve">-TEXT 40634.2877473118,285 3.5 0 S=22.52 </t>
  </si>
  <si>
    <t>-TEXT 40957.4243325776,300 3.5 0 R=80</t>
  </si>
  <si>
    <t xml:space="preserve">-TEXT 40957.4243325776,295 3.5 0 α=34.91° </t>
  </si>
  <si>
    <t xml:space="preserve">-TEXT 40957.4243325776,290 3.5 0 T=25.15 </t>
  </si>
  <si>
    <t xml:space="preserve">-TEXT 40957.4243325776,285 3.5 0 S=48.74 </t>
  </si>
  <si>
    <t>-TEXT 41207.2404608417,300 3.5 0 R=80</t>
  </si>
  <si>
    <t xml:space="preserve">-TEXT 41207.2404608417,295 3.5 0 α=28.42° </t>
  </si>
  <si>
    <t xml:space="preserve">-TEXT 41207.2404608417,290 3.5 0 T=20.26 </t>
  </si>
  <si>
    <t xml:space="preserve">-TEXT 41207.2404608417,285 3.5 0 S=39.68 </t>
  </si>
  <si>
    <t>-TEXT 41678.4581901195,300 3.5 0 R=80</t>
  </si>
  <si>
    <t xml:space="preserve">-TEXT 41678.4581901195,295 3.5 0 α=7.59° </t>
  </si>
  <si>
    <t xml:space="preserve">-TEXT 41678.4581901195,290 3.5 0 T=5.31 </t>
  </si>
  <si>
    <t xml:space="preserve">-TEXT 41678.4581901195,285 3.5 0 S=10.60 </t>
  </si>
  <si>
    <t>-TEXT 41925.0199538789,300 3.5 0 R=80</t>
  </si>
  <si>
    <t xml:space="preserve">-TEXT 41925.0199538789,295 3.5 0 α=1.44° </t>
  </si>
  <si>
    <t xml:space="preserve">-TEXT 41925.0199538789,290 3.5 0 T=1.01 </t>
  </si>
  <si>
    <t xml:space="preserve">-TEXT 41925.0199538789,285 3.5 0 S=2.01 </t>
  </si>
  <si>
    <t>-TEXT 42058.8409389196,300 3.5 0 R=80</t>
  </si>
  <si>
    <t xml:space="preserve">-TEXT 42058.8409389196,295 3.5 0 α=22.85° </t>
  </si>
  <si>
    <t xml:space="preserve">-TEXT 42058.8409389196,290 3.5 0 T=16.17 </t>
  </si>
  <si>
    <t xml:space="preserve">-TEXT 42058.8409389196,285 3.5 0 S=31.90 </t>
  </si>
  <si>
    <t>-TEXT 42145.7435000855,300 3.5 0 R=80</t>
  </si>
  <si>
    <t xml:space="preserve">-TEXT 42145.7435000855,295 3.5 0 α=28.24° </t>
  </si>
  <si>
    <t xml:space="preserve">-TEXT 42145.7435000855,290 3.5 0 T=20.13 </t>
  </si>
  <si>
    <t xml:space="preserve">-TEXT 42145.7435000855,285 3.5 0 S=39.43 </t>
  </si>
  <si>
    <t>-TEXT 42183.8605450232,300 3.5 0 R=80</t>
  </si>
  <si>
    <t xml:space="preserve">-TEXT 42183.8605450232,295 3.5 0 α=37.02° </t>
  </si>
  <si>
    <t xml:space="preserve">-TEXT 42183.8605450232,290 3.5 0 T=26.78 </t>
  </si>
  <si>
    <t xml:space="preserve">-TEXT 42183.8605450232,285 3.5 0 S=51.68 </t>
  </si>
  <si>
    <t>-TEXT 42224.8146288816,300 3.5 0 R=40</t>
  </si>
  <si>
    <t xml:space="preserve">-TEXT 42224.8146288816,295 3.5 0 α=42.37° </t>
  </si>
  <si>
    <t xml:space="preserve">-TEXT 42224.8146288816,290 3.5 0 T=15.50 </t>
  </si>
  <si>
    <t xml:space="preserve">-TEXT 42224.8146288816,285 3.5 0 S=29.58 </t>
  </si>
  <si>
    <t>-TEXT 42271.6118658599,300 3.5 0 R=60</t>
  </si>
  <si>
    <t xml:space="preserve">-TEXT 42271.6118658599,295 3.5 0 α=16.10° </t>
  </si>
  <si>
    <t xml:space="preserve">-TEXT 42271.6118658599,290 3.5 0 T=8.49 </t>
  </si>
  <si>
    <t xml:space="preserve">-TEXT 42271.6118658599,285 3.5 0 S=16.86 </t>
  </si>
  <si>
    <t>-TEXT 42529.6142050656,300 3.5 0 R=40</t>
  </si>
  <si>
    <t xml:space="preserve">-TEXT 42529.6142050656,295 3.5 0 α=48.85° </t>
  </si>
  <si>
    <t xml:space="preserve">-TEXT 42529.6142050656,290 3.5 0 T=18.17 </t>
  </si>
  <si>
    <t xml:space="preserve">-TEXT 42529.6142050656,285 3.5 0 S=34.10 </t>
  </si>
  <si>
    <t>-TEXT 42599.9596629262,300 3.5 0 R=60</t>
  </si>
  <si>
    <t xml:space="preserve">-TEXT 42599.9596629262,295 3.5 0 α=22.69° </t>
  </si>
  <si>
    <t xml:space="preserve">-TEXT 42599.9596629262,290 3.5 0 T=12.04 </t>
  </si>
  <si>
    <t xml:space="preserve">-TEXT 42599.9596629262,285 3.5 0 S=23.76 </t>
  </si>
  <si>
    <t>-TEXT 42628.0612746661,300 3.5 0 R=40</t>
  </si>
  <si>
    <t xml:space="preserve">-TEXT 42628.0612746661,295 3.5 0 α=49.29° </t>
  </si>
  <si>
    <t xml:space="preserve">-TEXT 42628.0612746661,290 3.5 0 T=18.35 </t>
  </si>
  <si>
    <t xml:space="preserve">-TEXT 42628.0612746661,285 3.5 0 S=34.41 </t>
  </si>
  <si>
    <t>-TEXT 42652.7264452127,300 3.5 0 R=60</t>
  </si>
  <si>
    <t xml:space="preserve">-TEXT 42652.7264452127,295 3.5 0 α=32.92° </t>
  </si>
  <si>
    <t xml:space="preserve">-TEXT 42652.7264452127,290 3.5 0 T=17.73 </t>
  </si>
  <si>
    <t xml:space="preserve">-TEXT 42652.7264452127,285 3.5 0 S=34.48 </t>
  </si>
  <si>
    <t>-TEXT 42722.3227931043,300 3.5 0 R=60</t>
  </si>
  <si>
    <t xml:space="preserve">-TEXT 42722.3227931043,295 3.5 0 α=18.84° </t>
  </si>
  <si>
    <t xml:space="preserve">-TEXT 42722.3227931043,290 3.5 0 T=9.95 </t>
  </si>
  <si>
    <t xml:space="preserve">-TEXT 42722.3227931043,285 3.5 0 S=19.73 </t>
  </si>
  <si>
    <t>-TEXT 42773.9565668285,300 3.5 0 R=60</t>
  </si>
  <si>
    <t xml:space="preserve">-TEXT 42773.9565668285,295 3.5 0 α=20.25° </t>
  </si>
  <si>
    <t xml:space="preserve">-TEXT 42773.9565668285,290 3.5 0 T=10.72 </t>
  </si>
  <si>
    <t xml:space="preserve">-TEXT 42773.9565668285,285 3.5 0 S=21.21 </t>
  </si>
  <si>
    <t>-TEXT 42836.2745942402,300 3.5 0 R=60</t>
  </si>
  <si>
    <t xml:space="preserve">-TEXT 42836.2745942402,295 3.5 0 α=39.16° </t>
  </si>
  <si>
    <t xml:space="preserve">-TEXT 42836.2745942402,290 3.5 0 T=21.34 </t>
  </si>
  <si>
    <t xml:space="preserve">-TEXT 42836.2745942402,285 3.5 0 S=41.01 </t>
  </si>
  <si>
    <t>-TEXT 42894.1214985431,300 3.5 0 R=60</t>
  </si>
  <si>
    <t xml:space="preserve">-TEXT 42894.1214985431,295 3.5 0 α=30.75° </t>
  </si>
  <si>
    <t xml:space="preserve">-TEXT 42894.1214985431,290 3.5 0 T=16.50 </t>
  </si>
  <si>
    <t xml:space="preserve">-TEXT 42894.1214985431,285 3.5 0 S=32.20 </t>
  </si>
  <si>
    <t>-TEXT 42940.3239074672,300 3.5 0 R=60</t>
  </si>
  <si>
    <t xml:space="preserve">-TEXT 42940.3239074672,295 3.5 0 α=38.71° </t>
  </si>
  <si>
    <t xml:space="preserve">-TEXT 42940.3239074672,290 3.5 0 T=21.08 </t>
  </si>
  <si>
    <t xml:space="preserve">-TEXT 42940.3239074672,285 3.5 0 S=40.53 </t>
  </si>
  <si>
    <t>-TEXT 42996.6851873126,300 3.5 0 R=60</t>
  </si>
  <si>
    <t xml:space="preserve">-TEXT 42996.6851873126,295 3.5 0 α=58.90° </t>
  </si>
  <si>
    <t xml:space="preserve">-TEXT 42996.6851873126,290 3.5 0 T=33.88 </t>
  </si>
  <si>
    <t xml:space="preserve">-TEXT 42996.6851873126,285 3.5 0 S=61.68 </t>
  </si>
  <si>
    <t>-TEXT 43057.7062268376,300 3.5 0 R=60</t>
  </si>
  <si>
    <t xml:space="preserve">-TEXT 43057.7062268376,295 3.5 0 α=50.42° </t>
  </si>
  <si>
    <t xml:space="preserve">-TEXT 43057.7062268376,290 3.5 0 T=28.25 </t>
  </si>
  <si>
    <t xml:space="preserve">-TEXT 43057.7062268376,285 3.5 0 S=52.80 </t>
  </si>
  <si>
    <t>-TEXT 43084.1009197784,300 3.5 0 R=60</t>
  </si>
  <si>
    <t xml:space="preserve">-TEXT 43084.1009197784,295 3.5 0 α=28.00° </t>
  </si>
  <si>
    <t xml:space="preserve">-TEXT 43084.1009197784,290 3.5 0 T=14.96 </t>
  </si>
  <si>
    <t xml:space="preserve">-TEXT 43084.1009197784,285 3.5 0 S=29.32 </t>
  </si>
  <si>
    <t>-TEXT 43121.8668729538,300 3.5 0 R=60</t>
  </si>
  <si>
    <t xml:space="preserve">-TEXT 43121.8668729538,295 3.5 0 α=40.36° </t>
  </si>
  <si>
    <t xml:space="preserve">-TEXT 43121.8668729538,290 3.5 0 T=22.05 </t>
  </si>
  <si>
    <t xml:space="preserve">-TEXT 43121.8668729538,285 3.5 0 S=42.26 </t>
  </si>
  <si>
    <t>-TEXT 43247.9020887469,300 3.5 0 R=60</t>
  </si>
  <si>
    <t xml:space="preserve">-TEXT 43247.9020887469,295 3.5 0 α=42.67° </t>
  </si>
  <si>
    <t xml:space="preserve">-TEXT 43247.9020887469,290 3.5 0 T=23.43 </t>
  </si>
  <si>
    <t xml:space="preserve">-TEXT 43247.9020887469,285 3.5 0 S=44.68 </t>
  </si>
  <si>
    <t>-TEXT 43306.3098171395,300 3.5 0 R=60</t>
  </si>
  <si>
    <t xml:space="preserve">-TEXT 43306.3098171395,295 3.5 0 α=45.33° </t>
  </si>
  <si>
    <t xml:space="preserve">-TEXT 43306.3098171395,290 3.5 0 T=25.06 </t>
  </si>
  <si>
    <t xml:space="preserve">-TEXT 43306.3098171395,285 3.5 0 S=47.47 </t>
  </si>
  <si>
    <t>-TEXT 43562.1374833662,300 3.5 0 R=60</t>
  </si>
  <si>
    <t xml:space="preserve">-TEXT 43562.1374833662,295 3.5 0 α=10.44° </t>
  </si>
  <si>
    <t xml:space="preserve">-TEXT 43562.1374833662,290 3.5 0 T=5.48 </t>
  </si>
  <si>
    <t xml:space="preserve">-TEXT 43562.1374833662,285 3.5 0 S=10.93 </t>
  </si>
  <si>
    <t>-TEXT 43674.0071214583,300 3.5 0 R=60</t>
  </si>
  <si>
    <t xml:space="preserve">-TEXT 43674.0071214583,295 3.5 0 α=32.89° </t>
  </si>
  <si>
    <t xml:space="preserve">-TEXT 43674.0071214583,290 3.5 0 T=17.71 </t>
  </si>
  <si>
    <t xml:space="preserve">-TEXT 43674.0071214583,285 3.5 0 S=34.44 </t>
  </si>
  <si>
    <t>-TEXT 43734.9020643826,300 3.5 0 R=60</t>
  </si>
  <si>
    <t xml:space="preserve">-TEXT 43734.9020643826,295 3.5 0 α=19.59° </t>
  </si>
  <si>
    <t xml:space="preserve">-TEXT 43734.9020643826,290 3.5 0 T=10.36 </t>
  </si>
  <si>
    <t xml:space="preserve">-TEXT 43734.9020643826,285 3.5 0 S=20.52 </t>
  </si>
  <si>
    <t>-TEXT 43770.8858875385,300 3.5 0 R=60</t>
  </si>
  <si>
    <t xml:space="preserve">-TEXT 43770.8858875385,295 3.5 0 α=47.96° </t>
  </si>
  <si>
    <t xml:space="preserve">-TEXT 43770.8858875385,290 3.5 0 T=26.69 </t>
  </si>
  <si>
    <t xml:space="preserve">-TEXT 43770.8858875385,285 3.5 0 S=50.22 </t>
  </si>
  <si>
    <t>-TEXT 4380.89457260491,300 3.5 0 R=80</t>
  </si>
  <si>
    <t xml:space="preserve">-TEXT 4380.89457260491,295 3.5 0 α=24.90° </t>
  </si>
  <si>
    <t xml:space="preserve">-TEXT 4380.89457260491,290 3.5 0 T=17.66 </t>
  </si>
  <si>
    <t xml:space="preserve">-TEXT 4380.89457260491,285 3.5 0 S=34.77 </t>
  </si>
  <si>
    <t>-TEXT 43802.034530757,300 3.5 0 R=60</t>
  </si>
  <si>
    <t xml:space="preserve">-TEXT 43802.034530757,295 3.5 0 α=5.19° </t>
  </si>
  <si>
    <t xml:space="preserve">-TEXT 43802.034530757,290 3.5 0 T=2.72 </t>
  </si>
  <si>
    <t xml:space="preserve">-TEXT 43802.034530757,285 3.5 0 S=5.43 </t>
  </si>
  <si>
    <t>-TEXT 43869.4878741816,300 3.5 0 R=15</t>
  </si>
  <si>
    <t xml:space="preserve">-TEXT 43869.4878741816,295 3.5 0 α=16.88° </t>
  </si>
  <si>
    <t xml:space="preserve">-TEXT 43869.4878741816,290 3.5 0 T=2.23 </t>
  </si>
  <si>
    <t xml:space="preserve">-TEXT 43869.4878741816,285 3.5 0 S=4.42 </t>
  </si>
  <si>
    <t>-TEXT 43900.3281146027,300 3.5 0 R=15</t>
  </si>
  <si>
    <t xml:space="preserve">-TEXT 43900.3281146027,295 3.5 0 α=31.94° </t>
  </si>
  <si>
    <t xml:space="preserve">-TEXT 43900.3281146027,290 3.5 0 T=4.29 </t>
  </si>
  <si>
    <t xml:space="preserve">-TEXT 43900.3281146027,285 3.5 0 S=8.36 </t>
  </si>
  <si>
    <t>-TEXT 43949.9583406668,300 3.5 0 R=15</t>
  </si>
  <si>
    <t xml:space="preserve">-TEXT 43949.9583406668,295 3.5 0 α=33.71° </t>
  </si>
  <si>
    <t xml:space="preserve">-TEXT 43949.9583406668,290 3.5 0 T=4.54 </t>
  </si>
  <si>
    <t xml:space="preserve">-TEXT 43949.9583406668,285 3.5 0 S=8.82 </t>
  </si>
  <si>
    <t>-TEXT 43989.4307568884,300 3.5 0 R=15</t>
  </si>
  <si>
    <t xml:space="preserve">-TEXT 43989.4307568884,295 3.5 0 α=20.95° </t>
  </si>
  <si>
    <t xml:space="preserve">-TEXT 43989.4307568884,290 3.5 0 T=2.77 </t>
  </si>
  <si>
    <t xml:space="preserve">-TEXT 43989.4307568884,285 3.5 0 S=5.49 </t>
  </si>
  <si>
    <t>-TEXT 44013.1421190871,300 3.5 0 R=15</t>
  </si>
  <si>
    <t xml:space="preserve">-TEXT 44013.1421190871,295 3.5 0 α=40.21° </t>
  </si>
  <si>
    <t xml:space="preserve">-TEXT 44013.1421190871,290 3.5 0 T=5.49 </t>
  </si>
  <si>
    <t xml:space="preserve">-TEXT 44013.1421190871,285 3.5 0 S=10.53 </t>
  </si>
  <si>
    <t>-TEXT 44043.3216880636,300 3.5 0 R=15</t>
  </si>
  <si>
    <t xml:space="preserve">-TEXT 44043.3216880636,295 3.5 0 α=45.92° </t>
  </si>
  <si>
    <t xml:space="preserve">-TEXT 44043.3216880636,290 3.5 0 T=6.36 </t>
  </si>
  <si>
    <t xml:space="preserve">-TEXT 44043.3216880636,285 3.5 0 S=12.02 </t>
  </si>
  <si>
    <t>-TEXT 44062.0275642576,300 3.5 0 R=15</t>
  </si>
  <si>
    <t xml:space="preserve">-TEXT 44062.0275642576,295 3.5 0 α=42.46° </t>
  </si>
  <si>
    <t xml:space="preserve">-TEXT 44062.0275642576,290 3.5 0 T=5.83 </t>
  </si>
  <si>
    <t xml:space="preserve">-TEXT 44062.0275642576,285 3.5 0 S=11.12 </t>
  </si>
  <si>
    <t>-TEXT 44142.1861212594,300 3.5 0 R=15</t>
  </si>
  <si>
    <t xml:space="preserve">-TEXT 44142.1861212594,295 3.5 0 α=24.34° </t>
  </si>
  <si>
    <t xml:space="preserve">-TEXT 44142.1861212594,290 3.5 0 T=3.24 </t>
  </si>
  <si>
    <t xml:space="preserve">-TEXT 44142.1861212594,285 3.5 0 S=6.37 </t>
  </si>
  <si>
    <t>-TEXT 44189.6796544355,300 3.5 0 R=15</t>
  </si>
  <si>
    <t xml:space="preserve">-TEXT 44189.6796544355,295 3.5 0 α=29.83° </t>
  </si>
  <si>
    <t xml:space="preserve">-TEXT 44189.6796544355,290 3.5 0 T=4.00 </t>
  </si>
  <si>
    <t xml:space="preserve">-TEXT 44189.6796544355,285 3.5 0 S=7.81 </t>
  </si>
  <si>
    <t>-TEXT 44313.5552882911,300 3.5 0 R=60</t>
  </si>
  <si>
    <t xml:space="preserve">-TEXT 44313.5552882911,295 3.5 0 α=3.90° </t>
  </si>
  <si>
    <t xml:space="preserve">-TEXT 44313.5552882911,290 3.5 0 T=2.04 </t>
  </si>
  <si>
    <t xml:space="preserve">-TEXT 44313.5552882911,285 3.5 0 S=4.09 </t>
  </si>
  <si>
    <t>-TEXT 44513.3006580935,300 3.5 0 R=60</t>
  </si>
  <si>
    <t xml:space="preserve">-TEXT 44513.3006580935,295 3.5 0 α=22.31° </t>
  </si>
  <si>
    <t xml:space="preserve">-TEXT 44513.3006580935,290 3.5 0 T=11.83 </t>
  </si>
  <si>
    <t xml:space="preserve">-TEXT 44513.3006580935,285 3.5 0 S=23.36 </t>
  </si>
  <si>
    <t>-TEXT 44575.1983959198,300 3.5 0 R=60</t>
  </si>
  <si>
    <t xml:space="preserve">-TEXT 44575.1983959198,295 3.5 0 α=17.27° </t>
  </si>
  <si>
    <t xml:space="preserve">-TEXT 44575.1983959198,290 3.5 0 T=9.11 </t>
  </si>
  <si>
    <t xml:space="preserve">-TEXT 44575.1983959198,285 3.5 0 S=18.09 </t>
  </si>
  <si>
    <t>-TEXT 44639.8015980003,300 3.5 0 R=60</t>
  </si>
  <si>
    <t xml:space="preserve">-TEXT 44639.8015980003,295 3.5 0 α=19.56° </t>
  </si>
  <si>
    <t xml:space="preserve">-TEXT 44639.8015980003,290 3.5 0 T=10.34 </t>
  </si>
  <si>
    <t xml:space="preserve">-TEXT 44639.8015980003,285 3.5 0 S=20.48 </t>
  </si>
  <si>
    <t>-TEXT 44892.7206183694,300 3.5 0 R=60</t>
  </si>
  <si>
    <t xml:space="preserve">-TEXT 44892.7206183694,295 3.5 0 α=7.17° </t>
  </si>
  <si>
    <t xml:space="preserve">-TEXT 44892.7206183694,290 3.5 0 T=3.76 </t>
  </si>
  <si>
    <t xml:space="preserve">-TEXT 44892.7206183694,285 3.5 0 S=7.51 </t>
  </si>
  <si>
    <t>-TEXT 44948.6222761758,300 3.5 0 R=60</t>
  </si>
  <si>
    <t xml:space="preserve">-TEXT 44948.6222761758,295 3.5 0 α=40.96° </t>
  </si>
  <si>
    <t xml:space="preserve">-TEXT 44948.6222761758,290 3.5 0 T=22.41 </t>
  </si>
  <si>
    <t xml:space="preserve">-TEXT 44948.6222761758,285 3.5 0 S=42.89 </t>
  </si>
  <si>
    <t>-TEXT 45030.3634963041,300 3.5 0 R=60</t>
  </si>
  <si>
    <t xml:space="preserve">-TEXT 45030.3634963041,295 3.5 0 α=27.72° </t>
  </si>
  <si>
    <t xml:space="preserve">-TEXT 45030.3634963041,290 3.5 0 T=14.80 </t>
  </si>
  <si>
    <t xml:space="preserve">-TEXT 45030.3634963041,285 3.5 0 S=29.03 </t>
  </si>
  <si>
    <t>-TEXT 45314.213038176,300 3.5 0 R=60</t>
  </si>
  <si>
    <t xml:space="preserve">-TEXT 45314.213038176,295 3.5 0 α=6.20° </t>
  </si>
  <si>
    <t xml:space="preserve">-TEXT 45314.213038176,290 3.5 0 T=3.25 </t>
  </si>
  <si>
    <t xml:space="preserve">-TEXT 45314.213038176,285 3.5 0 S=6.49 </t>
  </si>
  <si>
    <t>-TEXT 45362.9934436339,300 3.5 0 R=40</t>
  </si>
  <si>
    <t xml:space="preserve">-TEXT 45362.9934436339,295 3.5 0 α=53.18° </t>
  </si>
  <si>
    <t xml:space="preserve">-TEXT 45362.9934436339,290 3.5 0 T=20.02 </t>
  </si>
  <si>
    <t xml:space="preserve">-TEXT 45362.9934436339,285 3.5 0 S=37.12 </t>
  </si>
  <si>
    <t>-TEXT 45449.5266578749,300 3.5 0 R=60</t>
  </si>
  <si>
    <t xml:space="preserve">-TEXT 45449.5266578749,295 3.5 0 α=20.93° </t>
  </si>
  <si>
    <t xml:space="preserve">-TEXT 45449.5266578749,290 3.5 0 T=11.08 </t>
  </si>
  <si>
    <t xml:space="preserve">-TEXT 45449.5266578749,285 3.5 0 S=21.92 </t>
  </si>
  <si>
    <t>-TEXT 45511.8396355733,300 3.5 0 R=60</t>
  </si>
  <si>
    <t xml:space="preserve">-TEXT 45511.8396355733,295 3.5 0 α=27.79° </t>
  </si>
  <si>
    <t xml:space="preserve">-TEXT 45511.8396355733,290 3.5 0 T=14.84 </t>
  </si>
  <si>
    <t xml:space="preserve">-TEXT 45511.8396355733,285 3.5 0 S=29.10 </t>
  </si>
  <si>
    <t>-TEXT 45703.6077651529,300 3.5 0 R=60</t>
  </si>
  <si>
    <t xml:space="preserve">-TEXT 45703.6077651529,295 3.5 0 α=9.63° </t>
  </si>
  <si>
    <t xml:space="preserve">-TEXT 45703.6077651529,290 3.5 0 T=5.05 </t>
  </si>
  <si>
    <t xml:space="preserve">-TEXT 45703.6077651529,285 3.5 0 S=10.08 </t>
  </si>
  <si>
    <t>-TEXT 45799.0525328887,300 3.5 0 R=60</t>
  </si>
  <si>
    <t xml:space="preserve">-TEXT 45799.0525328887,295 3.5 0 α=27.36° </t>
  </si>
  <si>
    <t xml:space="preserve">-TEXT 45799.0525328887,290 3.5 0 T=14.60 </t>
  </si>
  <si>
    <t xml:space="preserve">-TEXT 45799.0525328887,285 3.5 0 S=28.65 </t>
  </si>
  <si>
    <t>-TEXT 45941.5269092089,300 3.5 0 R=60</t>
  </si>
  <si>
    <t xml:space="preserve">-TEXT 45941.5269092089,295 3.5 0 α=29.78° </t>
  </si>
  <si>
    <t xml:space="preserve">-TEXT 45941.5269092089,290 3.5 0 T=15.95 </t>
  </si>
  <si>
    <t xml:space="preserve">-TEXT 45941.5269092089,285 3.5 0 S=31.19 </t>
  </si>
  <si>
    <t>-TEXT 46042.0848243389,300 3.5 0 R=60</t>
  </si>
  <si>
    <t xml:space="preserve">-TEXT 46042.0848243389,295 3.5 0 α=25.91° </t>
  </si>
  <si>
    <t xml:space="preserve">-TEXT 46042.0848243389,290 3.5 0 T=13.80 </t>
  </si>
  <si>
    <t xml:space="preserve">-TEXT 46042.0848243389,285 3.5 0 S=27.13 </t>
  </si>
  <si>
    <t>-TEXT 46207.6231147147,300 3.5 0 R=60</t>
  </si>
  <si>
    <t xml:space="preserve">-TEXT 46207.6231147147,295 3.5 0 α=24.40° </t>
  </si>
  <si>
    <t xml:space="preserve">-TEXT 46207.6231147147,290 3.5 0 T=12.97 </t>
  </si>
  <si>
    <t xml:space="preserve">-TEXT 46207.6231147147,285 3.5 0 S=25.55 </t>
  </si>
  <si>
    <t>-TEXT 46331.7211491526,300 3.5 0 R=60</t>
  </si>
  <si>
    <t xml:space="preserve">-TEXT 46331.7211491526,295 3.5 0 α=32.14° </t>
  </si>
  <si>
    <t xml:space="preserve">-TEXT 46331.7211491526,290 3.5 0 T=17.28 </t>
  </si>
  <si>
    <t xml:space="preserve">-TEXT 46331.7211491526,285 3.5 0 S=33.65 </t>
  </si>
  <si>
    <t>-TEXT 46373.2045453805,300 3.5 0 R=60</t>
  </si>
  <si>
    <t xml:space="preserve">-TEXT 46373.2045453805,295 3.5 0 α=40.74° </t>
  </si>
  <si>
    <t xml:space="preserve">-TEXT 46373.2045453805,290 3.5 0 T=22.28 </t>
  </si>
  <si>
    <t xml:space="preserve">-TEXT 46373.2045453805,285 3.5 0 S=42.67 </t>
  </si>
  <si>
    <t>-TEXT 46550.4197770228,300 3.5 0 R=60</t>
  </si>
  <si>
    <t xml:space="preserve">-TEXT 46550.4197770228,295 3.5 0 α=16.52° </t>
  </si>
  <si>
    <t xml:space="preserve">-TEXT 46550.4197770228,290 3.5 0 T=8.71 </t>
  </si>
  <si>
    <t xml:space="preserve">-TEXT 46550.4197770228,285 3.5 0 S=17.30 </t>
  </si>
  <si>
    <t>-TEXT 46751.3587401093,300 3.5 0 R=60</t>
  </si>
  <si>
    <t xml:space="preserve">-TEXT 46751.3587401093,295 3.5 0 α=20.21° </t>
  </si>
  <si>
    <t xml:space="preserve">-TEXT 46751.3587401093,290 3.5 0 T=10.69 </t>
  </si>
  <si>
    <t xml:space="preserve">-TEXT 46751.3587401093,285 3.5 0 S=21.16 </t>
  </si>
  <si>
    <t>-TEXT 46964.1100881632,300 3.5 0 R=60</t>
  </si>
  <si>
    <t xml:space="preserve">-TEXT 46964.1100881632,295 3.5 0 α=23.11° </t>
  </si>
  <si>
    <t xml:space="preserve">-TEXT 46964.1100881632,290 3.5 0 T=12.27 </t>
  </si>
  <si>
    <t xml:space="preserve">-TEXT 46964.1100881632,285 3.5 0 S=24.20 </t>
  </si>
  <si>
    <t>-TEXT 472.501747049028,300 3.5 0 R=80</t>
  </si>
  <si>
    <t xml:space="preserve">-TEXT 472.501747049028,295 3.5 0 α=3.28° </t>
  </si>
  <si>
    <t xml:space="preserve">-TEXT 472.501747049028,290 3.5 0 T=2.29 </t>
  </si>
  <si>
    <t xml:space="preserve">-TEXT 472.501747049028,285 3.5 0 S=4.59 </t>
  </si>
  <si>
    <t>-TEXT 47241.176787588,300 3.5 0 R=60</t>
  </si>
  <si>
    <t xml:space="preserve">-TEXT 47241.176787588,295 3.5 0 α=30.89° </t>
  </si>
  <si>
    <t xml:space="preserve">-TEXT 47241.176787588,290 3.5 0 T=16.58 </t>
  </si>
  <si>
    <t xml:space="preserve">-TEXT 47241.176787588,285 3.5 0 S=32.34 </t>
  </si>
  <si>
    <t>-TEXT 47440.5647418876,300 3.5 0 R=60</t>
  </si>
  <si>
    <t xml:space="preserve">-TEXT 47440.5647418876,295 3.5 0 α=14.92° </t>
  </si>
  <si>
    <t xml:space="preserve">-TEXT 47440.5647418876,290 3.5 0 T=7.86 </t>
  </si>
  <si>
    <t xml:space="preserve">-TEXT 47440.5647418876,285 3.5 0 S=15.63 </t>
  </si>
  <si>
    <t>-TEXT 47513.2942840262,300 3.5 0 R=60</t>
  </si>
  <si>
    <t xml:space="preserve">-TEXT 47513.2942840262,295 3.5 0 α=24.50° </t>
  </si>
  <si>
    <t xml:space="preserve">-TEXT 47513.2942840262,290 3.5 0 T=13.03 </t>
  </si>
  <si>
    <t xml:space="preserve">-TEXT 47513.2942840262,285 3.5 0 S=25.65 </t>
  </si>
  <si>
    <t>-TEXT 47557.9083691645,300 3.5 0 R=60</t>
  </si>
  <si>
    <t xml:space="preserve">-TEXT 47557.9083691645,295 3.5 0 α=11.69° </t>
  </si>
  <si>
    <t xml:space="preserve">-TEXT 47557.9083691645,290 3.5 0 T=6.14 </t>
  </si>
  <si>
    <t xml:space="preserve">-TEXT 47557.9083691645,285 3.5 0 S=12.24 </t>
  </si>
  <si>
    <t>-TEXT 47714.2653995055,300 3.5 0 R=60</t>
  </si>
  <si>
    <t xml:space="preserve">-TEXT 47714.2653995055,295 3.5 0 α=12.13° </t>
  </si>
  <si>
    <t xml:space="preserve">-TEXT 47714.2653995055,290 3.5 0 T=6.38 </t>
  </si>
  <si>
    <t xml:space="preserve">-TEXT 47714.2653995055,285 3.5 0 S=12.71 </t>
  </si>
  <si>
    <t>-TEXT 47785.5713966685,300 3.5 0 R=60</t>
  </si>
  <si>
    <t xml:space="preserve">-TEXT 47785.5713966685,295 3.5 0 α=38.38° </t>
  </si>
  <si>
    <t xml:space="preserve">-TEXT 47785.5713966685,290 3.5 0 T=20.88 </t>
  </si>
  <si>
    <t xml:space="preserve">-TEXT 47785.5713966685,285 3.5 0 S=40.19 </t>
  </si>
  <si>
    <t>-TEXT 47904.5113714518,300 3.5 0 R=60</t>
  </si>
  <si>
    <t xml:space="preserve">-TEXT 47904.5113714518,295 3.5 0 α=17.68° </t>
  </si>
  <si>
    <t xml:space="preserve">-TEXT 47904.5113714518,290 3.5 0 T=9.33 </t>
  </si>
  <si>
    <t xml:space="preserve">-TEXT 47904.5113714518,285 3.5 0 S=18.51 </t>
  </si>
  <si>
    <t>-TEXT 47949.6212615695,300 3.5 0 R=60</t>
  </si>
  <si>
    <t xml:space="preserve">-TEXT 47949.6212615695,295 3.5 0 α=22.43° </t>
  </si>
  <si>
    <t xml:space="preserve">-TEXT 47949.6212615695,290 3.5 0 T=11.90 </t>
  </si>
  <si>
    <t xml:space="preserve">-TEXT 47949.6212615695,285 3.5 0 S=23.49 </t>
  </si>
  <si>
    <t>-TEXT 48029.4929608444,300 3.5 0 R=60</t>
  </si>
  <si>
    <t xml:space="preserve">-TEXT 48029.4929608444,295 3.5 0 α=22.46° </t>
  </si>
  <si>
    <t xml:space="preserve">-TEXT 48029.4929608444,290 3.5 0 T=11.92 </t>
  </si>
  <si>
    <t xml:space="preserve">-TEXT 48029.4929608444,285 3.5 0 S=23.52 </t>
  </si>
  <si>
    <t>-TEXT 48054.0869036095,300 3.5 0 R=60</t>
  </si>
  <si>
    <t xml:space="preserve">-TEXT 48054.0869036095,295 3.5 0 α=30.56° </t>
  </si>
  <si>
    <t xml:space="preserve">-TEXT 48054.0869036095,290 3.5 0 T=16.39 </t>
  </si>
  <si>
    <t xml:space="preserve">-TEXT 48054.0869036095,285 3.5 0 S=32.00 </t>
  </si>
  <si>
    <t>-TEXT 48137.0815533266,300 3.5 0 R=60</t>
  </si>
  <si>
    <t xml:space="preserve">-TEXT 48137.0815533266,295 3.5 0 α=33.23° </t>
  </si>
  <si>
    <t xml:space="preserve">-TEXT 48137.0815533266,290 3.5 0 T=17.90 </t>
  </si>
  <si>
    <t xml:space="preserve">-TEXT 48137.0815533266,285 3.5 0 S=34.79 </t>
  </si>
  <si>
    <t>-TEXT 48216.8883451315,300 3.5 0 R=60</t>
  </si>
  <si>
    <t xml:space="preserve">-TEXT 48216.8883451315,295 3.5 0 α=17.78° </t>
  </si>
  <si>
    <t xml:space="preserve">-TEXT 48216.8883451315,290 3.5 0 T=9.39 </t>
  </si>
  <si>
    <t xml:space="preserve">-TEXT 48216.8883451315,285 3.5 0 S=18.62 </t>
  </si>
  <si>
    <t>-TEXT 48335.492394077,300 3.5 0 R=60</t>
  </si>
  <si>
    <t xml:space="preserve">-TEXT 48335.492394077,295 3.5 0 α=22.91° </t>
  </si>
  <si>
    <t xml:space="preserve">-TEXT 48335.492394077,290 3.5 0 T=12.16 </t>
  </si>
  <si>
    <t xml:space="preserve">-TEXT 48335.492394077,285 3.5 0 S=23.99 </t>
  </si>
  <si>
    <t>-TEXT 48476.5855716222,300 3.5 0 R=60</t>
  </si>
  <si>
    <t xml:space="preserve">-TEXT 48476.5855716222,295 3.5 0 α=32.05° </t>
  </si>
  <si>
    <t xml:space="preserve">-TEXT 48476.5855716222,290 3.5 0 T=17.24 </t>
  </si>
  <si>
    <t xml:space="preserve">-TEXT 48476.5855716222,285 3.5 0 S=33.57 </t>
  </si>
  <si>
    <t>-TEXT 48527.7758952739,300 3.5 0 R=60</t>
  </si>
  <si>
    <t xml:space="preserve">-TEXT 48527.7758952739,295 3.5 0 α=34.12° </t>
  </si>
  <si>
    <t xml:space="preserve">-TEXT 48527.7758952739,290 3.5 0 T=18.41 </t>
  </si>
  <si>
    <t xml:space="preserve">-TEXT 48527.7758952739,285 3.5 0 S=35.73 </t>
  </si>
  <si>
    <t>-TEXT 48649.4339827202,300 3.5 0 R=60</t>
  </si>
  <si>
    <t xml:space="preserve">-TEXT 48649.4339827202,295 3.5 0 α=39.68° </t>
  </si>
  <si>
    <t xml:space="preserve">-TEXT 48649.4339827202,290 3.5 0 T=21.65 </t>
  </si>
  <si>
    <t xml:space="preserve">-TEXT 48649.4339827202,285 3.5 0 S=41.55 </t>
  </si>
  <si>
    <t>-TEXT 48748.2568439351,300 3.5 0 R=60</t>
  </si>
  <si>
    <t xml:space="preserve">-TEXT 48748.2568439351,295 3.5 0 α=8.10° </t>
  </si>
  <si>
    <t xml:space="preserve">-TEXT 48748.2568439351,290 3.5 0 T=4.25 </t>
  </si>
  <si>
    <t xml:space="preserve">-TEXT 48748.2568439351,285 3.5 0 S=8.49 </t>
  </si>
  <si>
    <t>-TEXT 48829.3659177032,300 3.5 0 R=60</t>
  </si>
  <si>
    <t xml:space="preserve">-TEXT 48829.3659177032,295 3.5 0 α=27.16° </t>
  </si>
  <si>
    <t xml:space="preserve">-TEXT 48829.3659177032,290 3.5 0 T=14.50 </t>
  </si>
  <si>
    <t xml:space="preserve">-TEXT 48829.3659177032,285 3.5 0 S=28.45 </t>
  </si>
  <si>
    <t>-TEXT 48939.7993381718,300 3.5 0 R=60</t>
  </si>
  <si>
    <t xml:space="preserve">-TEXT 48939.7993381718,295 3.5 0 α=20.37° </t>
  </si>
  <si>
    <t xml:space="preserve">-TEXT 48939.7993381718,290 3.5 0 T=10.78 </t>
  </si>
  <si>
    <t xml:space="preserve">-TEXT 48939.7993381718,285 3.5 0 S=21.33 </t>
  </si>
  <si>
    <t>-TEXT 49094.9973597437,300 3.5 0 R=60</t>
  </si>
  <si>
    <t xml:space="preserve">-TEXT 49094.9973597437,295 3.5 0 α=13.85° </t>
  </si>
  <si>
    <t xml:space="preserve">-TEXT 49094.9973597437,290 3.5 0 T=7.29 </t>
  </si>
  <si>
    <t xml:space="preserve">-TEXT 49094.9973597437,285 3.5 0 S=14.50 </t>
  </si>
  <si>
    <t>-TEXT 49227.909189157,300 3.5 0 R=40</t>
  </si>
  <si>
    <t xml:space="preserve">-TEXT 49227.909189157,295 3.5 0 α=57.85° </t>
  </si>
  <si>
    <t xml:space="preserve">-TEXT 49227.909189157,290 3.5 0 T=22.11 </t>
  </si>
  <si>
    <t xml:space="preserve">-TEXT 49227.909189157,285 3.5 0 S=40.39 </t>
  </si>
  <si>
    <t>-TEXT 49366.8079058352,300 3.5 0 R=60</t>
  </si>
  <si>
    <t xml:space="preserve">-TEXT 49366.8079058352,295 3.5 0 α=27.58° </t>
  </si>
  <si>
    <t xml:space="preserve">-TEXT 49366.8079058352,290 3.5 0 T=14.73 </t>
  </si>
  <si>
    <t xml:space="preserve">-TEXT 49366.8079058352,285 3.5 0 S=28.88 </t>
  </si>
  <si>
    <t>-TEXT 49481.1994153741,300 3.5 0 R=60</t>
  </si>
  <si>
    <t xml:space="preserve">-TEXT 49481.1994153741,295 3.5 0 α=18.56° </t>
  </si>
  <si>
    <t xml:space="preserve">-TEXT 49481.1994153741,290 3.5 0 T=9.80 </t>
  </si>
  <si>
    <t xml:space="preserve">-TEXT 49481.1994153741,285 3.5 0 S=19.44 </t>
  </si>
  <si>
    <t>-TEXT 50040.7573111059,300 3.5 0 R=60</t>
  </si>
  <si>
    <t xml:space="preserve">-TEXT 50040.7573111059,295 3.5 0 α=40.46° </t>
  </si>
  <si>
    <t xml:space="preserve">-TEXT 50040.7573111059,290 3.5 0 T=22.11 </t>
  </si>
  <si>
    <t xml:space="preserve">-TEXT 50040.7573111059,285 3.5 0 S=42.37 </t>
  </si>
  <si>
    <t>-TEXT 50263.9716535596,300 3.5 0 R=80</t>
  </si>
  <si>
    <t xml:space="preserve">-TEXT 50263.9716535596,295 3.5 0 α=20.73° </t>
  </si>
  <si>
    <t xml:space="preserve">-TEXT 50263.9716535596,290 3.5 0 T=14.63 </t>
  </si>
  <si>
    <t xml:space="preserve">-TEXT 50263.9716535596,285 3.5 0 S=28.94 </t>
  </si>
  <si>
    <t>-TEXT 50433.9428918454,300 3.5 0 R=80</t>
  </si>
  <si>
    <t xml:space="preserve">-TEXT 50433.9428918454,295 3.5 0 α=18.19° </t>
  </si>
  <si>
    <t xml:space="preserve">-TEXT 50433.9428918454,290 3.5 0 T=12.80 </t>
  </si>
  <si>
    <t xml:space="preserve">-TEXT 50433.9428918454,285 3.5 0 S=25.39 </t>
  </si>
  <si>
    <t>-TEXT 50764.8013131546,300 3.5 0 R=80</t>
  </si>
  <si>
    <t xml:space="preserve">-TEXT 50764.8013131546,295 3.5 0 α=51.46° </t>
  </si>
  <si>
    <t xml:space="preserve">-TEXT 50764.8013131546,290 3.5 0 T=38.55 </t>
  </si>
  <si>
    <t xml:space="preserve">-TEXT 50764.8013131546,285 3.5 0 S=71.85 </t>
  </si>
  <si>
    <t>-TEXT 50881.2824859942,300 3.5 0 R=60</t>
  </si>
  <si>
    <t xml:space="preserve">-TEXT 50881.2824859942,295 3.5 0 α=30.99° </t>
  </si>
  <si>
    <t xml:space="preserve">-TEXT 50881.2824859942,290 3.5 0 T=16.63 </t>
  </si>
  <si>
    <t xml:space="preserve">-TEXT 50881.2824859942,285 3.5 0 S=32.45 </t>
  </si>
  <si>
    <t>-TEXT 50965.531523223,300 3.5 0 R=60</t>
  </si>
  <si>
    <t xml:space="preserve">-TEXT 50965.531523223,295 3.5 0 α=29.02° </t>
  </si>
  <si>
    <t xml:space="preserve">-TEXT 50965.531523223,290 3.5 0 T=15.53 </t>
  </si>
  <si>
    <t xml:space="preserve">-TEXT 50965.531523223,285 3.5 0 S=30.39 </t>
  </si>
  <si>
    <t>-TEXT 51128.0580148266,300 3.5 0 R=60</t>
  </si>
  <si>
    <t xml:space="preserve">-TEXT 51128.0580148266,295 3.5 0 α=11.97° </t>
  </si>
  <si>
    <t xml:space="preserve">-TEXT 51128.0580148266,290 3.5 0 T=6.29 </t>
  </si>
  <si>
    <t xml:space="preserve">-TEXT 51128.0580148266,285 3.5 0 S=12.53 </t>
  </si>
  <si>
    <t>-TEXT 51685.2967112401,300 3.5 0 R=60</t>
  </si>
  <si>
    <t xml:space="preserve">-TEXT 51685.2967112401,295 3.5 0 α=13.00° </t>
  </si>
  <si>
    <t xml:space="preserve">-TEXT 51685.2967112401,290 3.5 0 T=6.83 </t>
  </si>
  <si>
    <t xml:space="preserve">-TEXT 51685.2967112401,285 3.5 0 S=13.61 </t>
  </si>
  <si>
    <t>-TEXT 52162.3988836421,300 3.5 0 R=60</t>
  </si>
  <si>
    <t xml:space="preserve">-TEXT 52162.3988836421,295 3.5 0 α=30.57° </t>
  </si>
  <si>
    <t xml:space="preserve">-TEXT 52162.3988836421,290 3.5 0 T=16.40 </t>
  </si>
  <si>
    <t xml:space="preserve">-TEXT 52162.3988836421,285 3.5 0 S=32.01 </t>
  </si>
  <si>
    <t>-TEXT 52368.0673292144,300 3.5 0 R=60</t>
  </si>
  <si>
    <t xml:space="preserve">-TEXT 52368.0673292144,295 3.5 0 α=35.08° </t>
  </si>
  <si>
    <t xml:space="preserve">-TEXT 52368.0673292144,290 3.5 0 T=18.96 </t>
  </si>
  <si>
    <t xml:space="preserve">-TEXT 52368.0673292144,285 3.5 0 S=36.73 </t>
  </si>
  <si>
    <t>-TEXT 52516.9387672765,300 3.5 0 R=60</t>
  </si>
  <si>
    <t xml:space="preserve">-TEXT 52516.9387672765,295 3.5 0 α=43.21° </t>
  </si>
  <si>
    <t xml:space="preserve">-TEXT 52516.9387672765,290 3.5 0 T=23.76 </t>
  </si>
  <si>
    <t xml:space="preserve">-TEXT 52516.9387672765,285 3.5 0 S=45.25 </t>
  </si>
  <si>
    <t>-TEXT 52673.7519595473,300 3.5 0 R=60</t>
  </si>
  <si>
    <t xml:space="preserve">-TEXT 52673.7519595473,295 3.5 0 α=46.56° </t>
  </si>
  <si>
    <t xml:space="preserve">-TEXT 52673.7519595473,290 3.5 0 T=25.81 </t>
  </si>
  <si>
    <t xml:space="preserve">-TEXT 52673.7519595473,285 3.5 0 S=48.75 </t>
  </si>
  <si>
    <t>-TEXT 52901.1540733322,300 3.5 0 R=60</t>
  </si>
  <si>
    <t xml:space="preserve">-TEXT 52901.1540733322,295 3.5 0 α=8.56° </t>
  </si>
  <si>
    <t xml:space="preserve">-TEXT 52901.1540733322,290 3.5 0 T=4.49 </t>
  </si>
  <si>
    <t xml:space="preserve">-TEXT 52901.1540733322,285 3.5 0 S=8.96 </t>
  </si>
  <si>
    <t>-TEXT 53064.182538953,300 3.5 0 R=60</t>
  </si>
  <si>
    <t xml:space="preserve">-TEXT 53064.182538953,295 3.5 0 α=7.80° </t>
  </si>
  <si>
    <t xml:space="preserve">-TEXT 53064.182538953,290 3.5 0 T=4.09 </t>
  </si>
  <si>
    <t xml:space="preserve">-TEXT 53064.182538953,285 3.5 0 S=8.17 </t>
  </si>
  <si>
    <t>-TEXT 53099.3246803935,300 3.5 0 R=40</t>
  </si>
  <si>
    <t xml:space="preserve">-TEXT 53099.3246803935,295 3.5 0 α=69.82° </t>
  </si>
  <si>
    <t xml:space="preserve">-TEXT 53099.3246803935,290 3.5 0 T=27.91 </t>
  </si>
  <si>
    <t xml:space="preserve">-TEXT 53099.3246803935,285 3.5 0 S=48.74 </t>
  </si>
  <si>
    <t>-TEXT 53122.0282048664,300 3.5 0 R=40</t>
  </si>
  <si>
    <t xml:space="preserve">-TEXT 53122.0282048664,295 3.5 0 α=31.87° </t>
  </si>
  <si>
    <t xml:space="preserve">-TEXT 53122.0282048664,290 3.5 0 T=11.42 </t>
  </si>
  <si>
    <t xml:space="preserve">-TEXT 53122.0282048664,285 3.5 0 S=22.25 </t>
  </si>
  <si>
    <t>-TEXT 53145.1214568688,300 3.5 0 R=40</t>
  </si>
  <si>
    <t xml:space="preserve">-TEXT 53145.1214568688,295 3.5 0 α=21.12° </t>
  </si>
  <si>
    <t xml:space="preserve">-TEXT 53145.1214568688,290 3.5 0 T=7.46 </t>
  </si>
  <si>
    <t xml:space="preserve">-TEXT 53145.1214568688,285 3.5 0 S=14.74 </t>
  </si>
  <si>
    <t>-TEXT 53174.6550566615,300 3.5 0 R=40</t>
  </si>
  <si>
    <t xml:space="preserve">-TEXT 53174.6550566615,295 3.5 0 α=24.00° </t>
  </si>
  <si>
    <t xml:space="preserve">-TEXT 53174.6550566615,290 3.5 0 T=8.50 </t>
  </si>
  <si>
    <t xml:space="preserve">-TEXT 53174.6550566615,285 3.5 0 S=16.75 </t>
  </si>
  <si>
    <t>-TEXT 53232.0980036361,300 3.5 0 R=40</t>
  </si>
  <si>
    <t xml:space="preserve">-TEXT 53232.0980036361,295 3.5 0 α=38.49° </t>
  </si>
  <si>
    <t xml:space="preserve">-TEXT 53232.0980036361,290 3.5 0 T=13.96 </t>
  </si>
  <si>
    <t xml:space="preserve">-TEXT 53232.0980036361,285 3.5 0 S=26.87 </t>
  </si>
  <si>
    <t>-TEXT 53268.2951449989,300 3.5 0 R=60</t>
  </si>
  <si>
    <t xml:space="preserve">-TEXT 53268.2951449989,295 3.5 0 α=37.70° </t>
  </si>
  <si>
    <t xml:space="preserve">-TEXT 53268.2951449989,290 3.5 0 T=20.48 </t>
  </si>
  <si>
    <t xml:space="preserve">-TEXT 53268.2951449989,285 3.5 0 S=39.48 </t>
  </si>
  <si>
    <t>-TEXT 53561.0452859875,300 3.5 0 R=60</t>
  </si>
  <si>
    <t xml:space="preserve">-TEXT 53561.0452859875,295 3.5 0 α=26.95° </t>
  </si>
  <si>
    <t xml:space="preserve">-TEXT 53561.0452859875,290 3.5 0 T=14.37 </t>
  </si>
  <si>
    <t xml:space="preserve">-TEXT 53561.0452859875,285 3.5 0 S=28.22 </t>
  </si>
  <si>
    <t>-TEXT 53594.3909255243,300 3.5 0 R=60</t>
  </si>
  <si>
    <t xml:space="preserve">-TEXT 53594.3909255243,295 3.5 0 α=40.87° </t>
  </si>
  <si>
    <t xml:space="preserve">-TEXT 53594.3909255243,290 3.5 0 T=22.35 </t>
  </si>
  <si>
    <t xml:space="preserve">-TEXT 53594.3909255243,285 3.5 0 S=42.79 </t>
  </si>
  <si>
    <t>-TEXT 53673.1741202962,300 3.5 0 R=60</t>
  </si>
  <si>
    <t xml:space="preserve">-TEXT 53673.1741202962,295 3.5 0 α=15.54° </t>
  </si>
  <si>
    <t xml:space="preserve">-TEXT 53673.1741202962,290 3.5 0 T=8.19 </t>
  </si>
  <si>
    <t xml:space="preserve">-TEXT 53673.1741202962,285 3.5 0 S=16.28 </t>
  </si>
  <si>
    <t>-TEXT 53803.9020450048,300 3.5 0 R=60</t>
  </si>
  <si>
    <t xml:space="preserve">-TEXT 53803.9020450048,295 3.5 0 α=11.89° </t>
  </si>
  <si>
    <t xml:space="preserve">-TEXT 53803.9020450048,290 3.5 0 T=6.25 </t>
  </si>
  <si>
    <t xml:space="preserve">-TEXT 53803.9020450048,285 3.5 0 S=12.45 </t>
  </si>
  <si>
    <t>-TEXT 53852.7659809394,300 3.5 0 R=40</t>
  </si>
  <si>
    <t xml:space="preserve">-TEXT 53852.7659809394,295 3.5 0 α=65.24° </t>
  </si>
  <si>
    <t xml:space="preserve">-TEXT 53852.7659809394,290 3.5 0 T=25.60 </t>
  </si>
  <si>
    <t xml:space="preserve">-TEXT 53852.7659809394,285 3.5 0 S=45.55 </t>
  </si>
  <si>
    <t>-TEXT 53916.9669784642,300 3.5 0 R=60</t>
  </si>
  <si>
    <t xml:space="preserve">-TEXT 53916.9669784642,295 3.5 0 α=46.47° </t>
  </si>
  <si>
    <t xml:space="preserve">-TEXT 53916.9669784642,290 3.5 0 T=25.76 </t>
  </si>
  <si>
    <t xml:space="preserve">-TEXT 53916.9669784642,285 3.5 0 S=48.66 </t>
  </si>
  <si>
    <t>-TEXT 54052.4986175717,300 3.5 0 R=15</t>
  </si>
  <si>
    <t xml:space="preserve">-TEXT 54052.4986175717,295 3.5 0 α=29.41° </t>
  </si>
  <si>
    <t xml:space="preserve">-TEXT 54052.4986175717,290 3.5 0 T=3.94 </t>
  </si>
  <si>
    <t xml:space="preserve">-TEXT 54052.4986175717,285 3.5 0 S=7.70 </t>
  </si>
  <si>
    <t>-TEXT 54123.1420958935,300 3.5 0 R=15</t>
  </si>
  <si>
    <t xml:space="preserve">-TEXT 54123.1420958935,295 3.5 0 α=22.02° </t>
  </si>
  <si>
    <t xml:space="preserve">-TEXT 54123.1420958935,290 3.5 0 T=2.92 </t>
  </si>
  <si>
    <t xml:space="preserve">-TEXT 54123.1420958935,285 3.5 0 S=5.76 </t>
  </si>
  <si>
    <t>-TEXT 54310.861947745,300 3.5 0 R=60</t>
  </si>
  <si>
    <t xml:space="preserve">-TEXT 54310.861947745,295 3.5 0 α=42.85° </t>
  </si>
  <si>
    <t xml:space="preserve">-TEXT 54310.861947745,290 3.5 0 T=23.54 </t>
  </si>
  <si>
    <t xml:space="preserve">-TEXT 54310.861947745,285 3.5 0 S=44.87 </t>
  </si>
  <si>
    <t>-TEXT 54391.7035158453,300 3.5 0 R=60</t>
  </si>
  <si>
    <t xml:space="preserve">-TEXT 54391.7035158453,295 3.5 0 α=36.57° </t>
  </si>
  <si>
    <t xml:space="preserve">-TEXT 54391.7035158453,290 3.5 0 T=19.83 </t>
  </si>
  <si>
    <t xml:space="preserve">-TEXT 54391.7035158453,285 3.5 0 S=38.30 </t>
  </si>
  <si>
    <t>-TEXT 54514.441728384,300 3.5 0 R=60</t>
  </si>
  <si>
    <t xml:space="preserve">-TEXT 54514.441728384,295 3.5 0 α=34.58° </t>
  </si>
  <si>
    <t xml:space="preserve">-TEXT 54514.441728384,290 3.5 0 T=18.68 </t>
  </si>
  <si>
    <t xml:space="preserve">-TEXT 54514.441728384,285 3.5 0 S=36.22 </t>
  </si>
  <si>
    <t>-TEXT 54587.1837476312,300 3.5 0 R=60</t>
  </si>
  <si>
    <t xml:space="preserve">-TEXT 54587.1837476312,295 3.5 0 α=57.68° </t>
  </si>
  <si>
    <t xml:space="preserve">-TEXT 54587.1837476312,290 3.5 0 T=33.04 </t>
  </si>
  <si>
    <t xml:space="preserve">-TEXT 54587.1837476312,285 3.5 0 S=60.40 </t>
  </si>
  <si>
    <t>-TEXT 54628.0077036741,300 3.5 0 R=60</t>
  </si>
  <si>
    <t xml:space="preserve">-TEXT 54628.0077036741,295 3.5 0 α=53.73° </t>
  </si>
  <si>
    <t xml:space="preserve">-TEXT 54628.0077036741,290 3.5 0 T=30.39 </t>
  </si>
  <si>
    <t xml:space="preserve">-TEXT 54628.0077036741,285 3.5 0 S=56.27 </t>
  </si>
  <si>
    <t>-TEXT 54689.8975869184,300 3.5 0 R=60</t>
  </si>
  <si>
    <t xml:space="preserve">-TEXT 54689.8975869184,295 3.5 0 α=32.15° </t>
  </si>
  <si>
    <t xml:space="preserve">-TEXT 54689.8975869184,290 3.5 0 T=17.29 </t>
  </si>
  <si>
    <t xml:space="preserve">-TEXT 54689.8975869184,285 3.5 0 S=33.67 </t>
  </si>
  <si>
    <t>-TEXT 54745.8510695059,300 3.5 0 R=60</t>
  </si>
  <si>
    <t xml:space="preserve">-TEXT 54745.8510695059,295 3.5 0 α=31.43° </t>
  </si>
  <si>
    <t xml:space="preserve">-TEXT 54745.8510695059,290 3.5 0 T=16.88 </t>
  </si>
  <si>
    <t xml:space="preserve">-TEXT 54745.8510695059,285 3.5 0 S=32.92 </t>
  </si>
  <si>
    <t>-TEXT 54961.7266691534,300 3.5 0 R=60</t>
  </si>
  <si>
    <t xml:space="preserve">-TEXT 54961.7266691534,295 3.5 0 α=19.49° </t>
  </si>
  <si>
    <t xml:space="preserve">-TEXT 54961.7266691534,290 3.5 0 T=10.30 </t>
  </si>
  <si>
    <t xml:space="preserve">-TEXT 54961.7266691534,285 3.5 0 S=20.41 </t>
  </si>
  <si>
    <t>-TEXT 55075.1298812008,300 3.5 0 R=60</t>
  </si>
  <si>
    <t xml:space="preserve">-TEXT 55075.1298812008,295 3.5 0 α=28.68° </t>
  </si>
  <si>
    <t xml:space="preserve">-TEXT 55075.1298812008,290 3.5 0 T=15.34 </t>
  </si>
  <si>
    <t xml:space="preserve">-TEXT 55075.1298812008,285 3.5 0 S=30.03 </t>
  </si>
  <si>
    <t>-TEXT 55161.9782985526,300 3.5 0 R=60</t>
  </si>
  <si>
    <t xml:space="preserve">-TEXT 55161.9782985526,295 3.5 0 α=48.89° </t>
  </si>
  <si>
    <t xml:space="preserve">-TEXT 55161.9782985526,290 3.5 0 T=27.28 </t>
  </si>
  <si>
    <t xml:space="preserve">-TEXT 55161.9782985526,285 3.5 0 S=51.20 </t>
  </si>
  <si>
    <t>-TEXT 55246.6684320097,300 3.5 0 R=40</t>
  </si>
  <si>
    <t xml:space="preserve">-TEXT 55246.6684320097,295 3.5 0 α=73.13° </t>
  </si>
  <si>
    <t xml:space="preserve">-TEXT 55246.6684320097,290 3.5 0 T=29.67 </t>
  </si>
  <si>
    <t xml:space="preserve">-TEXT 55246.6684320097,285 3.5 0 S=51.05 </t>
  </si>
  <si>
    <t>-TEXT 55281.050014155,300 3.5 0 R=40</t>
  </si>
  <si>
    <t xml:space="preserve">-TEXT 55281.050014155,295 3.5 0 α=62.87° </t>
  </si>
  <si>
    <t xml:space="preserve">-TEXT 55281.050014155,290 3.5 0 T=24.45 </t>
  </si>
  <si>
    <t xml:space="preserve">-TEXT 55281.050014155,285 3.5 0 S=43.89 </t>
  </si>
  <si>
    <t>-TEXT 55374.6368245658,300 3.5 0 R=40</t>
  </si>
  <si>
    <t xml:space="preserve">-TEXT 55374.6368245658,295 3.5 0 α=33.04° </t>
  </si>
  <si>
    <t xml:space="preserve">-TEXT 55374.6368245658,290 3.5 0 T=11.86 </t>
  </si>
  <si>
    <t xml:space="preserve">-TEXT 55374.6368245658,285 3.5 0 S=23.07 </t>
  </si>
  <si>
    <t>-TEXT 55425.7358156862,300 3.5 0 R=40</t>
  </si>
  <si>
    <t xml:space="preserve">-TEXT 55425.7358156862,295 3.5 0 α=35.60° </t>
  </si>
  <si>
    <t xml:space="preserve">-TEXT 55425.7358156862,290 3.5 0 T=12.84 </t>
  </si>
  <si>
    <t xml:space="preserve">-TEXT 55425.7358156862,285 3.5 0 S=24.85 </t>
  </si>
  <si>
    <t>-TEXT 55586.4172109834,300 3.5 0 R=40</t>
  </si>
  <si>
    <t xml:space="preserve">-TEXT 55586.4172109834,295 3.5 0 α=37.21° </t>
  </si>
  <si>
    <t xml:space="preserve">-TEXT 55586.4172109834,290 3.5 0 T=13.46 </t>
  </si>
  <si>
    <t xml:space="preserve">-TEXT 55586.4172109834,285 3.5 0 S=25.98 </t>
  </si>
  <si>
    <t>-TEXT 55647.6207596941,300 3.5 0 R=40</t>
  </si>
  <si>
    <t xml:space="preserve">-TEXT 55647.6207596941,295 3.5 0 α=20.20° </t>
  </si>
  <si>
    <t xml:space="preserve">-TEXT 55647.6207596941,290 3.5 0 T=7.12 </t>
  </si>
  <si>
    <t xml:space="preserve">-TEXT 55647.6207596941,285 3.5 0 S=14.10 </t>
  </si>
  <si>
    <t>-TEXT 55688.0604835373,300 3.5 0 R=40</t>
  </si>
  <si>
    <t xml:space="preserve">-TEXT 55688.0604835373,295 3.5 0 α=35.83° </t>
  </si>
  <si>
    <t xml:space="preserve">-TEXT 55688.0604835373,290 3.5 0 T=12.93 </t>
  </si>
  <si>
    <t xml:space="preserve">-TEXT 55688.0604835373,285 3.5 0 S=25.02 </t>
  </si>
  <si>
    <t>-TEXT 55889.0763812166,300 3.5 0 R=60</t>
  </si>
  <si>
    <t xml:space="preserve">-TEXT 55889.0763812166,295 3.5 0 α=36.98° </t>
  </si>
  <si>
    <t xml:space="preserve">-TEXT 55889.0763812166,290 3.5 0 T=20.07 </t>
  </si>
  <si>
    <t xml:space="preserve">-TEXT 55889.0763812166,285 3.5 0 S=38.73 </t>
  </si>
  <si>
    <t>-TEXT 55936.1408390837,300 3.5 0 R=60</t>
  </si>
  <si>
    <t xml:space="preserve">-TEXT 55936.1408390837,295 3.5 0 α=21.18° </t>
  </si>
  <si>
    <t xml:space="preserve">-TEXT 55936.1408390837,290 3.5 0 T=11.22 </t>
  </si>
  <si>
    <t xml:space="preserve">-TEXT 55936.1408390837,285 3.5 0 S=22.18 </t>
  </si>
  <si>
    <t>-TEXT 55973.7809527312,300 3.5 0 R=60</t>
  </si>
  <si>
    <t xml:space="preserve">-TEXT 55973.7809527312,295 3.5 0 α=41.07° </t>
  </si>
  <si>
    <t xml:space="preserve">-TEXT 55973.7809527312,290 3.5 0 T=22.47 </t>
  </si>
  <si>
    <t xml:space="preserve">-TEXT 55973.7809527312,285 3.5 0 S=43.01 </t>
  </si>
  <si>
    <t>-TEXT 56075.2602617298,300 3.5 0 R=60</t>
  </si>
  <si>
    <t xml:space="preserve">-TEXT 56075.2602617298,295 3.5 0 α=43.32° </t>
  </si>
  <si>
    <t xml:space="preserve">-TEXT 56075.2602617298,290 3.5 0 T=23.83 </t>
  </si>
  <si>
    <t xml:space="preserve">-TEXT 56075.2602617298,285 3.5 0 S=45.36 </t>
  </si>
  <si>
    <t>-TEXT 56128.4634092466,300 3.5 0 R=60</t>
  </si>
  <si>
    <t xml:space="preserve">-TEXT 56128.4634092466,295 3.5 0 α=30.13° </t>
  </si>
  <si>
    <t xml:space="preserve">-TEXT 56128.4634092466,290 3.5 0 T=16.15 </t>
  </si>
  <si>
    <t xml:space="preserve">-TEXT 56128.4634092466,285 3.5 0 S=31.55 </t>
  </si>
  <si>
    <t>-TEXT 56266.5242345913,300 3.5 0 R=60</t>
  </si>
  <si>
    <t xml:space="preserve">-TEXT 56266.5242345913,295 3.5 0 α=52.77° </t>
  </si>
  <si>
    <t xml:space="preserve">-TEXT 56266.5242345913,290 3.5 0 T=29.76 </t>
  </si>
  <si>
    <t xml:space="preserve">-TEXT 56266.5242345913,285 3.5 0 S=55.26 </t>
  </si>
  <si>
    <t>-TEXT 56350.187746987,300 3.5 0 R=60</t>
  </si>
  <si>
    <t xml:space="preserve">-TEXT 56350.187746987,295 3.5 0 α=16.06° </t>
  </si>
  <si>
    <t xml:space="preserve">-TEXT 56350.187746987,290 3.5 0 T=8.46 </t>
  </si>
  <si>
    <t xml:space="preserve">-TEXT 56350.187746987,285 3.5 0 S=16.82 </t>
  </si>
  <si>
    <t>-TEXT 56424.1256970843,300 3.5 0 R=60</t>
  </si>
  <si>
    <t xml:space="preserve">-TEXT 56424.1256970843,295 3.5 0 α=23.54° </t>
  </si>
  <si>
    <t xml:space="preserve">-TEXT 56424.1256970843,290 3.5 0 T=12.50 </t>
  </si>
  <si>
    <t xml:space="preserve">-TEXT 56424.1256970843,285 3.5 0 S=24.65 </t>
  </si>
  <si>
    <t>-TEXT 56474.4020263911,300 3.5 0 R=60</t>
  </si>
  <si>
    <t xml:space="preserve">-TEXT 56474.4020263911,295 3.5 0 α=11.05° </t>
  </si>
  <si>
    <t xml:space="preserve">-TEXT 56474.4020263911,290 3.5 0 T=5.80 </t>
  </si>
  <si>
    <t xml:space="preserve">-TEXT 56474.4020263911,285 3.5 0 S=11.57 </t>
  </si>
  <si>
    <t>-TEXT 56541.6351891105,300 3.5 0 R=60</t>
  </si>
  <si>
    <t xml:space="preserve">-TEXT 56541.6351891105,295 3.5 0 α=45.34° </t>
  </si>
  <si>
    <t xml:space="preserve">-TEXT 56541.6351891105,290 3.5 0 T=25.06 </t>
  </si>
  <si>
    <t xml:space="preserve">-TEXT 56541.6351891105,285 3.5 0 S=47.48 </t>
  </si>
  <si>
    <t>-TEXT 56701.6562044288,300 3.5 0 R=60</t>
  </si>
  <si>
    <t xml:space="preserve">-TEXT 56701.6562044288,295 3.5 0 α=36.21° </t>
  </si>
  <si>
    <t xml:space="preserve">-TEXT 56701.6562044288,290 3.5 0 T=19.62 </t>
  </si>
  <si>
    <t xml:space="preserve">-TEXT 56701.6562044288,285 3.5 0 S=37.92 </t>
  </si>
  <si>
    <t>-TEXT 56834.0716223192,300 3.5 0 R=60</t>
  </si>
  <si>
    <t xml:space="preserve">-TEXT 56834.0716223192,295 3.5 0 α=23.29° </t>
  </si>
  <si>
    <t xml:space="preserve">-TEXT 56834.0716223192,290 3.5 0 T=12.37 </t>
  </si>
  <si>
    <t xml:space="preserve">-TEXT 56834.0716223192,285 3.5 0 S=24.39 </t>
  </si>
  <si>
    <t>-TEXT 56927.6039634793,300 3.5 0 R=60</t>
  </si>
  <si>
    <t xml:space="preserve">-TEXT 56927.6039634793,295 3.5 0 α=66.36° </t>
  </si>
  <si>
    <t xml:space="preserve">-TEXT 56927.6039634793,290 3.5 0 T=39.23 </t>
  </si>
  <si>
    <t xml:space="preserve">-TEXT 56927.6039634793,285 3.5 0 S=69.49 </t>
  </si>
  <si>
    <t>-TEXT 56978.3239347195,300 3.5 0 R=40</t>
  </si>
  <si>
    <t xml:space="preserve">-TEXT 56978.3239347195,295 3.5 0 α=53.02° </t>
  </si>
  <si>
    <t xml:space="preserve">-TEXT 56978.3239347195,290 3.5 0 T=19.95 </t>
  </si>
  <si>
    <t xml:space="preserve">-TEXT 56978.3239347195,285 3.5 0 S=37.02 </t>
  </si>
  <si>
    <t>-TEXT 57039.2246161334,300 3.5 0 R=60</t>
  </si>
  <si>
    <t xml:space="preserve">-TEXT 57039.2246161334,295 3.5 0 α=20.96° </t>
  </si>
  <si>
    <t xml:space="preserve">-TEXT 57039.2246161334,290 3.5 0 T=11.10 </t>
  </si>
  <si>
    <t xml:space="preserve">-TEXT 57039.2246161334,285 3.5 0 S=21.95 </t>
  </si>
  <si>
    <t>-TEXT 5713.61109640302,300 3.5 0 R=80</t>
  </si>
  <si>
    <t xml:space="preserve">-TEXT 5713.61109640302,295 3.5 0 α=33.48° </t>
  </si>
  <si>
    <t xml:space="preserve">-TEXT 5713.61109640302,290 3.5 0 T=24.06 </t>
  </si>
  <si>
    <t xml:space="preserve">-TEXT 5713.61109640302,285 3.5 0 S=46.75 </t>
  </si>
  <si>
    <t>-TEXT 57152.9201085438,300 3.5 0 R=60</t>
  </si>
  <si>
    <t xml:space="preserve">-TEXT 57152.9201085438,295 3.5 0 α=9.85° </t>
  </si>
  <si>
    <t xml:space="preserve">-TEXT 57152.9201085438,290 3.5 0 T=5.17 </t>
  </si>
  <si>
    <t xml:space="preserve">-TEXT 57152.9201085438,285 3.5 0 S=10.32 </t>
  </si>
  <si>
    <t>-TEXT 57559.1517451324,300 3.5 0 R=60</t>
  </si>
  <si>
    <t xml:space="preserve">-TEXT 57559.1517451324,295 3.5 0 α=30.89° </t>
  </si>
  <si>
    <t xml:space="preserve">-TEXT 57559.1517451324,290 3.5 0 T=16.58 </t>
  </si>
  <si>
    <t xml:space="preserve">-TEXT 57559.1517451324,285 3.5 0 S=32.35 </t>
  </si>
  <si>
    <t>-TEXT 58290.9722479805,300 3.5 0 R=60</t>
  </si>
  <si>
    <t xml:space="preserve">-TEXT 58290.9722479805,295 3.5 0 α=13.12° </t>
  </si>
  <si>
    <t xml:space="preserve">-TEXT 58290.9722479805,290 3.5 0 T=6.90 </t>
  </si>
  <si>
    <t xml:space="preserve">-TEXT 58290.9722479805,285 3.5 0 S=13.74 </t>
  </si>
  <si>
    <t>-TEXT 59158.2428846667,300 3.5 0 R=60</t>
  </si>
  <si>
    <t xml:space="preserve">-TEXT 59158.2428846667,295 3.5 0 α=36.33° </t>
  </si>
  <si>
    <t xml:space="preserve">-TEXT 59158.2428846667,290 3.5 0 T=19.68 </t>
  </si>
  <si>
    <t xml:space="preserve">-TEXT 59158.2428846667,285 3.5 0 S=38.04 </t>
  </si>
  <si>
    <t>-TEXT 59334.7115246169,300 3.5 0 R=60</t>
  </si>
  <si>
    <t xml:space="preserve">-TEXT 59334.7115246169,295 3.5 0 α=10.02° </t>
  </si>
  <si>
    <t xml:space="preserve">-TEXT 59334.7115246169,290 3.5 0 T=5.26 </t>
  </si>
  <si>
    <t xml:space="preserve">-TEXT 59334.7115246169,285 3.5 0 S=10.49 </t>
  </si>
  <si>
    <t>-TEXT 59420.2555651619,300 3.5 0 R=60</t>
  </si>
  <si>
    <t xml:space="preserve">-TEXT 59420.2555651619,295 3.5 0 α=6.90° </t>
  </si>
  <si>
    <t xml:space="preserve">-TEXT 59420.2555651619,290 3.5 0 T=3.62 </t>
  </si>
  <si>
    <t xml:space="preserve">-TEXT 59420.2555651619,285 3.5 0 S=7.23 </t>
  </si>
  <si>
    <t>-TEXT 59559.8932469032,300 3.5 0 R=60</t>
  </si>
  <si>
    <t xml:space="preserve">-TEXT 59559.8932469032,295 3.5 0 α=23.05° </t>
  </si>
  <si>
    <t xml:space="preserve">-TEXT 59559.8932469032,290 3.5 0 T=12.23 </t>
  </si>
  <si>
    <t xml:space="preserve">-TEXT 59559.8932469032,285 3.5 0 S=24.14 </t>
  </si>
  <si>
    <t>-TEXT 60161.8036846998,300 3.5 0 R=60</t>
  </si>
  <si>
    <t xml:space="preserve">-TEXT 60161.8036846998,295 3.5 0 α=20.18° </t>
  </si>
  <si>
    <t xml:space="preserve">-TEXT 60161.8036846998,290 3.5 0 T=10.68 </t>
  </si>
  <si>
    <t xml:space="preserve">-TEXT 60161.8036846998,285 3.5 0 S=21.13 </t>
  </si>
  <si>
    <t>-TEXT 60238.5185438031,300 3.5 0 R=60</t>
  </si>
  <si>
    <t xml:space="preserve">-TEXT 60238.5185438031,295 3.5 0 α=54.21° </t>
  </si>
  <si>
    <t xml:space="preserve">-TEXT 60238.5185438031,290 3.5 0 T=30.71 </t>
  </si>
  <si>
    <t xml:space="preserve">-TEXT 60238.5185438031,285 3.5 0 S=56.76 </t>
  </si>
  <si>
    <t>-TEXT 6031.95226988478,300 3.5 0 R=80</t>
  </si>
  <si>
    <t xml:space="preserve">-TEXT 6031.95226988478,295 3.5 0 α=34.13° </t>
  </si>
  <si>
    <t xml:space="preserve">-TEXT 6031.95226988478,290 3.5 0 T=24.56 </t>
  </si>
  <si>
    <t xml:space="preserve">-TEXT 6031.95226988478,285 3.5 0 S=47.65 </t>
  </si>
  <si>
    <t>-TEXT 60552.5858248053,300 3.5 0 R=30</t>
  </si>
  <si>
    <t xml:space="preserve">-TEXT 60552.5858248053,295 3.5 0 α=34.61° </t>
  </si>
  <si>
    <t xml:space="preserve">-TEXT 60552.5858248053,290 3.5 0 T=9.35 </t>
  </si>
  <si>
    <t xml:space="preserve">-TEXT 60552.5858248053,285 3.5 0 S=18.12 </t>
  </si>
  <si>
    <t>-TEXT 60639.934614189,300 3.5 0 R=40</t>
  </si>
  <si>
    <t xml:space="preserve">-TEXT 60639.934614189,295 3.5 0 α=32.30° </t>
  </si>
  <si>
    <t xml:space="preserve">-TEXT 60639.934614189,290 3.5 0 T=11.58 </t>
  </si>
  <si>
    <t xml:space="preserve">-TEXT 60639.934614189,285 3.5 0 S=22.55 </t>
  </si>
  <si>
    <t>-TEXT 60693.4027668415,300 3.5 0 R=40</t>
  </si>
  <si>
    <t xml:space="preserve">-TEXT 60693.4027668415,295 3.5 0 α=18.32° </t>
  </si>
  <si>
    <t xml:space="preserve">-TEXT 60693.4027668415,290 3.5 0 T=6.45 </t>
  </si>
  <si>
    <t xml:space="preserve">-TEXT 60693.4027668415,285 3.5 0 S=12.79 </t>
  </si>
  <si>
    <t>-TEXT 60779.6156882247,300 3.5 0 R=30</t>
  </si>
  <si>
    <t xml:space="preserve">-TEXT 60779.6156882247,295 3.5 0 α=11.85° </t>
  </si>
  <si>
    <t xml:space="preserve">-TEXT 60779.6156882247,290 3.5 0 T=3.11 </t>
  </si>
  <si>
    <t xml:space="preserve">-TEXT 60779.6156882247,285 3.5 0 S=6.20 </t>
  </si>
  <si>
    <t>-TEXT 60813.048365544,300 3.5 0 R=30</t>
  </si>
  <si>
    <t xml:space="preserve">-TEXT 60813.048365544,295 3.5 0 α=24.87° </t>
  </si>
  <si>
    <t xml:space="preserve">-TEXT 60813.048365544,290 3.5 0 T=6.62 </t>
  </si>
  <si>
    <t xml:space="preserve">-TEXT 60813.048365544,285 3.5 0 S=13.02 </t>
  </si>
  <si>
    <t>-TEXT 60869.0859730806,300 3.5 0 R=30</t>
  </si>
  <si>
    <t xml:space="preserve">-TEXT 60869.0859730806,295 3.5 0 α=24.67° </t>
  </si>
  <si>
    <t xml:space="preserve">-TEXT 60869.0859730806,290 3.5 0 T=6.56 </t>
  </si>
  <si>
    <t xml:space="preserve">-TEXT 60869.0859730806,285 3.5 0 S=12.91 </t>
  </si>
  <si>
    <t>-TEXT 60893.1754541434,300 3.5 0 R=30</t>
  </si>
  <si>
    <t xml:space="preserve">-TEXT 60893.1754541434,295 3.5 0 α=36.30° </t>
  </si>
  <si>
    <t xml:space="preserve">-TEXT 60893.1754541434,290 3.5 0 T=9.83 </t>
  </si>
  <si>
    <t xml:space="preserve">-TEXT 60893.1754541434,285 3.5 0 S=19.00 </t>
  </si>
  <si>
    <t>-TEXT 60922.6014619706,300 3.5 0 R=30</t>
  </si>
  <si>
    <t xml:space="preserve">-TEXT 60922.6014619706,295 3.5 0 α=9.69° </t>
  </si>
  <si>
    <t xml:space="preserve">-TEXT 60922.6014619706,290 3.5 0 T=2.54 </t>
  </si>
  <si>
    <t xml:space="preserve">-TEXT 60922.6014619706,285 3.5 0 S=5.07 </t>
  </si>
  <si>
    <t>-TEXT 60953.0628578336,300 3.5 0 R=30</t>
  </si>
  <si>
    <t xml:space="preserve">-TEXT 60953.0628578336,295 3.5 0 α=24.95° </t>
  </si>
  <si>
    <t xml:space="preserve">-TEXT 60953.0628578336,290 3.5 0 T=6.64 </t>
  </si>
  <si>
    <t xml:space="preserve">-TEXT 60953.0628578336,285 3.5 0 S=13.06 </t>
  </si>
  <si>
    <t>-TEXT 61105.136960936,300 3.5 0 R=40</t>
  </si>
  <si>
    <t xml:space="preserve">-TEXT 61105.136960936,295 3.5 0 α=45.81° </t>
  </si>
  <si>
    <t xml:space="preserve">-TEXT 61105.136960936,290 3.5 0 T=16.90 </t>
  </si>
  <si>
    <t xml:space="preserve">-TEXT 61105.136960936,285 3.5 0 S=31.98 </t>
  </si>
  <si>
    <t>-TEXT 61206.077278882,300 3.5 0 R=40</t>
  </si>
  <si>
    <t xml:space="preserve">-TEXT 61206.077278882,295 3.5 0 α=25.64° </t>
  </si>
  <si>
    <t xml:space="preserve">-TEXT 61206.077278882,290 3.5 0 T=9.10 </t>
  </si>
  <si>
    <t xml:space="preserve">-TEXT 61206.077278882,285 3.5 0 S=17.90 </t>
  </si>
  <si>
    <t>-TEXT 61265.931739552,300 3.5 0 R=40</t>
  </si>
  <si>
    <t xml:space="preserve">-TEXT 61265.931739552,295 3.5 0 α=21.02° </t>
  </si>
  <si>
    <t xml:space="preserve">-TEXT 61265.931739552,290 3.5 0 T=7.42 </t>
  </si>
  <si>
    <t xml:space="preserve">-TEXT 61265.931739552,285 3.5 0 S=14.67 </t>
  </si>
  <si>
    <t>-TEXT 61306.5358831704,300 3.5 0 R=40</t>
  </si>
  <si>
    <t xml:space="preserve">-TEXT 61306.5358831704,295 3.5 0 α=15.71° </t>
  </si>
  <si>
    <t xml:space="preserve">-TEXT 61306.5358831704,290 3.5 0 T=5.52 </t>
  </si>
  <si>
    <t xml:space="preserve">-TEXT 61306.5358831704,285 3.5 0 S=10.97 </t>
  </si>
  <si>
    <t>-TEXT 61335.6188776338,300 3.5 0 R=40</t>
  </si>
  <si>
    <t xml:space="preserve">-TEXT 61335.6188776338,295 3.5 0 α=52.03° </t>
  </si>
  <si>
    <t xml:space="preserve">-TEXT 61335.6188776338,290 3.5 0 T=19.52 </t>
  </si>
  <si>
    <t xml:space="preserve">-TEXT 61335.6188776338,285 3.5 0 S=36.33 </t>
  </si>
  <si>
    <t>-TEXT 61384.6145300288,300 3.5 0 R=40</t>
  </si>
  <si>
    <t xml:space="preserve">-TEXT 61384.6145300288,295 3.5 0 α=26.12° </t>
  </si>
  <si>
    <t xml:space="preserve">-TEXT 61384.6145300288,290 3.5 0 T=9.28 </t>
  </si>
  <si>
    <t xml:space="preserve">-TEXT 61384.6145300288,285 3.5 0 S=18.23 </t>
  </si>
  <si>
    <t>-TEXT 61405.5215483459,300 3.5 0 R=40</t>
  </si>
  <si>
    <t xml:space="preserve">-TEXT 61405.5215483459,295 3.5 0 α=30.89° </t>
  </si>
  <si>
    <t xml:space="preserve">-TEXT 61405.5215483459,290 3.5 0 T=11.05 </t>
  </si>
  <si>
    <t xml:space="preserve">-TEXT 61405.5215483459,285 3.5 0 S=21.57 </t>
  </si>
  <si>
    <t>-TEXT 7439.19933482806,300 3.5 0 R=80</t>
  </si>
  <si>
    <t xml:space="preserve">-TEXT 7439.19933482806,295 3.5 0 α=26.53° </t>
  </si>
  <si>
    <t xml:space="preserve">-TEXT 7439.19933482806,290 3.5 0 T=18.86 </t>
  </si>
  <si>
    <t xml:space="preserve">-TEXT 7439.19933482806,285 3.5 0 S=37.05 </t>
  </si>
  <si>
    <t>-TEXT 7755.8131843577,300 3.5 0 R=80</t>
  </si>
  <si>
    <t xml:space="preserve">-TEXT 7755.8131843577,295 3.5 0 α=39.86° </t>
  </si>
  <si>
    <t xml:space="preserve">-TEXT 7755.8131843577,290 3.5 0 T=29.01 </t>
  </si>
  <si>
    <t xml:space="preserve">-TEXT 7755.8131843577,285 3.5 0 S=55.66 </t>
  </si>
  <si>
    <t>-TEXT 8057.55619473675,300 3.5 0 R=40</t>
  </si>
  <si>
    <t xml:space="preserve">-TEXT 8057.55619473675,295 3.5 0 α=22.31° </t>
  </si>
  <si>
    <t xml:space="preserve">-TEXT 8057.55619473675,290 3.5 0 T=7.89 </t>
  </si>
  <si>
    <t xml:space="preserve">-TEXT 8057.55619473675,285 3.5 0 S=15.58 </t>
  </si>
  <si>
    <t>-TEXT 8126.04302095676,300 3.5 0 R=40</t>
  </si>
  <si>
    <t xml:space="preserve">-TEXT 8126.04302095676,295 3.5 0 α=33.05° </t>
  </si>
  <si>
    <t xml:space="preserve">-TEXT 8126.04302095676,290 3.5 0 T=11.87 </t>
  </si>
  <si>
    <t xml:space="preserve">-TEXT 8126.04302095676,285 3.5 0 S=23.07 </t>
  </si>
  <si>
    <t>-TEXT 8249.97044989686,300 3.5 0 R=40</t>
  </si>
  <si>
    <t xml:space="preserve">-TEXT 8249.97044989686,295 3.5 0 α=26.56° </t>
  </si>
  <si>
    <t xml:space="preserve">-TEXT 8249.97044989686,290 3.5 0 T=9.44 </t>
  </si>
  <si>
    <t xml:space="preserve">-TEXT 8249.97044989686,285 3.5 0 S=18.54 </t>
  </si>
  <si>
    <t>-TEXT 8322.55955478562,300 3.5 0 R=20</t>
  </si>
  <si>
    <t xml:space="preserve">-TEXT 8322.55955478562,295 3.5 0 α=10.03° </t>
  </si>
  <si>
    <t xml:space="preserve">-TEXT 8322.55955478562,290 3.5 0 T=1.75 </t>
  </si>
  <si>
    <t xml:space="preserve">-TEXT 8322.55955478562,285 3.5 0 S=3.50 </t>
  </si>
  <si>
    <t>-TEXT 8383.79714848047,300 3.5 0 R=20</t>
  </si>
  <si>
    <t xml:space="preserve">-TEXT 8383.79714848047,295 3.5 0 α=39.24° </t>
  </si>
  <si>
    <t xml:space="preserve">-TEXT 8383.79714848047,290 3.5 0 T=7.13 </t>
  </si>
  <si>
    <t xml:space="preserve">-TEXT 8383.79714848047,285 3.5 0 S=13.70 </t>
  </si>
  <si>
    <t>-TEXT 8443.79143569095,300 3.5 0 R=20</t>
  </si>
  <si>
    <t xml:space="preserve">-TEXT 8443.79143569095,295 3.5 0 α=14.43° </t>
  </si>
  <si>
    <t xml:space="preserve">-TEXT 8443.79143569095,290 3.5 0 T=2.53 </t>
  </si>
  <si>
    <t xml:space="preserve">-TEXT 8443.79143569095,285 3.5 0 S=5.04 </t>
  </si>
  <si>
    <t>-TEXT 8513.77842188542,300 3.5 0 R=20</t>
  </si>
  <si>
    <t xml:space="preserve">-TEXT 8513.77842188542,295 3.5 0 α=7.55° </t>
  </si>
  <si>
    <t xml:space="preserve">-TEXT 8513.77842188542,290 3.5 0 T=1.32 </t>
  </si>
  <si>
    <t xml:space="preserve">-TEXT 8513.77842188542,285 3.5 0 S=2.63 </t>
  </si>
  <si>
    <t>-TEXT 8553.86647277442,300 3.5 0 R=20</t>
  </si>
  <si>
    <t xml:space="preserve">-TEXT 8553.86647277442,295 3.5 0 α=51.57° </t>
  </si>
  <si>
    <t xml:space="preserve">-TEXT 8553.86647277442,290 3.5 0 T=9.66 </t>
  </si>
  <si>
    <t xml:space="preserve">-TEXT 8553.86647277442,285 3.5 0 S=18.00 </t>
  </si>
  <si>
    <t>-TEXT 8598.95310658273,300 3.5 0 R=20</t>
  </si>
  <si>
    <t xml:space="preserve">-TEXT 8598.95310658273,295 3.5 0 α=58.48° </t>
  </si>
  <si>
    <t xml:space="preserve">-TEXT 8598.95310658273,290 3.5 0 T=11.20 </t>
  </si>
  <si>
    <t xml:space="preserve">-TEXT 8598.95310658273,285 3.5 0 S=20.41 </t>
  </si>
  <si>
    <t>-TEXT 8669.61513241689,300 3.5 0 R=40</t>
  </si>
  <si>
    <t xml:space="preserve">-TEXT 8669.61513241689,295 3.5 0 α=32.39° </t>
  </si>
  <si>
    <t xml:space="preserve">-TEXT 8669.61513241689,290 3.5 0 T=11.62 </t>
  </si>
  <si>
    <t xml:space="preserve">-TEXT 8669.61513241689,285 3.5 0 S=22.61 </t>
  </si>
  <si>
    <t>-TEXT 8700.45505311046,300 3.5 0 R=40</t>
  </si>
  <si>
    <t xml:space="preserve">-TEXT 8700.45505311046,295 3.5 0 α=25.98° </t>
  </si>
  <si>
    <t xml:space="preserve">-TEXT 8700.45505311046,290 3.5 0 T=9.23 </t>
  </si>
  <si>
    <t xml:space="preserve">-TEXT 8700.45505311046,285 3.5 0 S=18.14 </t>
  </si>
  <si>
    <t>-TEXT 8732.87862771096,300 3.5 0 R=40</t>
  </si>
  <si>
    <t xml:space="preserve">-TEXT 8732.87862771096,295 3.5 0 α=24.10° </t>
  </si>
  <si>
    <t xml:space="preserve">-TEXT 8732.87862771096,290 3.5 0 T=8.54 </t>
  </si>
  <si>
    <t xml:space="preserve">-TEXT 8732.87862771096,285 3.5 0 S=16.82 </t>
  </si>
  <si>
    <t>-TEXT 8810.45569222925,300 3.5 0 R=40</t>
  </si>
  <si>
    <t xml:space="preserve">-TEXT 8810.45569222925,295 3.5 0 α=48.13° </t>
  </si>
  <si>
    <t xml:space="preserve">-TEXT 8810.45569222925,290 3.5 0 T=17.86 </t>
  </si>
  <si>
    <t xml:space="preserve">-TEXT 8810.45569222925,285 3.5 0 S=33.60 </t>
  </si>
  <si>
    <t>-TEXT 8868.28953148027,300 3.5 0 R=40</t>
  </si>
  <si>
    <t xml:space="preserve">-TEXT 8868.28953148027,295 3.5 0 α=48.34° </t>
  </si>
  <si>
    <t xml:space="preserve">-TEXT 8868.28953148027,290 3.5 0 T=17.95 </t>
  </si>
  <si>
    <t xml:space="preserve">-TEXT 8868.28953148027,285 3.5 0 S=33.75 </t>
  </si>
  <si>
    <t>-TEXT 8924.3899374315,300 3.5 0 R=40</t>
  </si>
  <si>
    <t xml:space="preserve">-TEXT 8924.3899374315,295 3.5 0 α=51.56° </t>
  </si>
  <si>
    <t xml:space="preserve">-TEXT 8924.3899374315,290 3.5 0 T=19.32 </t>
  </si>
  <si>
    <t xml:space="preserve">-TEXT 8924.3899374315,285 3.5 0 S=35.99 </t>
  </si>
  <si>
    <t>-TEXT 8992.46645679159,300 3.5 0 R=40</t>
  </si>
  <si>
    <t xml:space="preserve">-TEXT 8992.46645679159,295 3.5 0 α=34.56° </t>
  </si>
  <si>
    <t xml:space="preserve">-TEXT 8992.46645679159,290 3.5 0 T=12.44 </t>
  </si>
  <si>
    <t xml:space="preserve">-TEXT 8992.46645679159,285 3.5 0 S=24.12 </t>
  </si>
  <si>
    <t>-TEXT 9057.24741001232,300 3.5 0 R=40</t>
  </si>
  <si>
    <t xml:space="preserve">-TEXT 9057.24741001232,295 3.5 0 α=40.46° </t>
  </si>
  <si>
    <t xml:space="preserve">-TEXT 9057.24741001232,290 3.5 0 T=14.74 </t>
  </si>
  <si>
    <t xml:space="preserve">-TEXT 9057.24741001232,285 3.5 0 S=28.24 </t>
  </si>
  <si>
    <t>-TEXT 9090.75808402419,300 3.5 0 R=40</t>
  </si>
  <si>
    <t xml:space="preserve">-TEXT 9090.75808402419,295 3.5 0 α=44.86° </t>
  </si>
  <si>
    <t xml:space="preserve">-TEXT 9090.75808402419,290 3.5 0 T=16.51 </t>
  </si>
  <si>
    <t xml:space="preserve">-TEXT 9090.75808402419,285 3.5 0 S=31.31 </t>
  </si>
  <si>
    <t>-TEXT 9130.60201899117,300 3.5 0 R=40</t>
  </si>
  <si>
    <t xml:space="preserve">-TEXT 9130.60201899117,295 3.5 0 α=48.71° </t>
  </si>
  <si>
    <t xml:space="preserve">-TEXT 9130.60201899117,290 3.5 0 T=18.11 </t>
  </si>
  <si>
    <t xml:space="preserve">-TEXT 9130.60201899117,285 3.5 0 S=34.01 </t>
  </si>
  <si>
    <t>-TEXT 9323.66092372967,300 3.5 0 R=40</t>
  </si>
  <si>
    <t xml:space="preserve">-TEXT 9323.66092372967,295 3.5 0 α=22.89° </t>
  </si>
  <si>
    <t xml:space="preserve">-TEXT 9323.66092372967,290 3.5 0 T=8.10 </t>
  </si>
  <si>
    <t xml:space="preserve">-TEXT 9323.66092372967,285 3.5 0 S=15.98 </t>
  </si>
  <si>
    <t>-TEXT 9379.7723929,300 3.5 0 R=40</t>
  </si>
  <si>
    <t xml:space="preserve">-TEXT 9379.7723929,295 3.5 0 α=62.84° </t>
  </si>
  <si>
    <t xml:space="preserve">-TEXT 9379.7723929,290 3.5 0 T=24.44 </t>
  </si>
  <si>
    <t xml:space="preserve">-TEXT 9379.7723929,285 3.5 0 S=43.87 </t>
  </si>
  <si>
    <t>-TEXT 942.963275267835,300 3.5 0 R=80</t>
  </si>
  <si>
    <t xml:space="preserve">-TEXT 942.963275267835,295 3.5 0 α=10.27° </t>
  </si>
  <si>
    <t xml:space="preserve">-TEXT 942.963275267835,290 3.5 0 T=7.19 </t>
  </si>
  <si>
    <t xml:space="preserve">-TEXT 942.963275267835,285 3.5 0 S=14.33 </t>
  </si>
  <si>
    <t>-TEXT 9461.14632268641,300 3.5 0 R=40</t>
  </si>
  <si>
    <t xml:space="preserve">-TEXT 9461.14632268641,295 3.5 0 α=57.66° </t>
  </si>
  <si>
    <t xml:space="preserve">-TEXT 9461.14632268641,290 3.5 0 T=22.02 </t>
  </si>
  <si>
    <t xml:space="preserve">-TEXT 9461.14632268641,285 3.5 0 S=40.25 </t>
  </si>
  <si>
    <t>-TEXT 9516.10420537996,300 3.5 0 R=40</t>
  </si>
  <si>
    <t xml:space="preserve">-TEXT 9516.10420537996,295 3.5 0 α=28.74° </t>
  </si>
  <si>
    <t xml:space="preserve">-TEXT 9516.10420537996,290 3.5 0 T=10.25 </t>
  </si>
  <si>
    <t xml:space="preserve">-TEXT 9516.10420537996,285 3.5 0 S=20.06 </t>
  </si>
  <si>
    <t>-TEXT 9603.07295679524,300 3.5 0 R=20</t>
  </si>
  <si>
    <t xml:space="preserve">-TEXT 9603.07295679524,295 3.5 0 α=49.26° </t>
  </si>
  <si>
    <t xml:space="preserve">-TEXT 9603.07295679524,290 3.5 0 T=9.17 </t>
  </si>
  <si>
    <t xml:space="preserve">-TEXT 9603.07295679524,285 3.5 0 S=17.20 </t>
  </si>
  <si>
    <t>-TEXT 9717.49401627769,300 3.5 0 R=20</t>
  </si>
  <si>
    <t xml:space="preserve">-TEXT 9717.49401627769,295 3.5 0 α=53.69° </t>
  </si>
  <si>
    <t xml:space="preserve">-TEXT 9717.49401627769,290 3.5 0 T=10.12 </t>
  </si>
  <si>
    <t xml:space="preserve">-TEXT 9717.49401627769,285 3.5 0 S=18.74 </t>
  </si>
  <si>
    <t/>
  </si>
  <si>
    <t>里程(km+m)</t>
  </si>
  <si>
    <t>杨溪河倒进</t>
  </si>
  <si>
    <t>杨溪河倒出</t>
  </si>
  <si>
    <t>建筑</t>
  </si>
  <si>
    <t>明渠</t>
  </si>
  <si>
    <t>一流量段末</t>
  </si>
  <si>
    <t>大堰分水点出</t>
  </si>
  <si>
    <t>二流量段末</t>
  </si>
  <si>
    <t>三流量段末</t>
  </si>
  <si>
    <t>大龙沟分水点出</t>
  </si>
  <si>
    <t>四流量段末</t>
  </si>
  <si>
    <t>五流量段末</t>
  </si>
  <si>
    <t>桂林分水点</t>
  </si>
  <si>
    <t>六流量段末</t>
  </si>
  <si>
    <t>丹山水库分水闸</t>
  </si>
  <si>
    <t>七流量段末</t>
  </si>
  <si>
    <t>石通分水点</t>
  </si>
  <si>
    <t>结构类型</t>
  </si>
  <si>
    <t>闸名称</t>
  </si>
  <si>
    <t>闸孔高度H m</t>
  </si>
  <si>
    <t>闸孔宽度B m</t>
  </si>
  <si>
    <t>闸室长度 m</t>
  </si>
  <si>
    <t>类型一</t>
  </si>
  <si>
    <t>狗跳地节制闸</t>
  </si>
  <si>
    <t>第一流量段</t>
  </si>
  <si>
    <t>杨溪河节制闸</t>
  </si>
  <si>
    <t>菱角节制闸</t>
  </si>
  <si>
    <t>驼子桥节制闸</t>
  </si>
  <si>
    <t>小湾节制闸</t>
  </si>
  <si>
    <t>踏水节制闸</t>
  </si>
  <si>
    <t>类型二</t>
  </si>
  <si>
    <t>麻柳湾节制闸</t>
  </si>
  <si>
    <t>第二流量段</t>
  </si>
  <si>
    <t>长一沟节制闸</t>
  </si>
  <si>
    <t>赵家沟节制闸</t>
  </si>
  <si>
    <t>类型三</t>
  </si>
  <si>
    <t>石佛湾节制闸</t>
  </si>
  <si>
    <t>第三流量段</t>
  </si>
  <si>
    <t>大龙沟节制闸</t>
  </si>
  <si>
    <t>类型四</t>
  </si>
  <si>
    <t>邓家湾节制闸</t>
  </si>
  <si>
    <t>第四流量段</t>
  </si>
  <si>
    <t>底宽B</t>
  </si>
  <si>
    <t>高度H</t>
  </si>
  <si>
    <t>设计水深h</t>
  </si>
  <si>
    <t>顶板厚t</t>
  </si>
  <si>
    <t>边墙衬砌</t>
  </si>
  <si>
    <t>底板衬砌</t>
  </si>
  <si>
    <t>支座中心距</t>
  </si>
  <si>
    <t>邓家节制闸</t>
  </si>
  <si>
    <t>类型五</t>
  </si>
  <si>
    <t>桂林节制闸</t>
  </si>
  <si>
    <t>第五流量段</t>
  </si>
  <si>
    <t>类型六</t>
  </si>
  <si>
    <t>龙口村节制闸</t>
  </si>
  <si>
    <t>第六流量段</t>
  </si>
  <si>
    <t>丹山节制闸</t>
  </si>
  <si>
    <t>类型七</t>
  </si>
  <si>
    <t>石湍节制闸</t>
  </si>
  <si>
    <t>第七流量段</t>
  </si>
  <si>
    <t>拉杆厚t</t>
  </si>
  <si>
    <t>石佛湾泄水闸</t>
  </si>
  <si>
    <t>邓家湾泄水闸</t>
  </si>
  <si>
    <t>龙口村泄水闸</t>
  </si>
  <si>
    <t>踏水分水闸</t>
  </si>
  <si>
    <t>大龙沟分水闸</t>
  </si>
  <si>
    <t>邓家分水闸</t>
  </si>
  <si>
    <t>桂林分水闸</t>
  </si>
  <si>
    <t>丹山分水闸</t>
  </si>
  <si>
    <t>类型八</t>
  </si>
  <si>
    <t>石湍分水闸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</si>
</sst>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\+000.000"/>
    <numFmt numFmtId="178" formatCode="0.0000"/>
    <numFmt numFmtId="179" formatCode="0.0000_ "/>
    <numFmt numFmtId="180" formatCode="0\+000.00"/>
    <numFmt numFmtId="181" formatCode="&quot;Z&quot;&quot;G&quot;0\+000.00"/>
    <numFmt numFmtId="182" formatCode="0.000_ "/>
    <numFmt numFmtId="183" formatCode="0.000"/>
    <numFmt numFmtId="184" formatCode="0.000_);[Red]\(0.000\)"/>
    <numFmt numFmtId="185" formatCode="&quot;总&quot;&quot;干&quot;0\+000.000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B050"/>
      <name val="等线"/>
      <charset val="134"/>
      <scheme val="minor"/>
    </font>
    <font>
      <sz val="11"/>
      <name val="等线"/>
      <charset val="134"/>
      <scheme val="minor"/>
    </font>
    <font>
      <b/>
      <sz val="10"/>
      <color indexed="8"/>
      <name val="宋体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vertAlign val="superscript"/>
      <sz val="11"/>
      <color theme="1"/>
      <name val="等线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8" borderId="4" applyNumberFormat="0" applyAlignment="0" applyProtection="0">
      <alignment vertical="center"/>
    </xf>
    <xf numFmtId="0" fontId="14" fillId="9" borderId="5" applyNumberFormat="0" applyAlignment="0" applyProtection="0">
      <alignment vertical="center"/>
    </xf>
    <xf numFmtId="0" fontId="15" fillId="9" borderId="4" applyNumberFormat="0" applyAlignment="0" applyProtection="0">
      <alignment vertical="center"/>
    </xf>
    <xf numFmtId="0" fontId="16" fillId="10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</cellStyleXfs>
  <cellXfs count="6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 wrapText="1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78" fontId="0" fillId="3" borderId="0" xfId="0" applyNumberFormat="1" applyFill="1" applyAlignment="1">
      <alignment horizontal="center"/>
    </xf>
    <xf numFmtId="177" fontId="0" fillId="3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/>
    </xf>
    <xf numFmtId="181" fontId="0" fillId="2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181" fontId="0" fillId="4" borderId="0" xfId="0" applyNumberForma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Fon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1" fontId="3" fillId="3" borderId="0" xfId="0" applyNumberFormat="1" applyFont="1" applyFill="1" applyAlignment="1">
      <alignment horizontal="center" vertical="center"/>
    </xf>
    <xf numFmtId="181" fontId="0" fillId="3" borderId="0" xfId="0" applyNumberFormat="1" applyFill="1" applyAlignment="1">
      <alignment horizontal="center" vertical="center"/>
    </xf>
    <xf numFmtId="0" fontId="0" fillId="5" borderId="0" xfId="0" applyFill="1"/>
    <xf numFmtId="0" fontId="0" fillId="2" borderId="0" xfId="0" applyFill="1"/>
    <xf numFmtId="184" fontId="4" fillId="0" borderId="0" xfId="0" applyNumberFormat="1" applyFont="1" applyAlignment="1">
      <alignment horizontal="center" vertical="center"/>
    </xf>
    <xf numFmtId="178" fontId="0" fillId="0" borderId="0" xfId="0" applyNumberFormat="1"/>
    <xf numFmtId="180" fontId="0" fillId="0" borderId="0" xfId="0" applyNumberFormat="1"/>
    <xf numFmtId="183" fontId="0" fillId="0" borderId="0" xfId="0" applyNumberFormat="1"/>
    <xf numFmtId="0" fontId="0" fillId="3" borderId="0" xfId="0" applyFill="1"/>
    <xf numFmtId="178" fontId="0" fillId="3" borderId="0" xfId="0" applyNumberFormat="1" applyFill="1"/>
    <xf numFmtId="180" fontId="0" fillId="3" borderId="0" xfId="0" applyNumberFormat="1" applyFill="1"/>
    <xf numFmtId="178" fontId="0" fillId="5" borderId="0" xfId="0" applyNumberFormat="1" applyFill="1"/>
    <xf numFmtId="185" fontId="0" fillId="0" borderId="0" xfId="0" applyNumberFormat="1"/>
    <xf numFmtId="0" fontId="1" fillId="0" borderId="0" xfId="0" applyFont="1"/>
    <xf numFmtId="180" fontId="1" fillId="0" borderId="0" xfId="0" applyNumberFormat="1" applyFont="1"/>
    <xf numFmtId="178" fontId="1" fillId="0" borderId="0" xfId="0" applyNumberFormat="1" applyFont="1"/>
    <xf numFmtId="177" fontId="1" fillId="0" borderId="0" xfId="0" applyNumberFormat="1" applyFont="1"/>
    <xf numFmtId="178" fontId="0" fillId="2" borderId="0" xfId="0" applyNumberFormat="1" applyFill="1"/>
    <xf numFmtId="180" fontId="0" fillId="2" borderId="0" xfId="0" applyNumberFormat="1" applyFill="1"/>
    <xf numFmtId="183" fontId="0" fillId="2" borderId="0" xfId="0" applyNumberFormat="1" applyFill="1"/>
    <xf numFmtId="0" fontId="3" fillId="0" borderId="0" xfId="0" applyFont="1"/>
    <xf numFmtId="180" fontId="3" fillId="0" borderId="0" xfId="0" applyNumberFormat="1" applyFont="1"/>
    <xf numFmtId="0" fontId="3" fillId="3" borderId="0" xfId="0" applyFont="1" applyFill="1"/>
    <xf numFmtId="0" fontId="1" fillId="2" borderId="0" xfId="0" applyFont="1" applyFill="1"/>
    <xf numFmtId="0" fontId="0" fillId="6" borderId="0" xfId="0" applyFill="1"/>
    <xf numFmtId="178" fontId="0" fillId="6" borderId="0" xfId="0" applyNumberFormat="1" applyFill="1"/>
    <xf numFmtId="182" fontId="0" fillId="0" borderId="0" xfId="0" applyNumberFormat="1"/>
    <xf numFmtId="0" fontId="1" fillId="3" borderId="0" xfId="0" applyFont="1" applyFill="1"/>
    <xf numFmtId="178" fontId="1" fillId="3" borderId="0" xfId="0" applyNumberFormat="1" applyFont="1" applyFill="1"/>
    <xf numFmtId="176" fontId="0" fillId="0" borderId="0" xfId="0" applyNumberFormat="1"/>
    <xf numFmtId="178" fontId="3" fillId="0" borderId="0" xfId="0" applyNumberFormat="1" applyFont="1"/>
    <xf numFmtId="0" fontId="1" fillId="0" borderId="0" xfId="0" applyFont="1"/>
    <xf numFmtId="177" fontId="0" fillId="0" borderId="0" xfId="0" applyNumberForma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onnections" Target="connections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160020</xdr:colOff>
          <xdr:row>0</xdr:row>
          <xdr:rowOff>167640</xdr:rowOff>
        </xdr:from>
        <xdr:to>
          <xdr:col>22</xdr:col>
          <xdr:colOff>396240</xdr:colOff>
          <xdr:row>2</xdr:row>
          <xdr:rowOff>45720</xdr:rowOff>
        </xdr:to>
        <xdr:sp macro="[0]!Sheet3.多段线三点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7564100" y="167640"/>
              <a:ext cx="1074420" cy="2286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渠底高程线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582706</xdr:colOff>
      <xdr:row>1</xdr:row>
      <xdr:rowOff>0</xdr:rowOff>
    </xdr:from>
    <xdr:to>
      <xdr:col>44</xdr:col>
      <xdr:colOff>211343</xdr:colOff>
      <xdr:row>11</xdr:row>
      <xdr:rowOff>135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0231715" y="175260"/>
          <a:ext cx="5015865" cy="17526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1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总干线路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付家坝倒虹管_2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付家坝倒虹管_4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付家坝倒虹管_3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queryTable" Target="../queryTables/query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queryTable" Target="../queryTables/queryTable6.xml"/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V750"/>
  <sheetViews>
    <sheetView topLeftCell="A640" workbookViewId="0">
      <selection activeCell="A254" sqref="$A254:$XFD254"/>
    </sheetView>
  </sheetViews>
  <sheetFormatPr defaultColWidth="9" defaultRowHeight="13.8"/>
  <cols>
    <col min="3" max="3" width="22.1111111111111" customWidth="1"/>
  </cols>
  <sheetData>
    <row r="1" spans="2:2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2:22">
      <c r="B2">
        <v>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2</v>
      </c>
      <c r="K2">
        <v>0</v>
      </c>
      <c r="L2">
        <v>0</v>
      </c>
      <c r="M2">
        <v>477.69</v>
      </c>
      <c r="N2">
        <v>0</v>
      </c>
      <c r="O2">
        <v>0</v>
      </c>
      <c r="P2">
        <v>0</v>
      </c>
      <c r="Q2">
        <v>0</v>
      </c>
      <c r="R2">
        <v>0</v>
      </c>
      <c r="S2" t="s">
        <v>22</v>
      </c>
      <c r="T2" t="s">
        <v>22</v>
      </c>
      <c r="U2">
        <v>477.69</v>
      </c>
      <c r="V2">
        <v>473.721</v>
      </c>
    </row>
    <row r="3" spans="2:22">
      <c r="B3">
        <v>2</v>
      </c>
      <c r="C3" t="s">
        <v>23</v>
      </c>
      <c r="D3">
        <v>0</v>
      </c>
      <c r="E3">
        <v>0</v>
      </c>
      <c r="F3">
        <v>36.163</v>
      </c>
      <c r="G3">
        <v>36.163</v>
      </c>
      <c r="H3">
        <v>36.163</v>
      </c>
      <c r="I3">
        <v>3</v>
      </c>
      <c r="J3">
        <v>1</v>
      </c>
      <c r="K3">
        <v>1</v>
      </c>
      <c r="L3">
        <v>0.103</v>
      </c>
      <c r="M3">
        <v>477.587</v>
      </c>
      <c r="N3">
        <v>0.005</v>
      </c>
      <c r="O3">
        <v>0.097</v>
      </c>
      <c r="P3">
        <v>0</v>
      </c>
      <c r="Q3">
        <v>0.001</v>
      </c>
      <c r="R3">
        <v>0</v>
      </c>
      <c r="S3">
        <v>477.684</v>
      </c>
      <c r="T3">
        <v>473.715</v>
      </c>
      <c r="U3">
        <v>477.587</v>
      </c>
      <c r="V3">
        <v>473.666</v>
      </c>
    </row>
    <row r="4" spans="2:22">
      <c r="B4">
        <v>3</v>
      </c>
      <c r="C4" t="s">
        <v>24</v>
      </c>
      <c r="D4">
        <v>40</v>
      </c>
      <c r="E4">
        <v>53.693</v>
      </c>
      <c r="F4">
        <v>48.502</v>
      </c>
      <c r="G4">
        <v>67.244</v>
      </c>
      <c r="H4">
        <v>85.987</v>
      </c>
      <c r="I4">
        <v>3</v>
      </c>
      <c r="J4">
        <v>1</v>
      </c>
      <c r="K4">
        <v>0</v>
      </c>
      <c r="L4">
        <v>0.016</v>
      </c>
      <c r="M4">
        <v>477.571</v>
      </c>
      <c r="N4">
        <v>0.012</v>
      </c>
      <c r="O4">
        <v>0</v>
      </c>
      <c r="P4">
        <v>0.004</v>
      </c>
      <c r="Q4">
        <v>0</v>
      </c>
      <c r="R4">
        <v>0</v>
      </c>
      <c r="S4" t="s">
        <v>22</v>
      </c>
      <c r="T4" t="s">
        <v>22</v>
      </c>
      <c r="U4">
        <v>477.573</v>
      </c>
      <c r="V4">
        <v>473.652</v>
      </c>
    </row>
    <row r="5" spans="2:22">
      <c r="B5">
        <v>4</v>
      </c>
      <c r="C5" t="s">
        <v>25</v>
      </c>
      <c r="D5">
        <v>80</v>
      </c>
      <c r="E5">
        <v>3.284</v>
      </c>
      <c r="F5">
        <v>940.711</v>
      </c>
      <c r="G5">
        <v>943.003</v>
      </c>
      <c r="H5">
        <v>945.296</v>
      </c>
      <c r="I5">
        <v>3</v>
      </c>
      <c r="J5">
        <v>1</v>
      </c>
      <c r="K5">
        <v>0</v>
      </c>
      <c r="L5">
        <v>0.351</v>
      </c>
      <c r="M5">
        <v>477.22</v>
      </c>
      <c r="N5">
        <v>0.35</v>
      </c>
      <c r="O5">
        <v>0</v>
      </c>
      <c r="P5">
        <v>0</v>
      </c>
      <c r="Q5">
        <v>0</v>
      </c>
      <c r="R5">
        <v>0</v>
      </c>
      <c r="S5" t="s">
        <v>22</v>
      </c>
      <c r="T5" t="s">
        <v>22</v>
      </c>
      <c r="U5">
        <v>477.22</v>
      </c>
      <c r="V5">
        <v>473.299</v>
      </c>
    </row>
    <row r="6" spans="2:22">
      <c r="B6">
        <v>5</v>
      </c>
      <c r="C6" t="s">
        <v>26</v>
      </c>
      <c r="D6">
        <v>80</v>
      </c>
      <c r="E6">
        <v>10.266</v>
      </c>
      <c r="F6">
        <v>1876.76</v>
      </c>
      <c r="G6">
        <v>1883.927</v>
      </c>
      <c r="H6">
        <v>1891.094</v>
      </c>
      <c r="I6">
        <v>3</v>
      </c>
      <c r="J6">
        <v>1</v>
      </c>
      <c r="K6">
        <v>0</v>
      </c>
      <c r="L6">
        <v>0.377</v>
      </c>
      <c r="M6">
        <v>476.843</v>
      </c>
      <c r="N6">
        <v>0.376</v>
      </c>
      <c r="O6">
        <v>0</v>
      </c>
      <c r="P6">
        <v>0.001</v>
      </c>
      <c r="Q6">
        <v>0</v>
      </c>
      <c r="R6">
        <v>0</v>
      </c>
      <c r="S6" t="s">
        <v>22</v>
      </c>
      <c r="T6" t="s">
        <v>22</v>
      </c>
      <c r="U6">
        <v>476.843</v>
      </c>
      <c r="V6">
        <v>472.922</v>
      </c>
    </row>
    <row r="7" spans="2:22">
      <c r="B7">
        <v>6</v>
      </c>
      <c r="C7" t="s">
        <v>27</v>
      </c>
      <c r="D7">
        <v>80</v>
      </c>
      <c r="E7">
        <v>24.902</v>
      </c>
      <c r="F7">
        <v>8742.404</v>
      </c>
      <c r="G7">
        <v>8759.789</v>
      </c>
      <c r="H7">
        <v>8777.174</v>
      </c>
      <c r="I7">
        <v>3</v>
      </c>
      <c r="J7">
        <v>1</v>
      </c>
      <c r="K7">
        <v>0</v>
      </c>
      <c r="L7">
        <v>2.753</v>
      </c>
      <c r="M7">
        <v>474.09</v>
      </c>
      <c r="N7">
        <v>2.75</v>
      </c>
      <c r="O7">
        <v>0</v>
      </c>
      <c r="P7">
        <v>0.002</v>
      </c>
      <c r="Q7">
        <v>0</v>
      </c>
      <c r="R7">
        <v>0</v>
      </c>
      <c r="S7" t="s">
        <v>22</v>
      </c>
      <c r="T7" t="s">
        <v>22</v>
      </c>
      <c r="U7">
        <v>474.091</v>
      </c>
      <c r="V7">
        <v>470.17</v>
      </c>
    </row>
    <row r="8" spans="2:22">
      <c r="B8">
        <v>7</v>
      </c>
      <c r="C8" t="s">
        <v>28</v>
      </c>
      <c r="D8">
        <v>80</v>
      </c>
      <c r="E8">
        <v>33.479</v>
      </c>
      <c r="F8">
        <v>11401.85</v>
      </c>
      <c r="G8">
        <v>11425.223</v>
      </c>
      <c r="H8">
        <v>11448.595</v>
      </c>
      <c r="I8">
        <v>3</v>
      </c>
      <c r="J8">
        <v>1</v>
      </c>
      <c r="K8">
        <v>0</v>
      </c>
      <c r="L8">
        <v>1.069</v>
      </c>
      <c r="M8">
        <v>473.021</v>
      </c>
      <c r="N8">
        <v>1.066</v>
      </c>
      <c r="O8">
        <v>0</v>
      </c>
      <c r="P8">
        <v>0.003</v>
      </c>
      <c r="Q8">
        <v>0</v>
      </c>
      <c r="R8">
        <v>0</v>
      </c>
      <c r="S8" t="s">
        <v>22</v>
      </c>
      <c r="T8" t="s">
        <v>22</v>
      </c>
      <c r="U8">
        <v>473.022</v>
      </c>
      <c r="V8">
        <v>469.101</v>
      </c>
    </row>
    <row r="9" spans="2:22">
      <c r="B9">
        <v>8</v>
      </c>
      <c r="C9" t="s">
        <v>29</v>
      </c>
      <c r="D9">
        <v>0</v>
      </c>
      <c r="E9">
        <v>0</v>
      </c>
      <c r="F9">
        <v>11562.376</v>
      </c>
      <c r="G9">
        <v>11562.376</v>
      </c>
      <c r="H9">
        <v>11562.376</v>
      </c>
      <c r="I9">
        <v>3</v>
      </c>
      <c r="J9">
        <v>1</v>
      </c>
      <c r="K9">
        <v>2</v>
      </c>
      <c r="L9">
        <v>0.004</v>
      </c>
      <c r="M9">
        <v>473.017</v>
      </c>
      <c r="N9">
        <v>0.055</v>
      </c>
      <c r="O9">
        <v>-0.051</v>
      </c>
      <c r="P9">
        <v>0</v>
      </c>
      <c r="Q9">
        <v>0</v>
      </c>
      <c r="R9">
        <v>0</v>
      </c>
      <c r="S9">
        <v>473.017</v>
      </c>
      <c r="T9">
        <v>469.048</v>
      </c>
      <c r="U9">
        <v>472.966</v>
      </c>
      <c r="V9">
        <v>469.045</v>
      </c>
    </row>
    <row r="10" spans="2:22">
      <c r="B10">
        <v>9</v>
      </c>
      <c r="C10" t="s">
        <v>30</v>
      </c>
      <c r="D10">
        <v>0</v>
      </c>
      <c r="E10">
        <v>0</v>
      </c>
      <c r="F10">
        <v>11586.223</v>
      </c>
      <c r="G10">
        <v>11586.223</v>
      </c>
      <c r="H10">
        <v>11586.223</v>
      </c>
      <c r="I10">
        <v>1</v>
      </c>
      <c r="J10">
        <v>4</v>
      </c>
      <c r="K10">
        <v>1</v>
      </c>
      <c r="L10">
        <v>0.004</v>
      </c>
      <c r="M10">
        <v>473.013</v>
      </c>
      <c r="N10">
        <v>0.003</v>
      </c>
      <c r="O10">
        <v>0</v>
      </c>
      <c r="P10">
        <v>0</v>
      </c>
      <c r="Q10">
        <v>0</v>
      </c>
      <c r="R10">
        <v>0</v>
      </c>
      <c r="S10">
        <v>473.013</v>
      </c>
      <c r="T10">
        <v>469.044</v>
      </c>
      <c r="U10">
        <v>473.013</v>
      </c>
      <c r="V10">
        <v>469.044</v>
      </c>
    </row>
    <row r="11" spans="2:22">
      <c r="B11">
        <v>10</v>
      </c>
      <c r="C11" t="s">
        <v>31</v>
      </c>
      <c r="D11">
        <v>0</v>
      </c>
      <c r="E11">
        <v>0</v>
      </c>
      <c r="F11">
        <v>11586.223</v>
      </c>
      <c r="G11">
        <v>11586.223</v>
      </c>
      <c r="H11">
        <v>11586.223</v>
      </c>
      <c r="I11">
        <v>1</v>
      </c>
      <c r="J11">
        <v>4</v>
      </c>
      <c r="K11">
        <v>2</v>
      </c>
      <c r="L11">
        <v>0.03</v>
      </c>
      <c r="M11">
        <v>472.983</v>
      </c>
      <c r="N11">
        <v>0</v>
      </c>
      <c r="O11">
        <v>0</v>
      </c>
      <c r="P11">
        <v>0</v>
      </c>
      <c r="Q11">
        <v>0</v>
      </c>
      <c r="R11">
        <v>0.03</v>
      </c>
      <c r="S11">
        <v>472.983</v>
      </c>
      <c r="T11">
        <v>469.014</v>
      </c>
      <c r="U11">
        <v>472.983</v>
      </c>
      <c r="V11">
        <v>469.014</v>
      </c>
    </row>
    <row r="12" spans="2:22">
      <c r="B12">
        <v>11</v>
      </c>
      <c r="C12" t="s">
        <v>32</v>
      </c>
      <c r="D12">
        <v>0</v>
      </c>
      <c r="E12">
        <v>0</v>
      </c>
      <c r="F12">
        <v>11613.916</v>
      </c>
      <c r="G12">
        <v>11613.916</v>
      </c>
      <c r="H12">
        <v>11613.916</v>
      </c>
      <c r="I12">
        <v>2</v>
      </c>
      <c r="J12">
        <v>1</v>
      </c>
      <c r="K12">
        <v>1</v>
      </c>
      <c r="L12">
        <v>0.125</v>
      </c>
      <c r="M12">
        <v>472.858</v>
      </c>
      <c r="N12">
        <v>0.004</v>
      </c>
      <c r="O12">
        <v>0.121</v>
      </c>
      <c r="P12">
        <v>0</v>
      </c>
      <c r="Q12">
        <v>0</v>
      </c>
      <c r="R12">
        <v>0</v>
      </c>
      <c r="S12">
        <v>472.979</v>
      </c>
      <c r="T12">
        <v>469.01</v>
      </c>
      <c r="U12">
        <v>472.858</v>
      </c>
      <c r="V12">
        <v>468.975</v>
      </c>
    </row>
    <row r="13" spans="2:22">
      <c r="B13">
        <v>12</v>
      </c>
      <c r="C13" t="s">
        <v>33</v>
      </c>
      <c r="D13">
        <v>0</v>
      </c>
      <c r="E13">
        <v>0</v>
      </c>
      <c r="F13">
        <v>11738.916</v>
      </c>
      <c r="G13">
        <v>11738.916</v>
      </c>
      <c r="H13">
        <v>11738.916</v>
      </c>
      <c r="I13">
        <v>2</v>
      </c>
      <c r="J13">
        <v>1</v>
      </c>
      <c r="K13">
        <v>2</v>
      </c>
      <c r="L13">
        <v>-0.006</v>
      </c>
      <c r="M13">
        <v>472.864</v>
      </c>
      <c r="N13">
        <v>0.057</v>
      </c>
      <c r="O13">
        <v>-0.063</v>
      </c>
      <c r="P13">
        <v>0</v>
      </c>
      <c r="Q13">
        <v>0</v>
      </c>
      <c r="R13">
        <v>0</v>
      </c>
      <c r="S13">
        <v>472.864</v>
      </c>
      <c r="T13">
        <v>468.895</v>
      </c>
      <c r="U13">
        <v>472.801</v>
      </c>
      <c r="V13">
        <v>468.918</v>
      </c>
    </row>
    <row r="14" spans="2:22">
      <c r="B14">
        <v>13</v>
      </c>
      <c r="C14" t="s">
        <v>34</v>
      </c>
      <c r="D14">
        <v>0</v>
      </c>
      <c r="E14">
        <v>0</v>
      </c>
      <c r="F14">
        <v>11763.412</v>
      </c>
      <c r="G14">
        <v>11763.412</v>
      </c>
      <c r="H14">
        <v>11763.412</v>
      </c>
      <c r="I14">
        <v>3</v>
      </c>
      <c r="J14">
        <v>1</v>
      </c>
      <c r="K14">
        <v>1</v>
      </c>
      <c r="L14">
        <v>0.1</v>
      </c>
      <c r="M14">
        <v>472.764</v>
      </c>
      <c r="N14">
        <v>0.002</v>
      </c>
      <c r="O14">
        <v>0.097</v>
      </c>
      <c r="P14">
        <v>0</v>
      </c>
      <c r="Q14">
        <v>0</v>
      </c>
      <c r="R14">
        <v>0</v>
      </c>
      <c r="S14">
        <v>472.861</v>
      </c>
      <c r="T14">
        <v>468.892</v>
      </c>
      <c r="U14">
        <v>472.764</v>
      </c>
      <c r="V14">
        <v>468.843</v>
      </c>
    </row>
    <row r="15" spans="2:22">
      <c r="B15">
        <v>14</v>
      </c>
      <c r="C15" t="s">
        <v>35</v>
      </c>
      <c r="D15">
        <v>80</v>
      </c>
      <c r="E15">
        <v>34.127</v>
      </c>
      <c r="F15">
        <v>12038.079</v>
      </c>
      <c r="G15">
        <v>12061.904</v>
      </c>
      <c r="H15">
        <v>12085.729</v>
      </c>
      <c r="I15">
        <v>3</v>
      </c>
      <c r="J15">
        <v>1</v>
      </c>
      <c r="K15">
        <v>0</v>
      </c>
      <c r="L15">
        <v>0.123</v>
      </c>
      <c r="M15">
        <v>472.642</v>
      </c>
      <c r="N15">
        <v>0.119</v>
      </c>
      <c r="O15">
        <v>0</v>
      </c>
      <c r="P15">
        <v>0.003</v>
      </c>
      <c r="Q15">
        <v>0</v>
      </c>
      <c r="R15">
        <v>0</v>
      </c>
      <c r="S15" t="s">
        <v>22</v>
      </c>
      <c r="T15" t="s">
        <v>22</v>
      </c>
      <c r="U15">
        <v>472.643</v>
      </c>
      <c r="V15">
        <v>468.722</v>
      </c>
    </row>
    <row r="16" spans="2:22">
      <c r="B16">
        <v>15</v>
      </c>
      <c r="C16" t="s">
        <v>36</v>
      </c>
      <c r="D16">
        <v>80</v>
      </c>
      <c r="E16">
        <v>26.534</v>
      </c>
      <c r="F16">
        <v>14857.874</v>
      </c>
      <c r="G16">
        <v>14876.398</v>
      </c>
      <c r="H16">
        <v>14894.923</v>
      </c>
      <c r="I16">
        <v>3</v>
      </c>
      <c r="J16">
        <v>1</v>
      </c>
      <c r="K16">
        <v>0</v>
      </c>
      <c r="L16">
        <v>1.128</v>
      </c>
      <c r="M16">
        <v>471.513</v>
      </c>
      <c r="N16">
        <v>1.126</v>
      </c>
      <c r="O16">
        <v>0</v>
      </c>
      <c r="P16">
        <v>0.003</v>
      </c>
      <c r="Q16">
        <v>0</v>
      </c>
      <c r="R16">
        <v>0</v>
      </c>
      <c r="S16" t="s">
        <v>22</v>
      </c>
      <c r="T16" t="s">
        <v>22</v>
      </c>
      <c r="U16">
        <v>471.515</v>
      </c>
      <c r="V16">
        <v>467.594</v>
      </c>
    </row>
    <row r="17" spans="2:22">
      <c r="B17">
        <v>16</v>
      </c>
      <c r="C17" t="s">
        <v>37</v>
      </c>
      <c r="D17">
        <v>0</v>
      </c>
      <c r="E17">
        <v>0</v>
      </c>
      <c r="F17">
        <v>15155.563</v>
      </c>
      <c r="G17">
        <v>15155.563</v>
      </c>
      <c r="H17">
        <v>15155.563</v>
      </c>
      <c r="I17">
        <v>3</v>
      </c>
      <c r="J17">
        <v>1</v>
      </c>
      <c r="K17">
        <v>2</v>
      </c>
      <c r="L17">
        <v>0.061</v>
      </c>
      <c r="M17">
        <v>471.452</v>
      </c>
      <c r="N17">
        <v>0.112</v>
      </c>
      <c r="O17">
        <v>-0.051</v>
      </c>
      <c r="P17">
        <v>0</v>
      </c>
      <c r="Q17">
        <v>0</v>
      </c>
      <c r="R17">
        <v>0</v>
      </c>
      <c r="S17">
        <v>471.452</v>
      </c>
      <c r="T17">
        <v>467.483</v>
      </c>
      <c r="U17">
        <v>471.402</v>
      </c>
      <c r="V17">
        <v>467.481</v>
      </c>
    </row>
    <row r="18" spans="2:22">
      <c r="B18">
        <v>17</v>
      </c>
      <c r="C18" t="s">
        <v>38</v>
      </c>
      <c r="D18">
        <v>0</v>
      </c>
      <c r="E18">
        <v>0</v>
      </c>
      <c r="F18">
        <v>15170.581</v>
      </c>
      <c r="G18">
        <v>15170.581</v>
      </c>
      <c r="H18">
        <v>15170.581</v>
      </c>
      <c r="I18">
        <v>2</v>
      </c>
      <c r="J18">
        <v>1</v>
      </c>
      <c r="K18">
        <v>1</v>
      </c>
      <c r="L18">
        <v>0.122</v>
      </c>
      <c r="M18">
        <v>471.33</v>
      </c>
      <c r="N18">
        <v>0.001</v>
      </c>
      <c r="O18">
        <v>0.121</v>
      </c>
      <c r="P18">
        <v>0</v>
      </c>
      <c r="Q18">
        <v>0</v>
      </c>
      <c r="R18">
        <v>0</v>
      </c>
      <c r="S18">
        <v>471.451</v>
      </c>
      <c r="T18">
        <v>467.482</v>
      </c>
      <c r="U18">
        <v>471.33</v>
      </c>
      <c r="V18">
        <v>467.447</v>
      </c>
    </row>
    <row r="19" spans="2:22">
      <c r="B19">
        <v>18</v>
      </c>
      <c r="C19" t="s">
        <v>39</v>
      </c>
      <c r="D19">
        <v>0</v>
      </c>
      <c r="E19">
        <v>0</v>
      </c>
      <c r="F19">
        <v>15345.586</v>
      </c>
      <c r="G19">
        <v>15345.586</v>
      </c>
      <c r="H19">
        <v>15345.586</v>
      </c>
      <c r="I19">
        <v>2</v>
      </c>
      <c r="J19">
        <v>1</v>
      </c>
      <c r="K19">
        <v>2</v>
      </c>
      <c r="L19">
        <v>0.016</v>
      </c>
      <c r="M19">
        <v>471.314</v>
      </c>
      <c r="N19">
        <v>0.08</v>
      </c>
      <c r="O19">
        <v>-0.063</v>
      </c>
      <c r="P19">
        <v>0</v>
      </c>
      <c r="Q19">
        <v>0</v>
      </c>
      <c r="R19">
        <v>0</v>
      </c>
      <c r="S19">
        <v>471.314</v>
      </c>
      <c r="T19">
        <v>467.345</v>
      </c>
      <c r="U19">
        <v>471.251</v>
      </c>
      <c r="V19">
        <v>467.368</v>
      </c>
    </row>
    <row r="20" spans="2:22">
      <c r="B20">
        <v>19</v>
      </c>
      <c r="C20" t="s">
        <v>40</v>
      </c>
      <c r="D20">
        <v>0</v>
      </c>
      <c r="E20">
        <v>0</v>
      </c>
      <c r="F20">
        <v>15391.87</v>
      </c>
      <c r="G20">
        <v>15391.87</v>
      </c>
      <c r="H20">
        <v>15391.87</v>
      </c>
      <c r="I20">
        <v>3</v>
      </c>
      <c r="J20">
        <v>1</v>
      </c>
      <c r="K20">
        <v>1</v>
      </c>
      <c r="L20">
        <v>0.104</v>
      </c>
      <c r="M20">
        <v>471.21</v>
      </c>
      <c r="N20">
        <v>0.006</v>
      </c>
      <c r="O20">
        <v>0.097</v>
      </c>
      <c r="P20">
        <v>0</v>
      </c>
      <c r="Q20">
        <v>0.001</v>
      </c>
      <c r="R20">
        <v>0</v>
      </c>
      <c r="S20">
        <v>471.307</v>
      </c>
      <c r="T20">
        <v>467.338</v>
      </c>
      <c r="U20">
        <v>471.21</v>
      </c>
      <c r="V20">
        <v>467.289</v>
      </c>
    </row>
    <row r="21" spans="2:22">
      <c r="B21">
        <v>20</v>
      </c>
      <c r="C21" t="s">
        <v>41</v>
      </c>
      <c r="D21">
        <v>80</v>
      </c>
      <c r="E21">
        <v>39.864</v>
      </c>
      <c r="F21">
        <v>15481.796</v>
      </c>
      <c r="G21">
        <v>15509.626</v>
      </c>
      <c r="H21">
        <v>15537.457</v>
      </c>
      <c r="I21">
        <v>3</v>
      </c>
      <c r="J21">
        <v>1</v>
      </c>
      <c r="K21">
        <v>0</v>
      </c>
      <c r="L21">
        <v>0.051</v>
      </c>
      <c r="M21">
        <v>471.159</v>
      </c>
      <c r="N21">
        <v>0.047</v>
      </c>
      <c r="O21">
        <v>0</v>
      </c>
      <c r="P21">
        <v>0.004</v>
      </c>
      <c r="Q21">
        <v>0</v>
      </c>
      <c r="R21">
        <v>0</v>
      </c>
      <c r="S21" t="s">
        <v>22</v>
      </c>
      <c r="T21" t="s">
        <v>22</v>
      </c>
      <c r="U21">
        <v>471.161</v>
      </c>
      <c r="V21">
        <v>467.24</v>
      </c>
    </row>
    <row r="22" spans="2:22">
      <c r="B22">
        <v>21</v>
      </c>
      <c r="C22" t="s">
        <v>42</v>
      </c>
      <c r="D22">
        <v>0</v>
      </c>
      <c r="E22">
        <v>0</v>
      </c>
      <c r="F22">
        <v>15678.769</v>
      </c>
      <c r="G22">
        <v>15678.769</v>
      </c>
      <c r="H22">
        <v>15678.769</v>
      </c>
      <c r="I22">
        <v>3</v>
      </c>
      <c r="J22">
        <v>1</v>
      </c>
      <c r="K22">
        <v>2</v>
      </c>
      <c r="L22">
        <v>0.017</v>
      </c>
      <c r="M22">
        <v>471.142</v>
      </c>
      <c r="N22">
        <v>0.068</v>
      </c>
      <c r="O22">
        <v>-0.051</v>
      </c>
      <c r="P22">
        <v>0</v>
      </c>
      <c r="Q22">
        <v>0</v>
      </c>
      <c r="R22">
        <v>0</v>
      </c>
      <c r="S22">
        <v>471.142</v>
      </c>
      <c r="T22">
        <v>467.173</v>
      </c>
      <c r="U22">
        <v>471.091</v>
      </c>
      <c r="V22">
        <v>467.17</v>
      </c>
    </row>
    <row r="23" spans="2:22">
      <c r="B23">
        <v>22</v>
      </c>
      <c r="C23" t="s">
        <v>43</v>
      </c>
      <c r="D23">
        <v>0</v>
      </c>
      <c r="E23">
        <v>0</v>
      </c>
      <c r="F23">
        <v>15698.412</v>
      </c>
      <c r="G23">
        <v>15698.412</v>
      </c>
      <c r="H23">
        <v>15698.412</v>
      </c>
      <c r="I23">
        <v>2</v>
      </c>
      <c r="J23">
        <v>1</v>
      </c>
      <c r="K23">
        <v>1</v>
      </c>
      <c r="L23">
        <v>0.123</v>
      </c>
      <c r="M23">
        <v>471.019</v>
      </c>
      <c r="N23">
        <v>0.002</v>
      </c>
      <c r="O23">
        <v>0.121</v>
      </c>
      <c r="P23">
        <v>0</v>
      </c>
      <c r="Q23">
        <v>0</v>
      </c>
      <c r="R23">
        <v>0</v>
      </c>
      <c r="S23">
        <v>471.14</v>
      </c>
      <c r="T23">
        <v>467.171</v>
      </c>
      <c r="U23">
        <v>471.019</v>
      </c>
      <c r="V23">
        <v>467.136</v>
      </c>
    </row>
    <row r="24" spans="2:22">
      <c r="B24">
        <v>23</v>
      </c>
      <c r="C24" t="s">
        <v>44</v>
      </c>
      <c r="D24">
        <v>0</v>
      </c>
      <c r="E24">
        <v>0</v>
      </c>
      <c r="F24">
        <v>15868.415</v>
      </c>
      <c r="G24">
        <v>15868.415</v>
      </c>
      <c r="H24">
        <v>15868.415</v>
      </c>
      <c r="I24">
        <v>2</v>
      </c>
      <c r="J24">
        <v>1</v>
      </c>
      <c r="K24">
        <v>2</v>
      </c>
      <c r="L24">
        <v>0.014</v>
      </c>
      <c r="M24">
        <v>471.005</v>
      </c>
      <c r="N24">
        <v>0.077</v>
      </c>
      <c r="O24">
        <v>-0.063</v>
      </c>
      <c r="P24">
        <v>0</v>
      </c>
      <c r="Q24">
        <v>0</v>
      </c>
      <c r="R24">
        <v>0</v>
      </c>
      <c r="S24">
        <v>471.005</v>
      </c>
      <c r="T24">
        <v>467.036</v>
      </c>
      <c r="U24">
        <v>470.942</v>
      </c>
      <c r="V24">
        <v>467.059</v>
      </c>
    </row>
    <row r="25" spans="2:22">
      <c r="B25">
        <v>24</v>
      </c>
      <c r="C25" t="s">
        <v>45</v>
      </c>
      <c r="D25">
        <v>0</v>
      </c>
      <c r="E25">
        <v>0</v>
      </c>
      <c r="F25">
        <v>15882.454</v>
      </c>
      <c r="G25">
        <v>15882.454</v>
      </c>
      <c r="H25">
        <v>15882.454</v>
      </c>
      <c r="I25">
        <v>3</v>
      </c>
      <c r="J25">
        <v>1</v>
      </c>
      <c r="K25">
        <v>1</v>
      </c>
      <c r="L25">
        <v>0.098</v>
      </c>
      <c r="M25">
        <v>470.907</v>
      </c>
      <c r="N25">
        <v>0.001</v>
      </c>
      <c r="O25">
        <v>0.097</v>
      </c>
      <c r="P25">
        <v>0</v>
      </c>
      <c r="Q25">
        <v>0</v>
      </c>
      <c r="R25">
        <v>0</v>
      </c>
      <c r="S25">
        <v>471.004</v>
      </c>
      <c r="T25">
        <v>467.035</v>
      </c>
      <c r="U25">
        <v>470.907</v>
      </c>
      <c r="V25">
        <v>466.986</v>
      </c>
    </row>
    <row r="26" spans="2:22">
      <c r="B26">
        <v>25</v>
      </c>
      <c r="C26" t="s">
        <v>46</v>
      </c>
      <c r="D26">
        <v>40</v>
      </c>
      <c r="E26">
        <v>22.313</v>
      </c>
      <c r="F26">
        <v>16105.323</v>
      </c>
      <c r="G26">
        <v>16113.112</v>
      </c>
      <c r="H26">
        <v>16120.901</v>
      </c>
      <c r="I26">
        <v>3</v>
      </c>
      <c r="J26">
        <v>1</v>
      </c>
      <c r="K26">
        <v>0</v>
      </c>
      <c r="L26">
        <v>0.094</v>
      </c>
      <c r="M26">
        <v>470.813</v>
      </c>
      <c r="N26">
        <v>0.092</v>
      </c>
      <c r="O26">
        <v>0</v>
      </c>
      <c r="P26">
        <v>0.002</v>
      </c>
      <c r="Q26">
        <v>0</v>
      </c>
      <c r="R26">
        <v>0</v>
      </c>
      <c r="S26" t="s">
        <v>22</v>
      </c>
      <c r="T26" t="s">
        <v>22</v>
      </c>
      <c r="U26">
        <v>470.814</v>
      </c>
      <c r="V26">
        <v>466.893</v>
      </c>
    </row>
    <row r="27" spans="2:22">
      <c r="B27">
        <v>26</v>
      </c>
      <c r="C27" t="s">
        <v>47</v>
      </c>
      <c r="D27">
        <v>0</v>
      </c>
      <c r="E27">
        <v>0</v>
      </c>
      <c r="F27">
        <v>16134.125</v>
      </c>
      <c r="G27">
        <v>16134.125</v>
      </c>
      <c r="H27">
        <v>16134.125</v>
      </c>
      <c r="I27">
        <v>3</v>
      </c>
      <c r="J27">
        <v>1</v>
      </c>
      <c r="K27">
        <v>2</v>
      </c>
      <c r="L27">
        <v>-0.042</v>
      </c>
      <c r="M27">
        <v>470.856</v>
      </c>
      <c r="N27">
        <v>0.008</v>
      </c>
      <c r="O27">
        <v>-0.051</v>
      </c>
      <c r="P27">
        <v>0</v>
      </c>
      <c r="Q27">
        <v>0</v>
      </c>
      <c r="R27">
        <v>0</v>
      </c>
      <c r="S27">
        <v>470.856</v>
      </c>
      <c r="T27">
        <v>466.887</v>
      </c>
      <c r="U27">
        <v>470.805</v>
      </c>
      <c r="V27">
        <v>466.884</v>
      </c>
    </row>
    <row r="28" spans="2:22">
      <c r="B28">
        <v>27</v>
      </c>
      <c r="C28" t="s">
        <v>48</v>
      </c>
      <c r="D28">
        <v>0</v>
      </c>
      <c r="E28">
        <v>0</v>
      </c>
      <c r="F28">
        <v>16147.191</v>
      </c>
      <c r="G28">
        <v>16147.191</v>
      </c>
      <c r="H28">
        <v>16147.191</v>
      </c>
      <c r="I28">
        <v>2</v>
      </c>
      <c r="J28">
        <v>1</v>
      </c>
      <c r="K28">
        <v>1</v>
      </c>
      <c r="L28">
        <v>0.122</v>
      </c>
      <c r="M28">
        <v>470.734</v>
      </c>
      <c r="N28">
        <v>0.001</v>
      </c>
      <c r="O28">
        <v>0.121</v>
      </c>
      <c r="P28">
        <v>0</v>
      </c>
      <c r="Q28">
        <v>0</v>
      </c>
      <c r="R28">
        <v>0</v>
      </c>
      <c r="S28">
        <v>470.855</v>
      </c>
      <c r="T28">
        <v>466.886</v>
      </c>
      <c r="U28">
        <v>470.734</v>
      </c>
      <c r="V28">
        <v>466.851</v>
      </c>
    </row>
    <row r="29" spans="2:22">
      <c r="B29">
        <v>28</v>
      </c>
      <c r="C29" t="s">
        <v>49</v>
      </c>
      <c r="D29">
        <v>0</v>
      </c>
      <c r="E29">
        <v>0</v>
      </c>
      <c r="F29">
        <v>16217.443</v>
      </c>
      <c r="G29">
        <v>16217.443</v>
      </c>
      <c r="H29">
        <v>16217.443</v>
      </c>
      <c r="I29">
        <v>2</v>
      </c>
      <c r="J29">
        <v>1</v>
      </c>
      <c r="K29">
        <v>2</v>
      </c>
      <c r="L29">
        <v>-0.031</v>
      </c>
      <c r="M29">
        <v>470.765</v>
      </c>
      <c r="N29">
        <v>0.032</v>
      </c>
      <c r="O29">
        <v>-0.063</v>
      </c>
      <c r="P29">
        <v>0</v>
      </c>
      <c r="Q29">
        <v>0</v>
      </c>
      <c r="R29">
        <v>0</v>
      </c>
      <c r="S29">
        <v>470.765</v>
      </c>
      <c r="T29">
        <v>466.796</v>
      </c>
      <c r="U29">
        <v>470.702</v>
      </c>
      <c r="V29">
        <v>466.819</v>
      </c>
    </row>
    <row r="30" spans="2:22">
      <c r="B30">
        <v>29</v>
      </c>
      <c r="C30" t="s">
        <v>50</v>
      </c>
      <c r="D30">
        <v>0</v>
      </c>
      <c r="E30">
        <v>0</v>
      </c>
      <c r="F30">
        <v>16231.093</v>
      </c>
      <c r="G30">
        <v>16231.093</v>
      </c>
      <c r="H30">
        <v>16231.093</v>
      </c>
      <c r="I30">
        <v>3</v>
      </c>
      <c r="J30">
        <v>1</v>
      </c>
      <c r="K30">
        <v>1</v>
      </c>
      <c r="L30">
        <v>0.098</v>
      </c>
      <c r="M30">
        <v>470.668</v>
      </c>
      <c r="N30">
        <v>0.001</v>
      </c>
      <c r="O30">
        <v>0.097</v>
      </c>
      <c r="P30">
        <v>0</v>
      </c>
      <c r="Q30">
        <v>0</v>
      </c>
      <c r="R30">
        <v>0</v>
      </c>
      <c r="S30">
        <v>470.765</v>
      </c>
      <c r="T30">
        <v>466.796</v>
      </c>
      <c r="U30">
        <v>470.668</v>
      </c>
      <c r="V30">
        <v>466.747</v>
      </c>
    </row>
    <row r="31" spans="2:22">
      <c r="B31">
        <v>30</v>
      </c>
      <c r="C31" t="s">
        <v>51</v>
      </c>
      <c r="D31">
        <v>40</v>
      </c>
      <c r="E31">
        <v>33.051</v>
      </c>
      <c r="F31">
        <v>16238.549</v>
      </c>
      <c r="G31">
        <v>16250.086</v>
      </c>
      <c r="H31">
        <v>16261.623</v>
      </c>
      <c r="I31">
        <v>3</v>
      </c>
      <c r="J31">
        <v>1</v>
      </c>
      <c r="K31">
        <v>0</v>
      </c>
      <c r="L31">
        <v>0.01</v>
      </c>
      <c r="M31">
        <v>470.658</v>
      </c>
      <c r="N31">
        <v>0.008</v>
      </c>
      <c r="O31">
        <v>0</v>
      </c>
      <c r="P31">
        <v>0.002</v>
      </c>
      <c r="Q31">
        <v>0</v>
      </c>
      <c r="R31">
        <v>0</v>
      </c>
      <c r="S31" t="s">
        <v>22</v>
      </c>
      <c r="T31" t="s">
        <v>22</v>
      </c>
      <c r="U31">
        <v>470.659</v>
      </c>
      <c r="V31">
        <v>466.738</v>
      </c>
    </row>
    <row r="32" spans="2:22">
      <c r="B32">
        <v>31</v>
      </c>
      <c r="C32" t="s">
        <v>52</v>
      </c>
      <c r="D32">
        <v>0</v>
      </c>
      <c r="E32">
        <v>0</v>
      </c>
      <c r="F32">
        <v>16351.479</v>
      </c>
      <c r="G32">
        <v>16351.479</v>
      </c>
      <c r="H32">
        <v>16351.479</v>
      </c>
      <c r="I32">
        <v>3</v>
      </c>
      <c r="J32">
        <v>1</v>
      </c>
      <c r="K32">
        <v>2</v>
      </c>
      <c r="L32">
        <v>-0.01</v>
      </c>
      <c r="M32">
        <v>470.668</v>
      </c>
      <c r="N32">
        <v>0.041</v>
      </c>
      <c r="O32">
        <v>-0.051</v>
      </c>
      <c r="P32">
        <v>0</v>
      </c>
      <c r="Q32">
        <v>0</v>
      </c>
      <c r="R32">
        <v>0</v>
      </c>
      <c r="S32">
        <v>470.668</v>
      </c>
      <c r="T32">
        <v>466.699</v>
      </c>
      <c r="U32">
        <v>470.617</v>
      </c>
      <c r="V32">
        <v>466.696</v>
      </c>
    </row>
    <row r="33" spans="2:22">
      <c r="B33">
        <v>32</v>
      </c>
      <c r="C33" t="s">
        <v>53</v>
      </c>
      <c r="D33">
        <v>0</v>
      </c>
      <c r="E33">
        <v>0</v>
      </c>
      <c r="F33">
        <v>16362.373</v>
      </c>
      <c r="G33">
        <v>16362.373</v>
      </c>
      <c r="H33">
        <v>16362.373</v>
      </c>
      <c r="I33">
        <v>2</v>
      </c>
      <c r="J33">
        <v>1</v>
      </c>
      <c r="K33">
        <v>1</v>
      </c>
      <c r="L33">
        <v>0.121</v>
      </c>
      <c r="M33">
        <v>470.547</v>
      </c>
      <c r="N33">
        <v>0</v>
      </c>
      <c r="O33">
        <v>0.121</v>
      </c>
      <c r="P33">
        <v>0</v>
      </c>
      <c r="Q33">
        <v>0</v>
      </c>
      <c r="R33">
        <v>0</v>
      </c>
      <c r="S33">
        <v>470.668</v>
      </c>
      <c r="T33">
        <v>466.699</v>
      </c>
      <c r="U33">
        <v>470.547</v>
      </c>
      <c r="V33">
        <v>466.664</v>
      </c>
    </row>
    <row r="34" spans="2:22">
      <c r="B34">
        <v>33</v>
      </c>
      <c r="C34" t="s">
        <v>54</v>
      </c>
      <c r="D34">
        <v>0</v>
      </c>
      <c r="E34">
        <v>0</v>
      </c>
      <c r="F34">
        <v>16481.73</v>
      </c>
      <c r="G34">
        <v>16481.73</v>
      </c>
      <c r="H34">
        <v>16481.73</v>
      </c>
      <c r="I34">
        <v>2</v>
      </c>
      <c r="J34">
        <v>1</v>
      </c>
      <c r="K34">
        <v>2</v>
      </c>
      <c r="L34">
        <v>-0.009</v>
      </c>
      <c r="M34">
        <v>470.556</v>
      </c>
      <c r="N34">
        <v>0.054</v>
      </c>
      <c r="O34">
        <v>-0.063</v>
      </c>
      <c r="P34">
        <v>0</v>
      </c>
      <c r="Q34">
        <v>0</v>
      </c>
      <c r="R34">
        <v>0</v>
      </c>
      <c r="S34">
        <v>470.556</v>
      </c>
      <c r="T34">
        <v>466.587</v>
      </c>
      <c r="U34">
        <v>470.492</v>
      </c>
      <c r="V34">
        <v>466.609</v>
      </c>
    </row>
    <row r="35" spans="2:22">
      <c r="B35">
        <v>34</v>
      </c>
      <c r="C35" t="s">
        <v>55</v>
      </c>
      <c r="D35">
        <v>40</v>
      </c>
      <c r="E35">
        <v>26.56</v>
      </c>
      <c r="F35">
        <v>16488.67</v>
      </c>
      <c r="G35">
        <v>16497.941</v>
      </c>
      <c r="H35">
        <v>16507.213</v>
      </c>
      <c r="I35">
        <v>1</v>
      </c>
      <c r="J35">
        <v>2</v>
      </c>
      <c r="K35">
        <v>0</v>
      </c>
      <c r="L35">
        <v>0.003</v>
      </c>
      <c r="M35">
        <v>470.552</v>
      </c>
      <c r="N35">
        <v>0.002</v>
      </c>
      <c r="O35">
        <v>0</v>
      </c>
      <c r="P35">
        <v>0.001</v>
      </c>
      <c r="Q35">
        <v>0</v>
      </c>
      <c r="R35">
        <v>0</v>
      </c>
      <c r="S35" t="s">
        <v>22</v>
      </c>
      <c r="T35" t="s">
        <v>22</v>
      </c>
      <c r="U35">
        <v>470.553</v>
      </c>
      <c r="V35">
        <v>466.584</v>
      </c>
    </row>
    <row r="36" spans="2:22">
      <c r="B36">
        <v>35</v>
      </c>
      <c r="C36" t="s">
        <v>56</v>
      </c>
      <c r="D36">
        <v>0</v>
      </c>
      <c r="E36">
        <v>0</v>
      </c>
      <c r="F36">
        <v>16524.389</v>
      </c>
      <c r="G36">
        <v>16524.389</v>
      </c>
      <c r="H36">
        <v>16524.389</v>
      </c>
      <c r="I36">
        <v>1</v>
      </c>
      <c r="J36">
        <v>5</v>
      </c>
      <c r="K36">
        <v>1</v>
      </c>
      <c r="L36">
        <v>0.005</v>
      </c>
      <c r="M36">
        <v>470.548</v>
      </c>
      <c r="N36">
        <v>0.004</v>
      </c>
      <c r="O36">
        <v>0</v>
      </c>
      <c r="P36">
        <v>0</v>
      </c>
      <c r="Q36">
        <v>0.001</v>
      </c>
      <c r="R36">
        <v>0</v>
      </c>
      <c r="S36">
        <v>470.548</v>
      </c>
      <c r="T36">
        <v>466.593</v>
      </c>
      <c r="U36">
        <v>470.548</v>
      </c>
      <c r="V36">
        <v>466.593</v>
      </c>
    </row>
    <row r="37" spans="2:22">
      <c r="B37">
        <v>36</v>
      </c>
      <c r="C37" t="s">
        <v>57</v>
      </c>
      <c r="D37">
        <v>0</v>
      </c>
      <c r="E37">
        <v>0</v>
      </c>
      <c r="F37">
        <v>17267.078</v>
      </c>
      <c r="G37">
        <v>17267.078</v>
      </c>
      <c r="H37">
        <v>17267.078</v>
      </c>
      <c r="I37">
        <v>1</v>
      </c>
      <c r="J37">
        <v>5</v>
      </c>
      <c r="K37">
        <v>2</v>
      </c>
      <c r="L37">
        <v>0.7</v>
      </c>
      <c r="M37">
        <v>469.848</v>
      </c>
      <c r="N37">
        <v>0</v>
      </c>
      <c r="O37">
        <v>0</v>
      </c>
      <c r="P37">
        <v>0</v>
      </c>
      <c r="Q37">
        <v>0</v>
      </c>
      <c r="R37">
        <v>0.7</v>
      </c>
      <c r="S37">
        <v>469.848</v>
      </c>
      <c r="T37">
        <v>465.893</v>
      </c>
      <c r="U37">
        <v>469.848</v>
      </c>
      <c r="V37">
        <v>465.893</v>
      </c>
    </row>
    <row r="38" spans="2:22">
      <c r="B38">
        <v>37</v>
      </c>
      <c r="C38" t="s">
        <v>58</v>
      </c>
      <c r="D38">
        <v>0</v>
      </c>
      <c r="E38">
        <v>0</v>
      </c>
      <c r="F38">
        <v>17281.994</v>
      </c>
      <c r="G38">
        <v>17281.994</v>
      </c>
      <c r="H38">
        <v>17281.994</v>
      </c>
      <c r="I38">
        <v>3</v>
      </c>
      <c r="J38">
        <v>1</v>
      </c>
      <c r="K38">
        <v>1</v>
      </c>
      <c r="L38">
        <v>0.099</v>
      </c>
      <c r="M38">
        <v>469.749</v>
      </c>
      <c r="N38">
        <v>0.002</v>
      </c>
      <c r="O38">
        <v>0.097</v>
      </c>
      <c r="P38">
        <v>0</v>
      </c>
      <c r="Q38">
        <v>0</v>
      </c>
      <c r="R38">
        <v>0</v>
      </c>
      <c r="S38">
        <v>469.846</v>
      </c>
      <c r="T38">
        <v>465.877</v>
      </c>
      <c r="U38">
        <v>469.749</v>
      </c>
      <c r="V38">
        <v>465.828</v>
      </c>
    </row>
    <row r="39" spans="2:22">
      <c r="B39">
        <v>38</v>
      </c>
      <c r="C39" t="s">
        <v>59</v>
      </c>
      <c r="D39">
        <v>40</v>
      </c>
      <c r="E39">
        <v>32.388</v>
      </c>
      <c r="F39">
        <v>17325.924</v>
      </c>
      <c r="G39">
        <v>17337.23</v>
      </c>
      <c r="H39">
        <v>17348.535</v>
      </c>
      <c r="I39">
        <v>3</v>
      </c>
      <c r="J39">
        <v>1</v>
      </c>
      <c r="K39">
        <v>0</v>
      </c>
      <c r="L39">
        <v>0.024</v>
      </c>
      <c r="M39">
        <v>469.724</v>
      </c>
      <c r="N39">
        <v>0.022</v>
      </c>
      <c r="O39">
        <v>0</v>
      </c>
      <c r="P39">
        <v>0.002</v>
      </c>
      <c r="Q39">
        <v>0</v>
      </c>
      <c r="R39">
        <v>0</v>
      </c>
      <c r="S39" t="s">
        <v>22</v>
      </c>
      <c r="T39" t="s">
        <v>22</v>
      </c>
      <c r="U39">
        <v>469.725</v>
      </c>
      <c r="V39">
        <v>465.804</v>
      </c>
    </row>
    <row r="40" spans="2:22">
      <c r="B40">
        <v>39</v>
      </c>
      <c r="C40" t="s">
        <v>60</v>
      </c>
      <c r="D40">
        <v>0</v>
      </c>
      <c r="E40">
        <v>0</v>
      </c>
      <c r="F40">
        <v>17352.193</v>
      </c>
      <c r="G40">
        <v>17352.193</v>
      </c>
      <c r="H40">
        <v>17352.193</v>
      </c>
      <c r="I40">
        <v>3</v>
      </c>
      <c r="J40">
        <v>1</v>
      </c>
      <c r="K40">
        <v>2</v>
      </c>
      <c r="L40">
        <v>-0.045</v>
      </c>
      <c r="M40">
        <v>469.769</v>
      </c>
      <c r="N40">
        <v>0.006</v>
      </c>
      <c r="O40">
        <v>-0.051</v>
      </c>
      <c r="P40">
        <v>0</v>
      </c>
      <c r="Q40">
        <v>0</v>
      </c>
      <c r="R40">
        <v>0</v>
      </c>
      <c r="S40">
        <v>469.769</v>
      </c>
      <c r="T40">
        <v>465.8</v>
      </c>
      <c r="U40">
        <v>469.718</v>
      </c>
      <c r="V40">
        <v>465.797</v>
      </c>
    </row>
    <row r="41" spans="2:22">
      <c r="B41">
        <v>40</v>
      </c>
      <c r="C41" t="s">
        <v>61</v>
      </c>
      <c r="D41">
        <v>40</v>
      </c>
      <c r="E41">
        <v>25.979</v>
      </c>
      <c r="F41">
        <v>17389.842</v>
      </c>
      <c r="G41">
        <v>17398.91</v>
      </c>
      <c r="H41">
        <v>17407.979</v>
      </c>
      <c r="I41">
        <v>1</v>
      </c>
      <c r="J41">
        <v>2</v>
      </c>
      <c r="K41">
        <v>0</v>
      </c>
      <c r="L41">
        <v>0.009</v>
      </c>
      <c r="M41">
        <v>469.76</v>
      </c>
      <c r="N41">
        <v>0.007</v>
      </c>
      <c r="O41">
        <v>0</v>
      </c>
      <c r="P41">
        <v>0.001</v>
      </c>
      <c r="Q41">
        <v>0.001</v>
      </c>
      <c r="R41">
        <v>0</v>
      </c>
      <c r="S41" t="s">
        <v>22</v>
      </c>
      <c r="T41" t="s">
        <v>22</v>
      </c>
      <c r="U41">
        <v>469.761</v>
      </c>
      <c r="V41">
        <v>465.792</v>
      </c>
    </row>
    <row r="42" spans="2:22">
      <c r="B42">
        <v>41</v>
      </c>
      <c r="C42" t="s">
        <v>62</v>
      </c>
      <c r="D42">
        <v>40</v>
      </c>
      <c r="E42">
        <v>24.099</v>
      </c>
      <c r="F42">
        <v>17455.346</v>
      </c>
      <c r="G42">
        <v>17463.758</v>
      </c>
      <c r="H42">
        <v>17472.17</v>
      </c>
      <c r="I42">
        <v>1</v>
      </c>
      <c r="J42">
        <v>2</v>
      </c>
      <c r="K42">
        <v>0</v>
      </c>
      <c r="L42">
        <v>0.013</v>
      </c>
      <c r="M42">
        <v>469.747</v>
      </c>
      <c r="N42">
        <v>0.011</v>
      </c>
      <c r="O42">
        <v>0</v>
      </c>
      <c r="P42">
        <v>0.001</v>
      </c>
      <c r="Q42">
        <v>0.001</v>
      </c>
      <c r="R42">
        <v>0</v>
      </c>
      <c r="S42" t="s">
        <v>22</v>
      </c>
      <c r="T42" t="s">
        <v>22</v>
      </c>
      <c r="U42">
        <v>469.748</v>
      </c>
      <c r="V42">
        <v>465.779</v>
      </c>
    </row>
    <row r="43" spans="2:22">
      <c r="B43">
        <v>42</v>
      </c>
      <c r="C43" t="s">
        <v>63</v>
      </c>
      <c r="D43">
        <v>0</v>
      </c>
      <c r="E43">
        <v>0</v>
      </c>
      <c r="F43">
        <v>17478.766</v>
      </c>
      <c r="G43">
        <v>17478.766</v>
      </c>
      <c r="H43">
        <v>17478.766</v>
      </c>
      <c r="I43">
        <v>2</v>
      </c>
      <c r="J43">
        <v>1</v>
      </c>
      <c r="K43">
        <v>1</v>
      </c>
      <c r="L43">
        <v>0.123</v>
      </c>
      <c r="M43">
        <v>469.624</v>
      </c>
      <c r="N43">
        <v>0.002</v>
      </c>
      <c r="O43">
        <v>0.121</v>
      </c>
      <c r="P43">
        <v>0</v>
      </c>
      <c r="Q43">
        <v>0</v>
      </c>
      <c r="R43">
        <v>0</v>
      </c>
      <c r="S43">
        <v>469.745</v>
      </c>
      <c r="T43">
        <v>465.776</v>
      </c>
      <c r="U43">
        <v>469.624</v>
      </c>
      <c r="V43">
        <v>465.741</v>
      </c>
    </row>
    <row r="44" spans="2:22">
      <c r="B44">
        <v>43</v>
      </c>
      <c r="C44" t="s">
        <v>64</v>
      </c>
      <c r="D44">
        <v>0</v>
      </c>
      <c r="E44">
        <v>0</v>
      </c>
      <c r="F44">
        <v>17599.176</v>
      </c>
      <c r="G44">
        <v>17599.176</v>
      </c>
      <c r="H44">
        <v>17599.176</v>
      </c>
      <c r="I44">
        <v>2</v>
      </c>
      <c r="J44">
        <v>1</v>
      </c>
      <c r="K44">
        <v>2</v>
      </c>
      <c r="L44">
        <v>-0.008</v>
      </c>
      <c r="M44">
        <v>469.633</v>
      </c>
      <c r="N44">
        <v>0.055</v>
      </c>
      <c r="O44">
        <v>-0.063</v>
      </c>
      <c r="P44">
        <v>0</v>
      </c>
      <c r="Q44">
        <v>0</v>
      </c>
      <c r="R44">
        <v>0</v>
      </c>
      <c r="S44">
        <v>469.633</v>
      </c>
      <c r="T44">
        <v>465.664</v>
      </c>
      <c r="U44">
        <v>469.57</v>
      </c>
      <c r="V44">
        <v>465.687</v>
      </c>
    </row>
    <row r="45" spans="2:22">
      <c r="B45">
        <v>44</v>
      </c>
      <c r="C45" t="s">
        <v>65</v>
      </c>
      <c r="D45">
        <v>40</v>
      </c>
      <c r="E45">
        <v>48.131</v>
      </c>
      <c r="F45">
        <v>17602.111</v>
      </c>
      <c r="G45">
        <v>17618.912</v>
      </c>
      <c r="H45">
        <v>17635.713</v>
      </c>
      <c r="I45">
        <v>1</v>
      </c>
      <c r="J45">
        <v>2</v>
      </c>
      <c r="K45">
        <v>0</v>
      </c>
      <c r="L45">
        <v>0.004</v>
      </c>
      <c r="M45">
        <v>469.628</v>
      </c>
      <c r="N45">
        <v>0.002</v>
      </c>
      <c r="O45">
        <v>0</v>
      </c>
      <c r="P45">
        <v>0.002</v>
      </c>
      <c r="Q45">
        <v>0</v>
      </c>
      <c r="R45">
        <v>0</v>
      </c>
      <c r="S45" t="s">
        <v>22</v>
      </c>
      <c r="T45" t="s">
        <v>22</v>
      </c>
      <c r="U45">
        <v>469.629</v>
      </c>
      <c r="V45">
        <v>465.66</v>
      </c>
    </row>
    <row r="46" spans="2:22">
      <c r="B46">
        <v>45</v>
      </c>
      <c r="C46" t="s">
        <v>66</v>
      </c>
      <c r="D46">
        <v>40</v>
      </c>
      <c r="E46">
        <v>48.338</v>
      </c>
      <c r="F46">
        <v>17717.705</v>
      </c>
      <c r="G46">
        <v>17734.578</v>
      </c>
      <c r="H46">
        <v>17751.453</v>
      </c>
      <c r="I46">
        <v>1</v>
      </c>
      <c r="J46">
        <v>2</v>
      </c>
      <c r="K46">
        <v>0</v>
      </c>
      <c r="L46">
        <v>0.023</v>
      </c>
      <c r="M46">
        <v>469.605</v>
      </c>
      <c r="N46">
        <v>0.019</v>
      </c>
      <c r="O46">
        <v>0</v>
      </c>
      <c r="P46">
        <v>0.002</v>
      </c>
      <c r="Q46">
        <v>0.002</v>
      </c>
      <c r="R46">
        <v>0</v>
      </c>
      <c r="S46" t="s">
        <v>22</v>
      </c>
      <c r="T46" t="s">
        <v>22</v>
      </c>
      <c r="U46">
        <v>469.606</v>
      </c>
      <c r="V46">
        <v>465.637</v>
      </c>
    </row>
    <row r="47" spans="2:22">
      <c r="B47">
        <v>46</v>
      </c>
      <c r="C47" t="s">
        <v>67</v>
      </c>
      <c r="D47">
        <v>0</v>
      </c>
      <c r="E47">
        <v>0</v>
      </c>
      <c r="F47">
        <v>17811.367</v>
      </c>
      <c r="G47">
        <v>17811.367</v>
      </c>
      <c r="H47">
        <v>17811.367</v>
      </c>
      <c r="I47">
        <v>3</v>
      </c>
      <c r="J47">
        <v>1</v>
      </c>
      <c r="K47">
        <v>1</v>
      </c>
      <c r="L47">
        <v>0.11</v>
      </c>
      <c r="M47">
        <v>469.495</v>
      </c>
      <c r="N47">
        <v>0.012</v>
      </c>
      <c r="O47">
        <v>0.097</v>
      </c>
      <c r="P47">
        <v>0</v>
      </c>
      <c r="Q47">
        <v>0.001</v>
      </c>
      <c r="R47">
        <v>0</v>
      </c>
      <c r="S47">
        <v>469.592</v>
      </c>
      <c r="T47">
        <v>465.623</v>
      </c>
      <c r="U47">
        <v>469.495</v>
      </c>
      <c r="V47">
        <v>465.574</v>
      </c>
    </row>
    <row r="48" spans="2:22">
      <c r="B48">
        <v>47</v>
      </c>
      <c r="C48" t="s">
        <v>68</v>
      </c>
      <c r="D48">
        <v>40</v>
      </c>
      <c r="E48">
        <v>51.559</v>
      </c>
      <c r="F48">
        <v>17828.783</v>
      </c>
      <c r="G48">
        <v>17846.779</v>
      </c>
      <c r="H48">
        <v>17864.777</v>
      </c>
      <c r="I48">
        <v>3</v>
      </c>
      <c r="J48">
        <v>1</v>
      </c>
      <c r="K48">
        <v>0</v>
      </c>
      <c r="L48">
        <v>0.018</v>
      </c>
      <c r="M48">
        <v>469.477</v>
      </c>
      <c r="N48">
        <v>0.014</v>
      </c>
      <c r="O48">
        <v>0</v>
      </c>
      <c r="P48">
        <v>0.004</v>
      </c>
      <c r="Q48">
        <v>0</v>
      </c>
      <c r="R48">
        <v>0</v>
      </c>
      <c r="S48" t="s">
        <v>22</v>
      </c>
      <c r="T48" t="s">
        <v>22</v>
      </c>
      <c r="U48">
        <v>469.479</v>
      </c>
      <c r="V48">
        <v>465.558</v>
      </c>
    </row>
    <row r="49" spans="2:22">
      <c r="B49">
        <v>48</v>
      </c>
      <c r="C49" t="s">
        <v>69</v>
      </c>
      <c r="D49">
        <v>0</v>
      </c>
      <c r="E49">
        <v>0</v>
      </c>
      <c r="F49">
        <v>17928.877</v>
      </c>
      <c r="G49">
        <v>17928.877</v>
      </c>
      <c r="H49">
        <v>17928.877</v>
      </c>
      <c r="I49">
        <v>3</v>
      </c>
      <c r="J49">
        <v>1</v>
      </c>
      <c r="K49">
        <v>2</v>
      </c>
      <c r="L49">
        <v>-0.018</v>
      </c>
      <c r="M49">
        <v>469.495</v>
      </c>
      <c r="N49">
        <v>0.033</v>
      </c>
      <c r="O49">
        <v>-0.051</v>
      </c>
      <c r="P49">
        <v>0</v>
      </c>
      <c r="Q49">
        <v>0</v>
      </c>
      <c r="R49">
        <v>0</v>
      </c>
      <c r="S49">
        <v>469.495</v>
      </c>
      <c r="T49">
        <v>465.526</v>
      </c>
      <c r="U49">
        <v>469.444</v>
      </c>
      <c r="V49">
        <v>465.523</v>
      </c>
    </row>
    <row r="50" spans="2:22">
      <c r="B50">
        <v>49</v>
      </c>
      <c r="C50" t="s">
        <v>70</v>
      </c>
      <c r="D50">
        <v>40</v>
      </c>
      <c r="E50">
        <v>34.556</v>
      </c>
      <c r="F50">
        <v>17970.871</v>
      </c>
      <c r="G50">
        <v>17982.934</v>
      </c>
      <c r="H50">
        <v>17994.996</v>
      </c>
      <c r="I50">
        <v>1</v>
      </c>
      <c r="J50">
        <v>2</v>
      </c>
      <c r="K50">
        <v>0</v>
      </c>
      <c r="L50">
        <v>0.01</v>
      </c>
      <c r="M50">
        <v>469.484</v>
      </c>
      <c r="N50">
        <v>0.008</v>
      </c>
      <c r="O50">
        <v>0</v>
      </c>
      <c r="P50">
        <v>0.001</v>
      </c>
      <c r="Q50">
        <v>0.001</v>
      </c>
      <c r="R50">
        <v>0</v>
      </c>
      <c r="S50" t="s">
        <v>22</v>
      </c>
      <c r="T50" t="s">
        <v>22</v>
      </c>
      <c r="U50">
        <v>469.485</v>
      </c>
      <c r="V50">
        <v>465.516</v>
      </c>
    </row>
    <row r="51" spans="2:22">
      <c r="B51">
        <v>50</v>
      </c>
      <c r="C51" t="s">
        <v>71</v>
      </c>
      <c r="D51">
        <v>40</v>
      </c>
      <c r="E51">
        <v>40.457</v>
      </c>
      <c r="F51">
        <v>18098.373</v>
      </c>
      <c r="G51">
        <v>18112.494</v>
      </c>
      <c r="H51">
        <v>18126.617</v>
      </c>
      <c r="I51">
        <v>1</v>
      </c>
      <c r="J51">
        <v>2</v>
      </c>
      <c r="K51">
        <v>0</v>
      </c>
      <c r="L51">
        <v>0.026</v>
      </c>
      <c r="M51">
        <v>469.458</v>
      </c>
      <c r="N51">
        <v>0.022</v>
      </c>
      <c r="O51">
        <v>0</v>
      </c>
      <c r="P51">
        <v>0.001</v>
      </c>
      <c r="Q51">
        <v>0.003</v>
      </c>
      <c r="R51">
        <v>0</v>
      </c>
      <c r="S51" t="s">
        <v>22</v>
      </c>
      <c r="T51" t="s">
        <v>22</v>
      </c>
      <c r="U51">
        <v>469.459</v>
      </c>
      <c r="V51">
        <v>465.49</v>
      </c>
    </row>
    <row r="52" spans="2:22">
      <c r="B52">
        <v>51</v>
      </c>
      <c r="C52" t="s">
        <v>72</v>
      </c>
      <c r="D52">
        <v>40</v>
      </c>
      <c r="E52">
        <v>44.855</v>
      </c>
      <c r="F52">
        <v>18163.859</v>
      </c>
      <c r="G52">
        <v>18179.516</v>
      </c>
      <c r="H52">
        <v>18195.174</v>
      </c>
      <c r="I52">
        <v>1</v>
      </c>
      <c r="J52">
        <v>2</v>
      </c>
      <c r="K52">
        <v>0</v>
      </c>
      <c r="L52">
        <v>0.014</v>
      </c>
      <c r="M52">
        <v>469.444</v>
      </c>
      <c r="N52">
        <v>0.011</v>
      </c>
      <c r="O52">
        <v>0</v>
      </c>
      <c r="P52">
        <v>0.002</v>
      </c>
      <c r="Q52">
        <v>0.001</v>
      </c>
      <c r="R52">
        <v>0</v>
      </c>
      <c r="S52" t="s">
        <v>22</v>
      </c>
      <c r="T52" t="s">
        <v>22</v>
      </c>
      <c r="U52">
        <v>469.445</v>
      </c>
      <c r="V52">
        <v>465.476</v>
      </c>
    </row>
    <row r="53" spans="2:22">
      <c r="B53">
        <v>52</v>
      </c>
      <c r="C53" t="s">
        <v>73</v>
      </c>
      <c r="D53">
        <v>40</v>
      </c>
      <c r="E53">
        <v>48.71</v>
      </c>
      <c r="F53">
        <v>18242.201</v>
      </c>
      <c r="G53">
        <v>18259.203</v>
      </c>
      <c r="H53">
        <v>18276.207</v>
      </c>
      <c r="I53">
        <v>1</v>
      </c>
      <c r="J53">
        <v>2</v>
      </c>
      <c r="K53">
        <v>0</v>
      </c>
      <c r="L53">
        <v>0.017</v>
      </c>
      <c r="M53">
        <v>469.428</v>
      </c>
      <c r="N53">
        <v>0.013</v>
      </c>
      <c r="O53">
        <v>0</v>
      </c>
      <c r="P53">
        <v>0.002</v>
      </c>
      <c r="Q53">
        <v>0.002</v>
      </c>
      <c r="R53">
        <v>0</v>
      </c>
      <c r="S53" t="s">
        <v>22</v>
      </c>
      <c r="T53" t="s">
        <v>22</v>
      </c>
      <c r="U53">
        <v>469.429</v>
      </c>
      <c r="V53">
        <v>465.46</v>
      </c>
    </row>
    <row r="54" spans="2:22">
      <c r="B54">
        <v>53</v>
      </c>
      <c r="C54" t="s">
        <v>74</v>
      </c>
      <c r="D54">
        <v>0</v>
      </c>
      <c r="E54">
        <v>0</v>
      </c>
      <c r="F54">
        <v>18391.27</v>
      </c>
      <c r="G54">
        <v>18391.27</v>
      </c>
      <c r="H54">
        <v>18391.27</v>
      </c>
      <c r="I54">
        <v>2</v>
      </c>
      <c r="J54">
        <v>1</v>
      </c>
      <c r="K54">
        <v>1</v>
      </c>
      <c r="L54">
        <v>0.145</v>
      </c>
      <c r="M54">
        <v>469.283</v>
      </c>
      <c r="N54">
        <v>0.021</v>
      </c>
      <c r="O54">
        <v>0.121</v>
      </c>
      <c r="P54">
        <v>0</v>
      </c>
      <c r="Q54">
        <v>0.003</v>
      </c>
      <c r="R54">
        <v>0</v>
      </c>
      <c r="S54">
        <v>469.404</v>
      </c>
      <c r="T54">
        <v>465.435</v>
      </c>
      <c r="U54">
        <v>469.283</v>
      </c>
      <c r="V54">
        <v>465.4</v>
      </c>
    </row>
    <row r="55" spans="2:22">
      <c r="B55">
        <v>54</v>
      </c>
      <c r="C55" t="s">
        <v>75</v>
      </c>
      <c r="D55">
        <v>0</v>
      </c>
      <c r="E55">
        <v>0</v>
      </c>
      <c r="F55">
        <v>18631.977</v>
      </c>
      <c r="G55">
        <v>18631.977</v>
      </c>
      <c r="H55">
        <v>18631.977</v>
      </c>
      <c r="I55">
        <v>2</v>
      </c>
      <c r="J55">
        <v>1</v>
      </c>
      <c r="K55">
        <v>2</v>
      </c>
      <c r="L55">
        <v>0.046</v>
      </c>
      <c r="M55">
        <v>469.237</v>
      </c>
      <c r="N55">
        <v>0.109</v>
      </c>
      <c r="O55">
        <v>-0.063</v>
      </c>
      <c r="P55">
        <v>0</v>
      </c>
      <c r="Q55">
        <v>0</v>
      </c>
      <c r="R55">
        <v>0</v>
      </c>
      <c r="S55">
        <v>469.237</v>
      </c>
      <c r="T55">
        <v>465.268</v>
      </c>
      <c r="U55">
        <v>469.174</v>
      </c>
      <c r="V55">
        <v>465.291</v>
      </c>
    </row>
    <row r="56" spans="2:22">
      <c r="B56">
        <v>55</v>
      </c>
      <c r="C56" t="s">
        <v>76</v>
      </c>
      <c r="D56">
        <v>40</v>
      </c>
      <c r="E56">
        <v>22.892</v>
      </c>
      <c r="F56">
        <v>18637.33</v>
      </c>
      <c r="G56">
        <v>18645.322</v>
      </c>
      <c r="H56">
        <v>18653.312</v>
      </c>
      <c r="I56">
        <v>1</v>
      </c>
      <c r="J56">
        <v>2</v>
      </c>
      <c r="K56">
        <v>0</v>
      </c>
      <c r="L56">
        <v>0.002</v>
      </c>
      <c r="M56">
        <v>469.234</v>
      </c>
      <c r="N56">
        <v>0.001</v>
      </c>
      <c r="O56">
        <v>0</v>
      </c>
      <c r="P56">
        <v>0.001</v>
      </c>
      <c r="Q56">
        <v>0</v>
      </c>
      <c r="R56">
        <v>0</v>
      </c>
      <c r="S56" t="s">
        <v>22</v>
      </c>
      <c r="T56" t="s">
        <v>22</v>
      </c>
      <c r="U56">
        <v>469.235</v>
      </c>
      <c r="V56">
        <v>465.266</v>
      </c>
    </row>
    <row r="57" spans="2:22">
      <c r="B57">
        <v>56</v>
      </c>
      <c r="C57" t="s">
        <v>77</v>
      </c>
      <c r="D57">
        <v>40</v>
      </c>
      <c r="E57">
        <v>62.841</v>
      </c>
      <c r="F57">
        <v>18735.609</v>
      </c>
      <c r="G57">
        <v>18757.545</v>
      </c>
      <c r="H57">
        <v>18779.48</v>
      </c>
      <c r="I57">
        <v>1</v>
      </c>
      <c r="J57">
        <v>2</v>
      </c>
      <c r="K57">
        <v>0</v>
      </c>
      <c r="L57">
        <v>0.023</v>
      </c>
      <c r="M57">
        <v>469.211</v>
      </c>
      <c r="N57">
        <v>0.019</v>
      </c>
      <c r="O57">
        <v>0</v>
      </c>
      <c r="P57">
        <v>0.002</v>
      </c>
      <c r="Q57">
        <v>0.002</v>
      </c>
      <c r="R57">
        <v>0</v>
      </c>
      <c r="S57" t="s">
        <v>22</v>
      </c>
      <c r="T57" t="s">
        <v>22</v>
      </c>
      <c r="U57">
        <v>469.212</v>
      </c>
      <c r="V57">
        <v>465.243</v>
      </c>
    </row>
    <row r="58" spans="2:22">
      <c r="B58">
        <v>57</v>
      </c>
      <c r="C58" t="s">
        <v>78</v>
      </c>
      <c r="D58">
        <v>40</v>
      </c>
      <c r="E58">
        <v>57.655</v>
      </c>
      <c r="F58">
        <v>18900.168</v>
      </c>
      <c r="G58">
        <v>18920.293</v>
      </c>
      <c r="H58">
        <v>18940.418</v>
      </c>
      <c r="I58">
        <v>1</v>
      </c>
      <c r="J58">
        <v>2</v>
      </c>
      <c r="K58">
        <v>0</v>
      </c>
      <c r="L58">
        <v>0.032</v>
      </c>
      <c r="M58">
        <v>469.179</v>
      </c>
      <c r="N58">
        <v>0.027</v>
      </c>
      <c r="O58">
        <v>0</v>
      </c>
      <c r="P58">
        <v>0.002</v>
      </c>
      <c r="Q58">
        <v>0.003</v>
      </c>
      <c r="R58">
        <v>0</v>
      </c>
      <c r="S58" t="s">
        <v>22</v>
      </c>
      <c r="T58" t="s">
        <v>22</v>
      </c>
      <c r="U58">
        <v>469.18</v>
      </c>
      <c r="V58">
        <v>465.211</v>
      </c>
    </row>
    <row r="59" spans="2:22">
      <c r="B59">
        <v>58</v>
      </c>
      <c r="C59" t="s">
        <v>79</v>
      </c>
      <c r="D59">
        <v>40</v>
      </c>
      <c r="E59">
        <v>28.736</v>
      </c>
      <c r="F59">
        <v>19020.178</v>
      </c>
      <c r="G59">
        <v>19030.209</v>
      </c>
      <c r="H59">
        <v>19040.238</v>
      </c>
      <c r="I59">
        <v>1</v>
      </c>
      <c r="J59">
        <v>2</v>
      </c>
      <c r="K59">
        <v>0</v>
      </c>
      <c r="L59">
        <v>0.022</v>
      </c>
      <c r="M59">
        <v>469.157</v>
      </c>
      <c r="N59">
        <v>0.018</v>
      </c>
      <c r="O59">
        <v>0</v>
      </c>
      <c r="P59">
        <v>0.001</v>
      </c>
      <c r="Q59">
        <v>0.002</v>
      </c>
      <c r="R59">
        <v>0</v>
      </c>
      <c r="S59" t="s">
        <v>22</v>
      </c>
      <c r="T59" t="s">
        <v>22</v>
      </c>
      <c r="U59">
        <v>469.158</v>
      </c>
      <c r="V59">
        <v>465.189</v>
      </c>
    </row>
    <row r="60" spans="2:22">
      <c r="B60">
        <v>59</v>
      </c>
      <c r="C60" t="s">
        <v>80</v>
      </c>
      <c r="D60">
        <v>0</v>
      </c>
      <c r="E60">
        <v>0</v>
      </c>
      <c r="F60">
        <v>19096.061</v>
      </c>
      <c r="G60">
        <v>19096.061</v>
      </c>
      <c r="H60">
        <v>19096.061</v>
      </c>
      <c r="I60">
        <v>1</v>
      </c>
      <c r="J60">
        <v>5</v>
      </c>
      <c r="K60">
        <v>1</v>
      </c>
      <c r="L60">
        <v>0.012</v>
      </c>
      <c r="M60">
        <v>469.145</v>
      </c>
      <c r="N60">
        <v>0.011</v>
      </c>
      <c r="O60">
        <v>0</v>
      </c>
      <c r="P60">
        <v>0</v>
      </c>
      <c r="Q60">
        <v>0.001</v>
      </c>
      <c r="R60">
        <v>0</v>
      </c>
      <c r="S60">
        <v>469.145</v>
      </c>
      <c r="T60">
        <v>465.19</v>
      </c>
      <c r="U60">
        <v>469.145</v>
      </c>
      <c r="V60">
        <v>465.19</v>
      </c>
    </row>
    <row r="61" spans="2:22">
      <c r="B61">
        <v>60</v>
      </c>
      <c r="C61" t="s">
        <v>81</v>
      </c>
      <c r="D61">
        <v>0</v>
      </c>
      <c r="E61">
        <v>0</v>
      </c>
      <c r="F61">
        <v>21519.738</v>
      </c>
      <c r="G61">
        <v>21519.738</v>
      </c>
      <c r="H61">
        <v>21519.738</v>
      </c>
      <c r="I61">
        <v>1</v>
      </c>
      <c r="J61">
        <v>5</v>
      </c>
      <c r="K61">
        <v>2</v>
      </c>
      <c r="L61">
        <v>1.55</v>
      </c>
      <c r="M61">
        <v>467.595</v>
      </c>
      <c r="N61">
        <v>0</v>
      </c>
      <c r="O61">
        <v>0</v>
      </c>
      <c r="P61">
        <v>0</v>
      </c>
      <c r="Q61">
        <v>0</v>
      </c>
      <c r="R61">
        <v>1.55</v>
      </c>
      <c r="S61">
        <v>467.595</v>
      </c>
      <c r="T61">
        <v>463.64</v>
      </c>
      <c r="U61">
        <v>467.595</v>
      </c>
      <c r="V61">
        <v>463.64</v>
      </c>
    </row>
    <row r="62" spans="2:22">
      <c r="B62">
        <v>61</v>
      </c>
      <c r="C62" t="s">
        <v>82</v>
      </c>
      <c r="D62">
        <v>60</v>
      </c>
      <c r="E62">
        <v>11.877</v>
      </c>
      <c r="F62">
        <v>21530.564</v>
      </c>
      <c r="G62">
        <v>21536.783</v>
      </c>
      <c r="H62">
        <v>21543.002</v>
      </c>
      <c r="I62">
        <v>1</v>
      </c>
      <c r="J62">
        <v>2</v>
      </c>
      <c r="K62">
        <v>0</v>
      </c>
      <c r="L62">
        <v>0.004</v>
      </c>
      <c r="M62">
        <v>467.591</v>
      </c>
      <c r="N62">
        <v>0.003</v>
      </c>
      <c r="O62">
        <v>0</v>
      </c>
      <c r="P62">
        <v>0.001</v>
      </c>
      <c r="Q62">
        <v>0</v>
      </c>
      <c r="R62">
        <v>0</v>
      </c>
      <c r="S62" t="s">
        <v>22</v>
      </c>
      <c r="T62" t="s">
        <v>22</v>
      </c>
      <c r="U62">
        <v>467.591</v>
      </c>
      <c r="V62">
        <v>463.622</v>
      </c>
    </row>
    <row r="63" spans="2:22">
      <c r="B63">
        <v>62</v>
      </c>
      <c r="C63" t="s">
        <v>83</v>
      </c>
      <c r="D63">
        <v>0</v>
      </c>
      <c r="E63">
        <v>0</v>
      </c>
      <c r="F63">
        <v>21580</v>
      </c>
      <c r="G63">
        <v>21580</v>
      </c>
      <c r="H63">
        <v>21580</v>
      </c>
      <c r="I63">
        <v>1</v>
      </c>
      <c r="J63">
        <v>4</v>
      </c>
      <c r="K63">
        <v>1</v>
      </c>
      <c r="L63">
        <v>0.008</v>
      </c>
      <c r="M63">
        <v>467.583</v>
      </c>
      <c r="N63">
        <v>0.007</v>
      </c>
      <c r="O63">
        <v>0</v>
      </c>
      <c r="P63">
        <v>0</v>
      </c>
      <c r="Q63">
        <v>0.001</v>
      </c>
      <c r="R63">
        <v>0</v>
      </c>
      <c r="S63">
        <v>467.583</v>
      </c>
      <c r="T63">
        <v>463.614</v>
      </c>
      <c r="U63">
        <v>467.583</v>
      </c>
      <c r="V63">
        <v>463.614</v>
      </c>
    </row>
    <row r="64" spans="2:22">
      <c r="B64">
        <v>63</v>
      </c>
      <c r="C64" t="s">
        <v>84</v>
      </c>
      <c r="D64">
        <v>0</v>
      </c>
      <c r="E64">
        <v>0</v>
      </c>
      <c r="F64">
        <v>21580</v>
      </c>
      <c r="G64">
        <v>21580</v>
      </c>
      <c r="H64">
        <v>21580</v>
      </c>
      <c r="I64">
        <v>1</v>
      </c>
      <c r="J64">
        <v>4</v>
      </c>
      <c r="K64">
        <v>2</v>
      </c>
      <c r="L64">
        <v>0.03</v>
      </c>
      <c r="M64">
        <v>467.553</v>
      </c>
      <c r="N64">
        <v>0</v>
      </c>
      <c r="O64">
        <v>0</v>
      </c>
      <c r="P64">
        <v>0</v>
      </c>
      <c r="Q64">
        <v>0</v>
      </c>
      <c r="R64">
        <v>0.03</v>
      </c>
      <c r="S64">
        <v>467.553</v>
      </c>
      <c r="T64">
        <v>463.584</v>
      </c>
      <c r="U64">
        <v>467.553</v>
      </c>
      <c r="V64">
        <v>463.584</v>
      </c>
    </row>
    <row r="65" spans="2:22">
      <c r="B65">
        <v>64</v>
      </c>
      <c r="C65" t="s">
        <v>85</v>
      </c>
      <c r="D65">
        <v>0</v>
      </c>
      <c r="E65">
        <v>0</v>
      </c>
      <c r="F65">
        <v>21619.57</v>
      </c>
      <c r="G65">
        <v>21619.57</v>
      </c>
      <c r="H65">
        <v>21619.57</v>
      </c>
      <c r="I65">
        <v>2</v>
      </c>
      <c r="J65">
        <v>1</v>
      </c>
      <c r="K65">
        <v>1</v>
      </c>
      <c r="L65">
        <v>0.127</v>
      </c>
      <c r="M65">
        <v>467.426</v>
      </c>
      <c r="N65">
        <v>0.006</v>
      </c>
      <c r="O65">
        <v>0.121</v>
      </c>
      <c r="P65">
        <v>0</v>
      </c>
      <c r="Q65">
        <v>0.001</v>
      </c>
      <c r="R65">
        <v>0</v>
      </c>
      <c r="S65">
        <v>467.547</v>
      </c>
      <c r="T65">
        <v>463.578</v>
      </c>
      <c r="U65">
        <v>467.426</v>
      </c>
      <c r="V65">
        <v>463.543</v>
      </c>
    </row>
    <row r="66" spans="2:22">
      <c r="B66">
        <v>65</v>
      </c>
      <c r="C66" t="s">
        <v>86</v>
      </c>
      <c r="D66">
        <v>80</v>
      </c>
      <c r="E66">
        <v>25.715</v>
      </c>
      <c r="F66">
        <v>21657.418</v>
      </c>
      <c r="G66">
        <v>21675.369</v>
      </c>
      <c r="H66">
        <v>21693.322</v>
      </c>
      <c r="I66">
        <v>2</v>
      </c>
      <c r="J66">
        <v>1</v>
      </c>
      <c r="K66">
        <v>0</v>
      </c>
      <c r="L66">
        <v>0.028</v>
      </c>
      <c r="M66">
        <v>467.397</v>
      </c>
      <c r="N66">
        <v>0.025</v>
      </c>
      <c r="O66">
        <v>0</v>
      </c>
      <c r="P66">
        <v>0.003</v>
      </c>
      <c r="Q66">
        <v>0</v>
      </c>
      <c r="R66">
        <v>0</v>
      </c>
      <c r="S66" t="s">
        <v>22</v>
      </c>
      <c r="T66" t="s">
        <v>22</v>
      </c>
      <c r="U66">
        <v>467.399</v>
      </c>
      <c r="V66">
        <v>463.516</v>
      </c>
    </row>
    <row r="67" spans="2:22">
      <c r="B67">
        <v>66</v>
      </c>
      <c r="C67" t="s">
        <v>87</v>
      </c>
      <c r="D67">
        <v>80</v>
      </c>
      <c r="E67">
        <v>48.018</v>
      </c>
      <c r="F67">
        <v>21860.916</v>
      </c>
      <c r="G67">
        <v>21894.439</v>
      </c>
      <c r="H67">
        <v>21927.963</v>
      </c>
      <c r="I67">
        <v>2</v>
      </c>
      <c r="J67">
        <v>1</v>
      </c>
      <c r="K67">
        <v>0</v>
      </c>
      <c r="L67">
        <v>0.105</v>
      </c>
      <c r="M67">
        <v>467.292</v>
      </c>
      <c r="N67">
        <v>0.1</v>
      </c>
      <c r="O67">
        <v>0</v>
      </c>
      <c r="P67">
        <v>0.006</v>
      </c>
      <c r="Q67">
        <v>0</v>
      </c>
      <c r="R67">
        <v>0</v>
      </c>
      <c r="S67" t="s">
        <v>22</v>
      </c>
      <c r="T67" t="s">
        <v>22</v>
      </c>
      <c r="U67">
        <v>467.295</v>
      </c>
      <c r="V67">
        <v>463.412</v>
      </c>
    </row>
    <row r="68" spans="2:22">
      <c r="B68">
        <v>67</v>
      </c>
      <c r="C68" t="s">
        <v>88</v>
      </c>
      <c r="D68">
        <v>80</v>
      </c>
      <c r="E68">
        <v>24.207</v>
      </c>
      <c r="F68">
        <v>22583.035</v>
      </c>
      <c r="G68">
        <v>22599.936</v>
      </c>
      <c r="H68">
        <v>22616.834</v>
      </c>
      <c r="I68">
        <v>2</v>
      </c>
      <c r="J68">
        <v>1</v>
      </c>
      <c r="K68">
        <v>0</v>
      </c>
      <c r="L68">
        <v>0.323</v>
      </c>
      <c r="M68">
        <v>466.969</v>
      </c>
      <c r="N68">
        <v>0.321</v>
      </c>
      <c r="O68">
        <v>0</v>
      </c>
      <c r="P68">
        <v>0.003</v>
      </c>
      <c r="Q68">
        <v>0</v>
      </c>
      <c r="R68">
        <v>0</v>
      </c>
      <c r="S68" t="s">
        <v>22</v>
      </c>
      <c r="T68" t="s">
        <v>22</v>
      </c>
      <c r="U68">
        <v>466.97</v>
      </c>
      <c r="V68">
        <v>463.087</v>
      </c>
    </row>
    <row r="69" spans="2:22">
      <c r="B69">
        <v>68</v>
      </c>
      <c r="C69" t="s">
        <v>89</v>
      </c>
      <c r="D69">
        <v>80</v>
      </c>
      <c r="E69">
        <v>22.904</v>
      </c>
      <c r="F69">
        <v>22905.178</v>
      </c>
      <c r="G69">
        <v>22921.168</v>
      </c>
      <c r="H69">
        <v>22937.158</v>
      </c>
      <c r="I69">
        <v>2</v>
      </c>
      <c r="J69">
        <v>1</v>
      </c>
      <c r="K69">
        <v>0</v>
      </c>
      <c r="L69">
        <v>0.149</v>
      </c>
      <c r="M69">
        <v>466.82</v>
      </c>
      <c r="N69">
        <v>0.146</v>
      </c>
      <c r="O69">
        <v>0</v>
      </c>
      <c r="P69">
        <v>0.003</v>
      </c>
      <c r="Q69">
        <v>0</v>
      </c>
      <c r="R69">
        <v>0</v>
      </c>
      <c r="S69" t="s">
        <v>22</v>
      </c>
      <c r="T69" t="s">
        <v>22</v>
      </c>
      <c r="U69">
        <v>466.821</v>
      </c>
      <c r="V69">
        <v>462.938</v>
      </c>
    </row>
    <row r="70" spans="2:22">
      <c r="B70">
        <v>69</v>
      </c>
      <c r="C70" t="s">
        <v>90</v>
      </c>
      <c r="D70">
        <v>80</v>
      </c>
      <c r="E70">
        <v>14.39</v>
      </c>
      <c r="F70">
        <v>23055.744</v>
      </c>
      <c r="G70">
        <v>23065.791</v>
      </c>
      <c r="H70">
        <v>23075.836</v>
      </c>
      <c r="I70">
        <v>2</v>
      </c>
      <c r="J70">
        <v>1</v>
      </c>
      <c r="K70">
        <v>0</v>
      </c>
      <c r="L70">
        <v>0.067</v>
      </c>
      <c r="M70">
        <v>466.753</v>
      </c>
      <c r="N70">
        <v>0.066</v>
      </c>
      <c r="O70">
        <v>0</v>
      </c>
      <c r="P70">
        <v>0.002</v>
      </c>
      <c r="Q70">
        <v>0</v>
      </c>
      <c r="R70">
        <v>0</v>
      </c>
      <c r="S70" t="s">
        <v>22</v>
      </c>
      <c r="T70" t="s">
        <v>22</v>
      </c>
      <c r="U70">
        <v>466.753</v>
      </c>
      <c r="V70">
        <v>462.87</v>
      </c>
    </row>
    <row r="71" spans="2:22">
      <c r="B71">
        <v>70</v>
      </c>
      <c r="C71" t="s">
        <v>91</v>
      </c>
      <c r="D71">
        <v>80</v>
      </c>
      <c r="E71">
        <v>42.167</v>
      </c>
      <c r="F71">
        <v>23338.777</v>
      </c>
      <c r="G71">
        <v>23368.215</v>
      </c>
      <c r="H71">
        <v>23397.654</v>
      </c>
      <c r="I71">
        <v>2</v>
      </c>
      <c r="J71">
        <v>1</v>
      </c>
      <c r="K71">
        <v>0</v>
      </c>
      <c r="L71">
        <v>0.142</v>
      </c>
      <c r="M71">
        <v>466.61</v>
      </c>
      <c r="N71">
        <v>0.137</v>
      </c>
      <c r="O71">
        <v>0</v>
      </c>
      <c r="P71">
        <v>0.005</v>
      </c>
      <c r="Q71">
        <v>0</v>
      </c>
      <c r="R71">
        <v>0</v>
      </c>
      <c r="S71" t="s">
        <v>22</v>
      </c>
      <c r="T71" t="s">
        <v>22</v>
      </c>
      <c r="U71">
        <v>466.613</v>
      </c>
      <c r="V71">
        <v>462.73</v>
      </c>
    </row>
    <row r="72" spans="2:22">
      <c r="B72">
        <v>71</v>
      </c>
      <c r="C72" t="s">
        <v>92</v>
      </c>
      <c r="D72">
        <v>80</v>
      </c>
      <c r="E72">
        <v>41.887</v>
      </c>
      <c r="F72">
        <v>23486.832</v>
      </c>
      <c r="G72">
        <v>23516.074</v>
      </c>
      <c r="H72">
        <v>23545.316</v>
      </c>
      <c r="I72">
        <v>2</v>
      </c>
      <c r="J72">
        <v>1</v>
      </c>
      <c r="K72">
        <v>0</v>
      </c>
      <c r="L72">
        <v>0.072</v>
      </c>
      <c r="M72">
        <v>466.538</v>
      </c>
      <c r="N72">
        <v>0.067</v>
      </c>
      <c r="O72">
        <v>0</v>
      </c>
      <c r="P72">
        <v>0.005</v>
      </c>
      <c r="Q72">
        <v>0</v>
      </c>
      <c r="R72">
        <v>0</v>
      </c>
      <c r="S72" t="s">
        <v>22</v>
      </c>
      <c r="T72" t="s">
        <v>22</v>
      </c>
      <c r="U72">
        <v>466.54</v>
      </c>
      <c r="V72">
        <v>462.657</v>
      </c>
    </row>
    <row r="73" spans="2:22">
      <c r="B73">
        <v>72</v>
      </c>
      <c r="C73" t="s">
        <v>93</v>
      </c>
      <c r="D73">
        <v>80</v>
      </c>
      <c r="E73">
        <v>47.725</v>
      </c>
      <c r="F73">
        <v>23938.52</v>
      </c>
      <c r="G73">
        <v>23971.838</v>
      </c>
      <c r="H73">
        <v>24005.156</v>
      </c>
      <c r="I73">
        <v>2</v>
      </c>
      <c r="J73">
        <v>1</v>
      </c>
      <c r="K73">
        <v>0</v>
      </c>
      <c r="L73">
        <v>0.213</v>
      </c>
      <c r="M73">
        <v>466.325</v>
      </c>
      <c r="N73">
        <v>0.207</v>
      </c>
      <c r="O73">
        <v>0</v>
      </c>
      <c r="P73">
        <v>0.006</v>
      </c>
      <c r="Q73">
        <v>0</v>
      </c>
      <c r="R73">
        <v>0</v>
      </c>
      <c r="S73" t="s">
        <v>22</v>
      </c>
      <c r="T73" t="s">
        <v>22</v>
      </c>
      <c r="U73">
        <v>466.328</v>
      </c>
      <c r="V73">
        <v>462.445</v>
      </c>
    </row>
    <row r="74" spans="2:22">
      <c r="B74">
        <v>73</v>
      </c>
      <c r="C74" t="s">
        <v>94</v>
      </c>
      <c r="D74">
        <v>0</v>
      </c>
      <c r="E74">
        <v>0</v>
      </c>
      <c r="F74">
        <v>24253.848</v>
      </c>
      <c r="G74">
        <v>24253.848</v>
      </c>
      <c r="H74">
        <v>24253.848</v>
      </c>
      <c r="I74">
        <v>2</v>
      </c>
      <c r="J74">
        <v>1</v>
      </c>
      <c r="K74">
        <v>2</v>
      </c>
      <c r="L74">
        <v>0.065</v>
      </c>
      <c r="M74">
        <v>466.26</v>
      </c>
      <c r="N74">
        <v>0.128</v>
      </c>
      <c r="O74">
        <v>-0.063</v>
      </c>
      <c r="P74">
        <v>0</v>
      </c>
      <c r="Q74">
        <v>0</v>
      </c>
      <c r="R74">
        <v>0</v>
      </c>
      <c r="S74">
        <v>466.26</v>
      </c>
      <c r="T74">
        <v>462.291</v>
      </c>
      <c r="U74">
        <v>466.197</v>
      </c>
      <c r="V74">
        <v>462.314</v>
      </c>
    </row>
    <row r="75" spans="2:22">
      <c r="B75">
        <v>74</v>
      </c>
      <c r="C75" t="s">
        <v>95</v>
      </c>
      <c r="D75">
        <v>80</v>
      </c>
      <c r="E75">
        <v>32.59</v>
      </c>
      <c r="F75">
        <v>24419.76</v>
      </c>
      <c r="G75">
        <v>24442.512</v>
      </c>
      <c r="H75">
        <v>24465.264</v>
      </c>
      <c r="I75">
        <v>1</v>
      </c>
      <c r="J75">
        <v>2</v>
      </c>
      <c r="K75">
        <v>0</v>
      </c>
      <c r="L75">
        <v>0.036</v>
      </c>
      <c r="M75">
        <v>466.224</v>
      </c>
      <c r="N75">
        <v>0.031</v>
      </c>
      <c r="O75">
        <v>0</v>
      </c>
      <c r="P75">
        <v>0.002</v>
      </c>
      <c r="Q75">
        <v>0.004</v>
      </c>
      <c r="R75">
        <v>0</v>
      </c>
      <c r="S75" t="s">
        <v>22</v>
      </c>
      <c r="T75" t="s">
        <v>22</v>
      </c>
      <c r="U75">
        <v>466.225</v>
      </c>
      <c r="V75">
        <v>462.256</v>
      </c>
    </row>
    <row r="76" spans="2:22">
      <c r="B76">
        <v>75</v>
      </c>
      <c r="C76" t="s">
        <v>96</v>
      </c>
      <c r="D76">
        <v>80</v>
      </c>
      <c r="E76">
        <v>40.001</v>
      </c>
      <c r="F76">
        <v>24521.514</v>
      </c>
      <c r="G76">
        <v>24549.439</v>
      </c>
      <c r="H76">
        <v>24577.365</v>
      </c>
      <c r="I76">
        <v>1</v>
      </c>
      <c r="J76">
        <v>2</v>
      </c>
      <c r="K76">
        <v>0</v>
      </c>
      <c r="L76">
        <v>0.022</v>
      </c>
      <c r="M76">
        <v>466.202</v>
      </c>
      <c r="N76">
        <v>0.018</v>
      </c>
      <c r="O76">
        <v>0</v>
      </c>
      <c r="P76">
        <v>0.002</v>
      </c>
      <c r="Q76">
        <v>0.002</v>
      </c>
      <c r="R76">
        <v>0</v>
      </c>
      <c r="S76" t="s">
        <v>22</v>
      </c>
      <c r="T76" t="s">
        <v>22</v>
      </c>
      <c r="U76">
        <v>466.203</v>
      </c>
      <c r="V76">
        <v>462.234</v>
      </c>
    </row>
    <row r="77" spans="2:22">
      <c r="B77">
        <v>76</v>
      </c>
      <c r="C77" t="s">
        <v>97</v>
      </c>
      <c r="D77">
        <v>0</v>
      </c>
      <c r="E77">
        <v>0</v>
      </c>
      <c r="F77">
        <v>24680</v>
      </c>
      <c r="G77">
        <v>24680</v>
      </c>
      <c r="H77">
        <v>24680</v>
      </c>
      <c r="I77">
        <v>1</v>
      </c>
      <c r="J77">
        <v>4</v>
      </c>
      <c r="K77">
        <v>1</v>
      </c>
      <c r="L77">
        <v>0.024</v>
      </c>
      <c r="M77">
        <v>466.178</v>
      </c>
      <c r="N77">
        <v>0.022</v>
      </c>
      <c r="O77">
        <v>0</v>
      </c>
      <c r="P77">
        <v>0</v>
      </c>
      <c r="Q77">
        <v>0.003</v>
      </c>
      <c r="R77">
        <v>0</v>
      </c>
      <c r="S77">
        <v>466.178</v>
      </c>
      <c r="T77">
        <v>462.209</v>
      </c>
      <c r="U77">
        <v>466.178</v>
      </c>
      <c r="V77">
        <v>462.209</v>
      </c>
    </row>
    <row r="78" spans="2:22">
      <c r="B78">
        <v>77</v>
      </c>
      <c r="C78" t="s">
        <v>98</v>
      </c>
      <c r="D78">
        <v>0</v>
      </c>
      <c r="E78">
        <v>0</v>
      </c>
      <c r="F78">
        <v>24680</v>
      </c>
      <c r="G78">
        <v>24680</v>
      </c>
      <c r="H78">
        <v>24680</v>
      </c>
      <c r="I78">
        <v>1</v>
      </c>
      <c r="J78">
        <v>4</v>
      </c>
      <c r="K78">
        <v>2</v>
      </c>
      <c r="L78">
        <v>0.03</v>
      </c>
      <c r="M78">
        <v>466.148</v>
      </c>
      <c r="N78">
        <v>0</v>
      </c>
      <c r="O78">
        <v>0</v>
      </c>
      <c r="P78">
        <v>0</v>
      </c>
      <c r="Q78">
        <v>0</v>
      </c>
      <c r="R78">
        <v>0.03</v>
      </c>
      <c r="S78">
        <v>466.148</v>
      </c>
      <c r="T78">
        <v>462.179</v>
      </c>
      <c r="U78">
        <v>466.148</v>
      </c>
      <c r="V78">
        <v>462.179</v>
      </c>
    </row>
    <row r="79" spans="2:22">
      <c r="B79">
        <v>78</v>
      </c>
      <c r="C79" t="s">
        <v>99</v>
      </c>
      <c r="D79">
        <v>0</v>
      </c>
      <c r="E79">
        <v>0</v>
      </c>
      <c r="F79">
        <v>24703.533</v>
      </c>
      <c r="G79">
        <v>24703.533</v>
      </c>
      <c r="H79">
        <v>24703.533</v>
      </c>
      <c r="I79">
        <v>2</v>
      </c>
      <c r="J79">
        <v>1</v>
      </c>
      <c r="K79">
        <v>1</v>
      </c>
      <c r="L79">
        <v>0.124</v>
      </c>
      <c r="M79">
        <v>466.023</v>
      </c>
      <c r="N79">
        <v>0.003</v>
      </c>
      <c r="O79">
        <v>0.121</v>
      </c>
      <c r="P79">
        <v>0</v>
      </c>
      <c r="Q79">
        <v>0</v>
      </c>
      <c r="R79">
        <v>0</v>
      </c>
      <c r="S79">
        <v>466.144</v>
      </c>
      <c r="T79">
        <v>462.175</v>
      </c>
      <c r="U79">
        <v>466.023</v>
      </c>
      <c r="V79">
        <v>462.14</v>
      </c>
    </row>
    <row r="80" spans="2:22">
      <c r="B80">
        <v>79</v>
      </c>
      <c r="C80" t="s">
        <v>100</v>
      </c>
      <c r="D80">
        <v>80</v>
      </c>
      <c r="E80">
        <v>20.534</v>
      </c>
      <c r="F80">
        <v>24768.801</v>
      </c>
      <c r="G80">
        <v>24783.137</v>
      </c>
      <c r="H80">
        <v>24797.473</v>
      </c>
      <c r="I80">
        <v>2</v>
      </c>
      <c r="J80">
        <v>1</v>
      </c>
      <c r="K80">
        <v>0</v>
      </c>
      <c r="L80">
        <v>0.039</v>
      </c>
      <c r="M80">
        <v>465.985</v>
      </c>
      <c r="N80">
        <v>0.036</v>
      </c>
      <c r="O80">
        <v>0</v>
      </c>
      <c r="P80">
        <v>0.002</v>
      </c>
      <c r="Q80">
        <v>0</v>
      </c>
      <c r="R80">
        <v>0</v>
      </c>
      <c r="S80" t="s">
        <v>22</v>
      </c>
      <c r="T80" t="s">
        <v>22</v>
      </c>
      <c r="U80">
        <v>465.986</v>
      </c>
      <c r="V80">
        <v>462.103</v>
      </c>
    </row>
    <row r="81" spans="2:22">
      <c r="B81">
        <v>80</v>
      </c>
      <c r="C81" t="s">
        <v>101</v>
      </c>
      <c r="D81">
        <v>80</v>
      </c>
      <c r="E81">
        <v>17.714</v>
      </c>
      <c r="F81">
        <v>24941.594</v>
      </c>
      <c r="G81">
        <v>24953.961</v>
      </c>
      <c r="H81">
        <v>24966.328</v>
      </c>
      <c r="I81">
        <v>2</v>
      </c>
      <c r="J81">
        <v>1</v>
      </c>
      <c r="K81">
        <v>0</v>
      </c>
      <c r="L81">
        <v>0.08</v>
      </c>
      <c r="M81">
        <v>465.905</v>
      </c>
      <c r="N81">
        <v>0.078</v>
      </c>
      <c r="O81">
        <v>0</v>
      </c>
      <c r="P81">
        <v>0.002</v>
      </c>
      <c r="Q81">
        <v>0</v>
      </c>
      <c r="R81">
        <v>0</v>
      </c>
      <c r="S81" t="s">
        <v>22</v>
      </c>
      <c r="T81" t="s">
        <v>22</v>
      </c>
      <c r="U81">
        <v>465.906</v>
      </c>
      <c r="V81">
        <v>462.023</v>
      </c>
    </row>
    <row r="82" spans="2:22">
      <c r="B82">
        <v>81</v>
      </c>
      <c r="C82" t="s">
        <v>102</v>
      </c>
      <c r="D82">
        <v>80</v>
      </c>
      <c r="E82">
        <v>38.816</v>
      </c>
      <c r="F82">
        <v>25108.82</v>
      </c>
      <c r="G82">
        <v>25135.918</v>
      </c>
      <c r="H82">
        <v>25163.018</v>
      </c>
      <c r="I82">
        <v>2</v>
      </c>
      <c r="J82">
        <v>1</v>
      </c>
      <c r="K82">
        <v>0</v>
      </c>
      <c r="L82">
        <v>0.087</v>
      </c>
      <c r="M82">
        <v>465.818</v>
      </c>
      <c r="N82">
        <v>0.083</v>
      </c>
      <c r="O82">
        <v>0</v>
      </c>
      <c r="P82">
        <v>0.005</v>
      </c>
      <c r="Q82">
        <v>0</v>
      </c>
      <c r="R82">
        <v>0</v>
      </c>
      <c r="S82" t="s">
        <v>22</v>
      </c>
      <c r="T82" t="s">
        <v>22</v>
      </c>
      <c r="U82">
        <v>465.82</v>
      </c>
      <c r="V82">
        <v>461.937</v>
      </c>
    </row>
    <row r="83" spans="2:22">
      <c r="B83">
        <v>82</v>
      </c>
      <c r="C83" t="s">
        <v>103</v>
      </c>
      <c r="D83">
        <v>80</v>
      </c>
      <c r="E83">
        <v>46.507</v>
      </c>
      <c r="F83">
        <v>25189.115</v>
      </c>
      <c r="G83">
        <v>25221.582</v>
      </c>
      <c r="H83">
        <v>25254.051</v>
      </c>
      <c r="I83">
        <v>2</v>
      </c>
      <c r="J83">
        <v>1</v>
      </c>
      <c r="K83">
        <v>0</v>
      </c>
      <c r="L83">
        <v>0.044</v>
      </c>
      <c r="M83">
        <v>465.773</v>
      </c>
      <c r="N83">
        <v>0.039</v>
      </c>
      <c r="O83">
        <v>0</v>
      </c>
      <c r="P83">
        <v>0.005</v>
      </c>
      <c r="Q83">
        <v>0</v>
      </c>
      <c r="R83">
        <v>0</v>
      </c>
      <c r="S83" t="s">
        <v>22</v>
      </c>
      <c r="T83" t="s">
        <v>22</v>
      </c>
      <c r="U83">
        <v>465.776</v>
      </c>
      <c r="V83">
        <v>461.893</v>
      </c>
    </row>
    <row r="84" spans="2:22">
      <c r="B84">
        <v>83</v>
      </c>
      <c r="C84" t="s">
        <v>104</v>
      </c>
      <c r="D84">
        <v>0</v>
      </c>
      <c r="E84">
        <v>0</v>
      </c>
      <c r="F84">
        <v>25433.105</v>
      </c>
      <c r="G84">
        <v>25433.105</v>
      </c>
      <c r="H84">
        <v>25433.105</v>
      </c>
      <c r="I84">
        <v>2</v>
      </c>
      <c r="J84">
        <v>1</v>
      </c>
      <c r="K84">
        <v>2</v>
      </c>
      <c r="L84">
        <v>0.033</v>
      </c>
      <c r="M84">
        <v>465.74</v>
      </c>
      <c r="N84">
        <v>0.096</v>
      </c>
      <c r="O84">
        <v>-0.063</v>
      </c>
      <c r="P84">
        <v>0</v>
      </c>
      <c r="Q84">
        <v>0</v>
      </c>
      <c r="R84">
        <v>0</v>
      </c>
      <c r="S84">
        <v>465.74</v>
      </c>
      <c r="T84">
        <v>461.771</v>
      </c>
      <c r="U84">
        <v>465.677</v>
      </c>
      <c r="V84">
        <v>461.794</v>
      </c>
    </row>
    <row r="85" spans="2:22">
      <c r="B85">
        <v>84</v>
      </c>
      <c r="C85" t="s">
        <v>105</v>
      </c>
      <c r="D85">
        <v>80</v>
      </c>
      <c r="E85">
        <v>27.009</v>
      </c>
      <c r="F85">
        <v>25444.918</v>
      </c>
      <c r="G85">
        <v>25463.773</v>
      </c>
      <c r="H85">
        <v>25482.629</v>
      </c>
      <c r="I85">
        <v>1</v>
      </c>
      <c r="J85">
        <v>2</v>
      </c>
      <c r="K85">
        <v>0</v>
      </c>
      <c r="L85">
        <v>0.006</v>
      </c>
      <c r="M85">
        <v>465.734</v>
      </c>
      <c r="N85">
        <v>0.004</v>
      </c>
      <c r="O85">
        <v>0</v>
      </c>
      <c r="P85">
        <v>0.001</v>
      </c>
      <c r="Q85">
        <v>0.001</v>
      </c>
      <c r="R85">
        <v>0</v>
      </c>
      <c r="S85" t="s">
        <v>22</v>
      </c>
      <c r="T85" t="s">
        <v>22</v>
      </c>
      <c r="U85">
        <v>465.735</v>
      </c>
      <c r="V85">
        <v>461.766</v>
      </c>
    </row>
    <row r="86" spans="2:22">
      <c r="B86">
        <v>85</v>
      </c>
      <c r="C86" t="s">
        <v>106</v>
      </c>
      <c r="D86">
        <v>0</v>
      </c>
      <c r="E86">
        <v>0</v>
      </c>
      <c r="F86">
        <v>25538.377</v>
      </c>
      <c r="G86">
        <v>25538.377</v>
      </c>
      <c r="H86">
        <v>25538.377</v>
      </c>
      <c r="I86">
        <v>2</v>
      </c>
      <c r="J86">
        <v>1</v>
      </c>
      <c r="K86">
        <v>1</v>
      </c>
      <c r="L86">
        <v>0.134</v>
      </c>
      <c r="M86">
        <v>465.6</v>
      </c>
      <c r="N86">
        <v>0.012</v>
      </c>
      <c r="O86">
        <v>0.121</v>
      </c>
      <c r="P86">
        <v>0</v>
      </c>
      <c r="Q86">
        <v>0.001</v>
      </c>
      <c r="R86">
        <v>0</v>
      </c>
      <c r="S86">
        <v>465.721</v>
      </c>
      <c r="T86">
        <v>461.752</v>
      </c>
      <c r="U86">
        <v>465.6</v>
      </c>
      <c r="V86">
        <v>461.717</v>
      </c>
    </row>
    <row r="87" spans="2:22">
      <c r="B87">
        <v>86</v>
      </c>
      <c r="C87" t="s">
        <v>107</v>
      </c>
      <c r="D87">
        <v>40</v>
      </c>
      <c r="E87">
        <v>34.434</v>
      </c>
      <c r="F87">
        <v>25579.414</v>
      </c>
      <c r="G87">
        <v>25591.434</v>
      </c>
      <c r="H87">
        <v>25603.453</v>
      </c>
      <c r="I87">
        <v>2</v>
      </c>
      <c r="J87">
        <v>1</v>
      </c>
      <c r="K87">
        <v>0</v>
      </c>
      <c r="L87">
        <v>0.027</v>
      </c>
      <c r="M87">
        <v>465.573</v>
      </c>
      <c r="N87">
        <v>0.024</v>
      </c>
      <c r="O87">
        <v>0</v>
      </c>
      <c r="P87">
        <v>0.003</v>
      </c>
      <c r="Q87">
        <v>0</v>
      </c>
      <c r="R87">
        <v>0</v>
      </c>
      <c r="S87" t="s">
        <v>22</v>
      </c>
      <c r="T87" t="s">
        <v>22</v>
      </c>
      <c r="U87">
        <v>465.575</v>
      </c>
      <c r="V87">
        <v>461.692</v>
      </c>
    </row>
    <row r="88" spans="2:22">
      <c r="B88">
        <v>87</v>
      </c>
      <c r="C88" t="s">
        <v>108</v>
      </c>
      <c r="D88">
        <v>40</v>
      </c>
      <c r="E88">
        <v>51.505</v>
      </c>
      <c r="F88">
        <v>25648.586</v>
      </c>
      <c r="G88">
        <v>25666.564</v>
      </c>
      <c r="H88">
        <v>25684.543</v>
      </c>
      <c r="I88">
        <v>2</v>
      </c>
      <c r="J88">
        <v>1</v>
      </c>
      <c r="K88">
        <v>0</v>
      </c>
      <c r="L88">
        <v>0.038</v>
      </c>
      <c r="M88">
        <v>465.535</v>
      </c>
      <c r="N88">
        <v>0.034</v>
      </c>
      <c r="O88">
        <v>0</v>
      </c>
      <c r="P88">
        <v>0.004</v>
      </c>
      <c r="Q88">
        <v>0</v>
      </c>
      <c r="R88">
        <v>0</v>
      </c>
      <c r="S88" t="s">
        <v>22</v>
      </c>
      <c r="T88" t="s">
        <v>22</v>
      </c>
      <c r="U88">
        <v>465.537</v>
      </c>
      <c r="V88">
        <v>461.654</v>
      </c>
    </row>
    <row r="89" spans="2:22">
      <c r="B89">
        <v>88</v>
      </c>
      <c r="C89" t="s">
        <v>109</v>
      </c>
      <c r="D89">
        <v>0</v>
      </c>
      <c r="E89">
        <v>0</v>
      </c>
      <c r="F89">
        <v>25899.85</v>
      </c>
      <c r="G89">
        <v>25899.85</v>
      </c>
      <c r="H89">
        <v>25899.85</v>
      </c>
      <c r="I89">
        <v>2</v>
      </c>
      <c r="J89">
        <v>1</v>
      </c>
      <c r="K89">
        <v>2</v>
      </c>
      <c r="L89">
        <v>0.043</v>
      </c>
      <c r="M89">
        <v>465.492</v>
      </c>
      <c r="N89">
        <v>0.106</v>
      </c>
      <c r="O89">
        <v>-0.063</v>
      </c>
      <c r="P89">
        <v>0</v>
      </c>
      <c r="Q89">
        <v>0</v>
      </c>
      <c r="R89">
        <v>0</v>
      </c>
      <c r="S89">
        <v>465.492</v>
      </c>
      <c r="T89">
        <v>461.523</v>
      </c>
      <c r="U89">
        <v>465.429</v>
      </c>
      <c r="V89">
        <v>461.546</v>
      </c>
    </row>
    <row r="90" spans="2:22">
      <c r="B90">
        <v>89</v>
      </c>
      <c r="C90" t="s">
        <v>110</v>
      </c>
      <c r="D90">
        <v>0</v>
      </c>
      <c r="E90">
        <v>0</v>
      </c>
      <c r="F90">
        <v>26043.566</v>
      </c>
      <c r="G90">
        <v>26043.566</v>
      </c>
      <c r="H90">
        <v>26043.566</v>
      </c>
      <c r="I90">
        <v>2</v>
      </c>
      <c r="J90">
        <v>1</v>
      </c>
      <c r="K90">
        <v>1</v>
      </c>
      <c r="L90">
        <v>0.146</v>
      </c>
      <c r="M90">
        <v>465.346</v>
      </c>
      <c r="N90">
        <v>0.022</v>
      </c>
      <c r="O90">
        <v>0.121</v>
      </c>
      <c r="P90">
        <v>0</v>
      </c>
      <c r="Q90">
        <v>0.003</v>
      </c>
      <c r="R90">
        <v>0</v>
      </c>
      <c r="S90">
        <v>465.467</v>
      </c>
      <c r="T90">
        <v>461.498</v>
      </c>
      <c r="U90">
        <v>465.346</v>
      </c>
      <c r="V90">
        <v>461.463</v>
      </c>
    </row>
    <row r="91" spans="2:22">
      <c r="B91">
        <v>90</v>
      </c>
      <c r="C91" t="s">
        <v>111</v>
      </c>
      <c r="D91">
        <v>0</v>
      </c>
      <c r="E91">
        <v>0</v>
      </c>
      <c r="F91">
        <v>26087.945</v>
      </c>
      <c r="G91">
        <v>26087.945</v>
      </c>
      <c r="H91">
        <v>26087.945</v>
      </c>
      <c r="I91">
        <v>2</v>
      </c>
      <c r="J91">
        <v>1</v>
      </c>
      <c r="K91">
        <v>2</v>
      </c>
      <c r="L91">
        <v>-0.043</v>
      </c>
      <c r="M91">
        <v>465.389</v>
      </c>
      <c r="N91">
        <v>0.02</v>
      </c>
      <c r="O91">
        <v>-0.063</v>
      </c>
      <c r="P91">
        <v>0</v>
      </c>
      <c r="Q91">
        <v>0</v>
      </c>
      <c r="R91">
        <v>0</v>
      </c>
      <c r="S91">
        <v>465.389</v>
      </c>
      <c r="T91">
        <v>461.42</v>
      </c>
      <c r="U91">
        <v>465.326</v>
      </c>
      <c r="V91">
        <v>461.443</v>
      </c>
    </row>
    <row r="92" spans="2:22">
      <c r="B92">
        <v>91</v>
      </c>
      <c r="C92" t="s">
        <v>112</v>
      </c>
      <c r="D92">
        <v>60</v>
      </c>
      <c r="E92">
        <v>46.812</v>
      </c>
      <c r="F92">
        <v>26150.236</v>
      </c>
      <c r="G92">
        <v>26174.746</v>
      </c>
      <c r="H92">
        <v>26199.258</v>
      </c>
      <c r="I92">
        <v>1</v>
      </c>
      <c r="J92">
        <v>2</v>
      </c>
      <c r="K92">
        <v>0</v>
      </c>
      <c r="L92">
        <v>0.017</v>
      </c>
      <c r="M92">
        <v>465.372</v>
      </c>
      <c r="N92">
        <v>0.014</v>
      </c>
      <c r="O92">
        <v>0</v>
      </c>
      <c r="P92">
        <v>0.002</v>
      </c>
      <c r="Q92">
        <v>0.002</v>
      </c>
      <c r="R92">
        <v>0</v>
      </c>
      <c r="S92" t="s">
        <v>22</v>
      </c>
      <c r="T92" t="s">
        <v>22</v>
      </c>
      <c r="U92">
        <v>465.373</v>
      </c>
      <c r="V92">
        <v>461.404</v>
      </c>
    </row>
    <row r="93" spans="2:22">
      <c r="B93">
        <v>92</v>
      </c>
      <c r="C93" t="s">
        <v>113</v>
      </c>
      <c r="D93">
        <v>0</v>
      </c>
      <c r="E93">
        <v>0</v>
      </c>
      <c r="F93">
        <v>26210</v>
      </c>
      <c r="G93">
        <v>26210</v>
      </c>
      <c r="H93">
        <v>26210</v>
      </c>
      <c r="I93">
        <v>1</v>
      </c>
      <c r="J93">
        <v>4</v>
      </c>
      <c r="K93">
        <v>1</v>
      </c>
      <c r="L93">
        <v>0.007</v>
      </c>
      <c r="M93">
        <v>465.365</v>
      </c>
      <c r="N93">
        <v>0.006</v>
      </c>
      <c r="O93">
        <v>0</v>
      </c>
      <c r="P93">
        <v>0</v>
      </c>
      <c r="Q93">
        <v>0.001</v>
      </c>
      <c r="R93">
        <v>0</v>
      </c>
      <c r="S93">
        <v>465.365</v>
      </c>
      <c r="T93">
        <v>461.396</v>
      </c>
      <c r="U93">
        <v>465.365</v>
      </c>
      <c r="V93">
        <v>461.396</v>
      </c>
    </row>
    <row r="94" spans="2:22">
      <c r="B94">
        <v>93</v>
      </c>
      <c r="C94" t="s">
        <v>114</v>
      </c>
      <c r="D94">
        <v>0</v>
      </c>
      <c r="E94">
        <v>0</v>
      </c>
      <c r="F94">
        <v>26210</v>
      </c>
      <c r="G94">
        <v>26210</v>
      </c>
      <c r="H94">
        <v>26210</v>
      </c>
      <c r="I94">
        <v>1</v>
      </c>
      <c r="J94">
        <v>4</v>
      </c>
      <c r="K94">
        <v>2</v>
      </c>
      <c r="L94">
        <v>0.03</v>
      </c>
      <c r="M94">
        <v>465.335</v>
      </c>
      <c r="N94">
        <v>0</v>
      </c>
      <c r="O94">
        <v>0</v>
      </c>
      <c r="P94">
        <v>0</v>
      </c>
      <c r="Q94">
        <v>0</v>
      </c>
      <c r="R94">
        <v>0.03</v>
      </c>
      <c r="S94">
        <v>465.335</v>
      </c>
      <c r="T94">
        <v>461.366</v>
      </c>
      <c r="U94">
        <v>465.335</v>
      </c>
      <c r="V94">
        <v>461.366</v>
      </c>
    </row>
    <row r="95" spans="2:22">
      <c r="B95">
        <v>94</v>
      </c>
      <c r="C95" t="s">
        <v>115</v>
      </c>
      <c r="D95">
        <v>0</v>
      </c>
      <c r="E95">
        <v>0</v>
      </c>
      <c r="F95">
        <v>26221.51</v>
      </c>
      <c r="G95">
        <v>26221.51</v>
      </c>
      <c r="H95">
        <v>26221.51</v>
      </c>
      <c r="I95">
        <v>2</v>
      </c>
      <c r="J95">
        <v>1</v>
      </c>
      <c r="K95">
        <v>1</v>
      </c>
      <c r="L95">
        <v>0.122</v>
      </c>
      <c r="M95">
        <v>465.213</v>
      </c>
      <c r="N95">
        <v>0.001</v>
      </c>
      <c r="O95">
        <v>0.121</v>
      </c>
      <c r="P95">
        <v>0</v>
      </c>
      <c r="Q95">
        <v>0</v>
      </c>
      <c r="R95">
        <v>0</v>
      </c>
      <c r="S95">
        <v>465.334</v>
      </c>
      <c r="T95">
        <v>461.365</v>
      </c>
      <c r="U95">
        <v>465.213</v>
      </c>
      <c r="V95">
        <v>461.33</v>
      </c>
    </row>
    <row r="96" spans="2:22">
      <c r="B96">
        <v>95</v>
      </c>
      <c r="C96" t="s">
        <v>116</v>
      </c>
      <c r="D96">
        <v>80</v>
      </c>
      <c r="E96">
        <v>48.298</v>
      </c>
      <c r="F96">
        <v>27131.984</v>
      </c>
      <c r="G96">
        <v>27165.703</v>
      </c>
      <c r="H96">
        <v>27199.422</v>
      </c>
      <c r="I96">
        <v>2</v>
      </c>
      <c r="J96">
        <v>1</v>
      </c>
      <c r="K96">
        <v>0</v>
      </c>
      <c r="L96">
        <v>0.435</v>
      </c>
      <c r="M96">
        <v>464.778</v>
      </c>
      <c r="N96">
        <v>0.429</v>
      </c>
      <c r="O96">
        <v>0</v>
      </c>
      <c r="P96">
        <v>0.006</v>
      </c>
      <c r="Q96">
        <v>0</v>
      </c>
      <c r="R96">
        <v>0</v>
      </c>
      <c r="S96" t="s">
        <v>22</v>
      </c>
      <c r="T96" t="s">
        <v>22</v>
      </c>
      <c r="U96">
        <v>464.781</v>
      </c>
      <c r="V96">
        <v>460.898</v>
      </c>
    </row>
    <row r="97" spans="2:22">
      <c r="B97">
        <v>96</v>
      </c>
      <c r="C97" t="s">
        <v>117</v>
      </c>
      <c r="D97">
        <v>80</v>
      </c>
      <c r="E97">
        <v>13.955</v>
      </c>
      <c r="F97">
        <v>27384.346</v>
      </c>
      <c r="G97">
        <v>27394.088</v>
      </c>
      <c r="H97">
        <v>27403.83</v>
      </c>
      <c r="I97">
        <v>2</v>
      </c>
      <c r="J97">
        <v>1</v>
      </c>
      <c r="K97">
        <v>0</v>
      </c>
      <c r="L97">
        <v>0.105</v>
      </c>
      <c r="M97">
        <v>464.673</v>
      </c>
      <c r="N97">
        <v>0.104</v>
      </c>
      <c r="O97">
        <v>0</v>
      </c>
      <c r="P97">
        <v>0.002</v>
      </c>
      <c r="Q97">
        <v>0</v>
      </c>
      <c r="R97">
        <v>0</v>
      </c>
      <c r="S97" t="s">
        <v>22</v>
      </c>
      <c r="T97" t="s">
        <v>22</v>
      </c>
      <c r="U97">
        <v>464.674</v>
      </c>
      <c r="V97">
        <v>460.791</v>
      </c>
    </row>
    <row r="98" spans="2:22">
      <c r="B98">
        <v>97</v>
      </c>
      <c r="C98" t="s">
        <v>118</v>
      </c>
      <c r="D98">
        <v>0</v>
      </c>
      <c r="E98">
        <v>0</v>
      </c>
      <c r="F98">
        <v>27526.838</v>
      </c>
      <c r="G98">
        <v>27526.838</v>
      </c>
      <c r="H98">
        <v>27526.838</v>
      </c>
      <c r="I98">
        <v>2</v>
      </c>
      <c r="J98">
        <v>1</v>
      </c>
      <c r="K98">
        <v>2</v>
      </c>
      <c r="L98">
        <v>-0.003</v>
      </c>
      <c r="M98">
        <v>464.676</v>
      </c>
      <c r="N98">
        <v>0.06</v>
      </c>
      <c r="O98">
        <v>-0.063</v>
      </c>
      <c r="P98">
        <v>0</v>
      </c>
      <c r="Q98">
        <v>0</v>
      </c>
      <c r="R98">
        <v>0</v>
      </c>
      <c r="S98">
        <v>464.676</v>
      </c>
      <c r="T98">
        <v>460.707</v>
      </c>
      <c r="U98">
        <v>464.612</v>
      </c>
      <c r="V98">
        <v>460.729</v>
      </c>
    </row>
    <row r="99" spans="2:22">
      <c r="B99">
        <v>98</v>
      </c>
      <c r="C99" t="s">
        <v>119</v>
      </c>
      <c r="D99">
        <v>0</v>
      </c>
      <c r="E99">
        <v>0</v>
      </c>
      <c r="F99">
        <v>27596.285</v>
      </c>
      <c r="G99">
        <v>27596.285</v>
      </c>
      <c r="H99">
        <v>27596.285</v>
      </c>
      <c r="I99">
        <v>1</v>
      </c>
      <c r="J99">
        <v>4</v>
      </c>
      <c r="K99">
        <v>1</v>
      </c>
      <c r="L99">
        <v>0.011</v>
      </c>
      <c r="M99">
        <v>464.664</v>
      </c>
      <c r="N99">
        <v>0.01</v>
      </c>
      <c r="O99">
        <v>0</v>
      </c>
      <c r="P99">
        <v>0</v>
      </c>
      <c r="Q99">
        <v>0.001</v>
      </c>
      <c r="R99">
        <v>0</v>
      </c>
      <c r="S99">
        <v>464.664</v>
      </c>
      <c r="T99">
        <v>460.695</v>
      </c>
      <c r="U99">
        <v>464.664</v>
      </c>
      <c r="V99">
        <v>460.695</v>
      </c>
    </row>
    <row r="100" spans="2:22">
      <c r="B100">
        <v>99</v>
      </c>
      <c r="C100" t="s">
        <v>120</v>
      </c>
      <c r="D100">
        <v>0</v>
      </c>
      <c r="E100">
        <v>0</v>
      </c>
      <c r="F100">
        <v>27596.285</v>
      </c>
      <c r="G100">
        <v>27596.285</v>
      </c>
      <c r="H100">
        <v>27596.285</v>
      </c>
      <c r="I100">
        <v>1</v>
      </c>
      <c r="J100">
        <v>4</v>
      </c>
      <c r="K100">
        <v>2</v>
      </c>
      <c r="L100">
        <v>0.03</v>
      </c>
      <c r="M100">
        <v>464.634</v>
      </c>
      <c r="N100">
        <v>0</v>
      </c>
      <c r="O100">
        <v>0</v>
      </c>
      <c r="P100">
        <v>0</v>
      </c>
      <c r="Q100">
        <v>0</v>
      </c>
      <c r="R100">
        <v>0.03</v>
      </c>
      <c r="S100">
        <v>464.634</v>
      </c>
      <c r="T100">
        <v>460.665</v>
      </c>
      <c r="U100">
        <v>464.634</v>
      </c>
      <c r="V100">
        <v>460.665</v>
      </c>
    </row>
    <row r="101" spans="2:22">
      <c r="B101">
        <v>100</v>
      </c>
      <c r="C101" t="s">
        <v>121</v>
      </c>
      <c r="D101">
        <v>0</v>
      </c>
      <c r="E101">
        <v>0</v>
      </c>
      <c r="F101">
        <v>27644.094</v>
      </c>
      <c r="G101">
        <v>27644.094</v>
      </c>
      <c r="H101">
        <v>27644.094</v>
      </c>
      <c r="I101">
        <v>2</v>
      </c>
      <c r="J101">
        <v>1</v>
      </c>
      <c r="K101">
        <v>1</v>
      </c>
      <c r="L101">
        <v>0.128</v>
      </c>
      <c r="M101">
        <v>464.506</v>
      </c>
      <c r="N101">
        <v>0.006</v>
      </c>
      <c r="O101">
        <v>0.121</v>
      </c>
      <c r="P101">
        <v>0</v>
      </c>
      <c r="Q101">
        <v>0.001</v>
      </c>
      <c r="R101">
        <v>0</v>
      </c>
      <c r="S101">
        <v>464.627</v>
      </c>
      <c r="T101">
        <v>460.658</v>
      </c>
      <c r="U101">
        <v>464.506</v>
      </c>
      <c r="V101">
        <v>460.623</v>
      </c>
    </row>
    <row r="102" spans="2:22">
      <c r="B102">
        <v>101</v>
      </c>
      <c r="C102" t="s">
        <v>122</v>
      </c>
      <c r="D102">
        <v>80</v>
      </c>
      <c r="E102">
        <v>34.154</v>
      </c>
      <c r="F102">
        <v>27763.498</v>
      </c>
      <c r="G102">
        <v>27787.342</v>
      </c>
      <c r="H102">
        <v>27811.186</v>
      </c>
      <c r="I102">
        <v>2</v>
      </c>
      <c r="J102">
        <v>1</v>
      </c>
      <c r="K102">
        <v>0</v>
      </c>
      <c r="L102">
        <v>0.069</v>
      </c>
      <c r="M102">
        <v>464.437</v>
      </c>
      <c r="N102">
        <v>0.065</v>
      </c>
      <c r="O102">
        <v>0</v>
      </c>
      <c r="P102">
        <v>0.004</v>
      </c>
      <c r="Q102">
        <v>0</v>
      </c>
      <c r="R102">
        <v>0</v>
      </c>
      <c r="S102" t="s">
        <v>22</v>
      </c>
      <c r="T102" t="s">
        <v>22</v>
      </c>
      <c r="U102">
        <v>464.439</v>
      </c>
      <c r="V102">
        <v>460.556</v>
      </c>
    </row>
    <row r="103" spans="2:22">
      <c r="B103">
        <v>102</v>
      </c>
      <c r="C103" t="s">
        <v>123</v>
      </c>
      <c r="D103">
        <v>80</v>
      </c>
      <c r="E103">
        <v>56.676</v>
      </c>
      <c r="F103">
        <v>27873.902</v>
      </c>
      <c r="G103">
        <v>27913.469</v>
      </c>
      <c r="H103">
        <v>27953.037</v>
      </c>
      <c r="I103">
        <v>2</v>
      </c>
      <c r="J103">
        <v>1</v>
      </c>
      <c r="K103">
        <v>0</v>
      </c>
      <c r="L103">
        <v>0.064</v>
      </c>
      <c r="M103">
        <v>464.373</v>
      </c>
      <c r="N103">
        <v>0.057</v>
      </c>
      <c r="O103">
        <v>0</v>
      </c>
      <c r="P103">
        <v>0.007</v>
      </c>
      <c r="Q103">
        <v>0</v>
      </c>
      <c r="R103">
        <v>0</v>
      </c>
      <c r="S103" t="s">
        <v>22</v>
      </c>
      <c r="T103" t="s">
        <v>22</v>
      </c>
      <c r="U103">
        <v>464.377</v>
      </c>
      <c r="V103">
        <v>460.494</v>
      </c>
    </row>
    <row r="104" spans="2:22">
      <c r="B104">
        <v>103</v>
      </c>
      <c r="C104" t="s">
        <v>124</v>
      </c>
      <c r="D104">
        <v>80</v>
      </c>
      <c r="E104">
        <v>54.118</v>
      </c>
      <c r="F104">
        <v>28491.02</v>
      </c>
      <c r="G104">
        <v>28528.803</v>
      </c>
      <c r="H104">
        <v>28566.584</v>
      </c>
      <c r="I104">
        <v>2</v>
      </c>
      <c r="J104">
        <v>1</v>
      </c>
      <c r="K104">
        <v>0</v>
      </c>
      <c r="L104">
        <v>0.286</v>
      </c>
      <c r="M104">
        <v>464.087</v>
      </c>
      <c r="N104">
        <v>0.28</v>
      </c>
      <c r="O104">
        <v>0</v>
      </c>
      <c r="P104">
        <v>0.006</v>
      </c>
      <c r="Q104">
        <v>0</v>
      </c>
      <c r="R104">
        <v>0</v>
      </c>
      <c r="S104" t="s">
        <v>22</v>
      </c>
      <c r="T104" t="s">
        <v>22</v>
      </c>
      <c r="U104">
        <v>464.091</v>
      </c>
      <c r="V104">
        <v>460.208</v>
      </c>
    </row>
    <row r="105" spans="2:22">
      <c r="B105">
        <v>104</v>
      </c>
      <c r="C105" t="s">
        <v>125</v>
      </c>
      <c r="D105">
        <v>80</v>
      </c>
      <c r="E105">
        <v>16.35</v>
      </c>
      <c r="F105">
        <v>28740.889</v>
      </c>
      <c r="G105">
        <v>28752.303</v>
      </c>
      <c r="H105">
        <v>28763.717</v>
      </c>
      <c r="I105">
        <v>2</v>
      </c>
      <c r="J105">
        <v>1</v>
      </c>
      <c r="K105">
        <v>0</v>
      </c>
      <c r="L105">
        <v>0.103</v>
      </c>
      <c r="M105">
        <v>463.984</v>
      </c>
      <c r="N105">
        <v>0.102</v>
      </c>
      <c r="O105">
        <v>0</v>
      </c>
      <c r="P105">
        <v>0.002</v>
      </c>
      <c r="Q105">
        <v>0</v>
      </c>
      <c r="R105">
        <v>0</v>
      </c>
      <c r="S105" t="s">
        <v>22</v>
      </c>
      <c r="T105" t="s">
        <v>22</v>
      </c>
      <c r="U105">
        <v>463.985</v>
      </c>
      <c r="V105">
        <v>460.102</v>
      </c>
    </row>
    <row r="106" spans="2:22">
      <c r="B106">
        <v>105</v>
      </c>
      <c r="C106" t="s">
        <v>126</v>
      </c>
      <c r="D106">
        <v>80</v>
      </c>
      <c r="E106">
        <v>13.196</v>
      </c>
      <c r="F106">
        <v>28996.832</v>
      </c>
      <c r="G106">
        <v>29006.045</v>
      </c>
      <c r="H106">
        <v>29015.258</v>
      </c>
      <c r="I106">
        <v>2</v>
      </c>
      <c r="J106">
        <v>1</v>
      </c>
      <c r="K106">
        <v>0</v>
      </c>
      <c r="L106">
        <v>0.117</v>
      </c>
      <c r="M106">
        <v>463.867</v>
      </c>
      <c r="N106">
        <v>0.115</v>
      </c>
      <c r="O106">
        <v>0</v>
      </c>
      <c r="P106">
        <v>0.002</v>
      </c>
      <c r="Q106">
        <v>0</v>
      </c>
      <c r="R106">
        <v>0</v>
      </c>
      <c r="S106" t="s">
        <v>22</v>
      </c>
      <c r="T106" t="s">
        <v>22</v>
      </c>
      <c r="U106">
        <v>463.868</v>
      </c>
      <c r="V106">
        <v>459.985</v>
      </c>
    </row>
    <row r="107" spans="2:22">
      <c r="B107">
        <v>106</v>
      </c>
      <c r="C107" t="s">
        <v>127</v>
      </c>
      <c r="D107">
        <v>80</v>
      </c>
      <c r="E107">
        <v>34.816</v>
      </c>
      <c r="F107">
        <v>29555.324</v>
      </c>
      <c r="G107">
        <v>29579.631</v>
      </c>
      <c r="H107">
        <v>29603.938</v>
      </c>
      <c r="I107">
        <v>2</v>
      </c>
      <c r="J107">
        <v>1</v>
      </c>
      <c r="K107">
        <v>0</v>
      </c>
      <c r="L107">
        <v>0.265</v>
      </c>
      <c r="M107">
        <v>463.602</v>
      </c>
      <c r="N107">
        <v>0.261</v>
      </c>
      <c r="O107">
        <v>0</v>
      </c>
      <c r="P107">
        <v>0.004</v>
      </c>
      <c r="Q107">
        <v>0</v>
      </c>
      <c r="R107">
        <v>0</v>
      </c>
      <c r="S107" t="s">
        <v>22</v>
      </c>
      <c r="T107" t="s">
        <v>22</v>
      </c>
      <c r="U107">
        <v>463.604</v>
      </c>
      <c r="V107">
        <v>459.721</v>
      </c>
    </row>
    <row r="108" spans="2:22">
      <c r="B108">
        <v>107</v>
      </c>
      <c r="C108" t="s">
        <v>128</v>
      </c>
      <c r="D108">
        <v>80</v>
      </c>
      <c r="E108">
        <v>29.453</v>
      </c>
      <c r="F108">
        <v>29890.195</v>
      </c>
      <c r="G108">
        <v>29910.758</v>
      </c>
      <c r="H108">
        <v>29931.318</v>
      </c>
      <c r="I108">
        <v>2</v>
      </c>
      <c r="J108">
        <v>1</v>
      </c>
      <c r="K108">
        <v>0</v>
      </c>
      <c r="L108">
        <v>0.154</v>
      </c>
      <c r="M108">
        <v>463.448</v>
      </c>
      <c r="N108">
        <v>0.15</v>
      </c>
      <c r="O108">
        <v>0</v>
      </c>
      <c r="P108">
        <v>0.003</v>
      </c>
      <c r="Q108">
        <v>0</v>
      </c>
      <c r="R108">
        <v>0</v>
      </c>
      <c r="S108" t="s">
        <v>22</v>
      </c>
      <c r="T108" t="s">
        <v>22</v>
      </c>
      <c r="U108">
        <v>463.45</v>
      </c>
      <c r="V108">
        <v>459.567</v>
      </c>
    </row>
    <row r="109" spans="2:22">
      <c r="B109">
        <v>108</v>
      </c>
      <c r="C109" t="s">
        <v>129</v>
      </c>
      <c r="D109">
        <v>80</v>
      </c>
      <c r="E109">
        <v>36.394</v>
      </c>
      <c r="F109">
        <v>30395.637</v>
      </c>
      <c r="G109">
        <v>30421.045</v>
      </c>
      <c r="H109">
        <v>30446.453</v>
      </c>
      <c r="I109">
        <v>2</v>
      </c>
      <c r="J109">
        <v>1</v>
      </c>
      <c r="K109">
        <v>0</v>
      </c>
      <c r="L109">
        <v>0.236</v>
      </c>
      <c r="M109">
        <v>463.212</v>
      </c>
      <c r="N109">
        <v>0.232</v>
      </c>
      <c r="O109">
        <v>0</v>
      </c>
      <c r="P109">
        <v>0.004</v>
      </c>
      <c r="Q109">
        <v>0</v>
      </c>
      <c r="R109">
        <v>0</v>
      </c>
      <c r="S109" t="s">
        <v>22</v>
      </c>
      <c r="T109" t="s">
        <v>22</v>
      </c>
      <c r="U109">
        <v>463.214</v>
      </c>
      <c r="V109">
        <v>459.331</v>
      </c>
    </row>
    <row r="110" spans="2:22">
      <c r="B110">
        <v>109</v>
      </c>
      <c r="C110" t="s">
        <v>130</v>
      </c>
      <c r="D110">
        <v>0</v>
      </c>
      <c r="E110">
        <v>0</v>
      </c>
      <c r="F110">
        <v>31033.645</v>
      </c>
      <c r="G110">
        <v>31033.645</v>
      </c>
      <c r="H110">
        <v>31033.645</v>
      </c>
      <c r="I110">
        <v>2</v>
      </c>
      <c r="J110">
        <v>1</v>
      </c>
      <c r="K110">
        <v>2</v>
      </c>
      <c r="L110">
        <v>0.215</v>
      </c>
      <c r="M110">
        <v>462.997</v>
      </c>
      <c r="N110">
        <v>0.278</v>
      </c>
      <c r="O110">
        <v>-0.063</v>
      </c>
      <c r="P110">
        <v>0</v>
      </c>
      <c r="Q110">
        <v>0</v>
      </c>
      <c r="R110">
        <v>0</v>
      </c>
      <c r="S110">
        <v>462.997</v>
      </c>
      <c r="T110">
        <v>459.028</v>
      </c>
      <c r="U110">
        <v>462.934</v>
      </c>
      <c r="V110">
        <v>459.051</v>
      </c>
    </row>
    <row r="111" spans="2:22">
      <c r="B111">
        <v>110</v>
      </c>
      <c r="C111" t="s">
        <v>131</v>
      </c>
      <c r="D111">
        <v>0</v>
      </c>
      <c r="E111">
        <v>0</v>
      </c>
      <c r="F111">
        <v>31068.197</v>
      </c>
      <c r="G111">
        <v>31068.197</v>
      </c>
      <c r="H111">
        <v>31068.197</v>
      </c>
      <c r="I111">
        <v>3</v>
      </c>
      <c r="J111">
        <v>1</v>
      </c>
      <c r="K111">
        <v>1</v>
      </c>
      <c r="L111">
        <v>0.102</v>
      </c>
      <c r="M111">
        <v>462.895</v>
      </c>
      <c r="N111">
        <v>0.004</v>
      </c>
      <c r="O111">
        <v>0.097</v>
      </c>
      <c r="P111">
        <v>0</v>
      </c>
      <c r="Q111">
        <v>0</v>
      </c>
      <c r="R111">
        <v>0</v>
      </c>
      <c r="S111">
        <v>462.992</v>
      </c>
      <c r="T111">
        <v>459.023</v>
      </c>
      <c r="U111">
        <v>462.895</v>
      </c>
      <c r="V111">
        <v>458.974</v>
      </c>
    </row>
    <row r="112" spans="2:22">
      <c r="B112">
        <v>111</v>
      </c>
      <c r="C112" t="s">
        <v>132</v>
      </c>
      <c r="D112">
        <v>80</v>
      </c>
      <c r="E112">
        <v>49.097</v>
      </c>
      <c r="F112">
        <v>31156.811</v>
      </c>
      <c r="G112">
        <v>31191.086</v>
      </c>
      <c r="H112">
        <v>31225.363</v>
      </c>
      <c r="I112">
        <v>3</v>
      </c>
      <c r="J112">
        <v>1</v>
      </c>
      <c r="K112">
        <v>0</v>
      </c>
      <c r="L112">
        <v>0.054</v>
      </c>
      <c r="M112">
        <v>462.841</v>
      </c>
      <c r="N112">
        <v>0.049</v>
      </c>
      <c r="O112">
        <v>0</v>
      </c>
      <c r="P112">
        <v>0.005</v>
      </c>
      <c r="Q112">
        <v>0</v>
      </c>
      <c r="R112">
        <v>0</v>
      </c>
      <c r="S112" t="s">
        <v>22</v>
      </c>
      <c r="T112" t="s">
        <v>22</v>
      </c>
      <c r="U112">
        <v>462.844</v>
      </c>
      <c r="V112">
        <v>458.923</v>
      </c>
    </row>
    <row r="113" spans="2:22">
      <c r="B113">
        <v>112</v>
      </c>
      <c r="C113" t="s">
        <v>133</v>
      </c>
      <c r="D113">
        <v>0</v>
      </c>
      <c r="E113">
        <v>0</v>
      </c>
      <c r="F113">
        <v>31357.492</v>
      </c>
      <c r="G113">
        <v>31357.492</v>
      </c>
      <c r="H113">
        <v>31357.492</v>
      </c>
      <c r="I113">
        <v>3</v>
      </c>
      <c r="J113">
        <v>1</v>
      </c>
      <c r="K113">
        <v>2</v>
      </c>
      <c r="L113">
        <v>0.016</v>
      </c>
      <c r="M113">
        <v>462.825</v>
      </c>
      <c r="N113">
        <v>0.067</v>
      </c>
      <c r="O113">
        <v>-0.051</v>
      </c>
      <c r="P113">
        <v>0</v>
      </c>
      <c r="Q113">
        <v>0</v>
      </c>
      <c r="R113">
        <v>0</v>
      </c>
      <c r="S113">
        <v>462.825</v>
      </c>
      <c r="T113">
        <v>458.856</v>
      </c>
      <c r="U113">
        <v>462.775</v>
      </c>
      <c r="V113">
        <v>458.854</v>
      </c>
    </row>
    <row r="114" spans="2:22">
      <c r="B114">
        <v>113</v>
      </c>
      <c r="C114" t="s">
        <v>134</v>
      </c>
      <c r="D114">
        <v>80</v>
      </c>
      <c r="E114">
        <v>15.993</v>
      </c>
      <c r="F114">
        <v>31514.002</v>
      </c>
      <c r="G114">
        <v>31525.168</v>
      </c>
      <c r="H114">
        <v>31536.334</v>
      </c>
      <c r="I114">
        <v>1</v>
      </c>
      <c r="J114">
        <v>2</v>
      </c>
      <c r="K114">
        <v>0</v>
      </c>
      <c r="L114">
        <v>0.031</v>
      </c>
      <c r="M114">
        <v>462.794</v>
      </c>
      <c r="N114">
        <v>0.027</v>
      </c>
      <c r="O114">
        <v>0</v>
      </c>
      <c r="P114">
        <v>0.001</v>
      </c>
      <c r="Q114">
        <v>0.003</v>
      </c>
      <c r="R114">
        <v>0</v>
      </c>
      <c r="S114" t="s">
        <v>22</v>
      </c>
      <c r="T114" t="s">
        <v>22</v>
      </c>
      <c r="U114">
        <v>462.795</v>
      </c>
      <c r="V114">
        <v>458.826</v>
      </c>
    </row>
    <row r="115" spans="2:22">
      <c r="B115">
        <v>114</v>
      </c>
      <c r="C115" t="s">
        <v>135</v>
      </c>
      <c r="D115">
        <v>0</v>
      </c>
      <c r="E115">
        <v>0</v>
      </c>
      <c r="F115">
        <v>31547.65</v>
      </c>
      <c r="G115">
        <v>31547.65</v>
      </c>
      <c r="H115">
        <v>31547.65</v>
      </c>
      <c r="I115">
        <v>3</v>
      </c>
      <c r="J115">
        <v>1</v>
      </c>
      <c r="K115">
        <v>1</v>
      </c>
      <c r="L115">
        <v>0.1</v>
      </c>
      <c r="M115">
        <v>462.694</v>
      </c>
      <c r="N115">
        <v>0.003</v>
      </c>
      <c r="O115">
        <v>0.097</v>
      </c>
      <c r="P115">
        <v>0</v>
      </c>
      <c r="Q115">
        <v>0</v>
      </c>
      <c r="R115">
        <v>0</v>
      </c>
      <c r="S115">
        <v>462.791</v>
      </c>
      <c r="T115">
        <v>458.822</v>
      </c>
      <c r="U115">
        <v>462.694</v>
      </c>
      <c r="V115">
        <v>458.773</v>
      </c>
    </row>
    <row r="116" spans="2:22">
      <c r="B116">
        <v>115</v>
      </c>
      <c r="C116" t="s">
        <v>136</v>
      </c>
      <c r="D116">
        <v>0</v>
      </c>
      <c r="E116">
        <v>0</v>
      </c>
      <c r="F116">
        <v>31659.572</v>
      </c>
      <c r="G116">
        <v>31659.572</v>
      </c>
      <c r="H116">
        <v>31659.572</v>
      </c>
      <c r="I116">
        <v>3</v>
      </c>
      <c r="J116">
        <v>1</v>
      </c>
      <c r="K116">
        <v>2</v>
      </c>
      <c r="L116">
        <v>-0.006</v>
      </c>
      <c r="M116">
        <v>462.7</v>
      </c>
      <c r="N116">
        <v>0.045</v>
      </c>
      <c r="O116">
        <v>-0.051</v>
      </c>
      <c r="P116">
        <v>0</v>
      </c>
      <c r="Q116">
        <v>0</v>
      </c>
      <c r="R116">
        <v>0</v>
      </c>
      <c r="S116">
        <v>462.7</v>
      </c>
      <c r="T116">
        <v>458.731</v>
      </c>
      <c r="U116">
        <v>462.649</v>
      </c>
      <c r="V116">
        <v>458.728</v>
      </c>
    </row>
    <row r="117" spans="2:22">
      <c r="B117">
        <v>116</v>
      </c>
      <c r="C117" t="s">
        <v>137</v>
      </c>
      <c r="D117">
        <v>0</v>
      </c>
      <c r="E117">
        <v>0</v>
      </c>
      <c r="F117">
        <v>31724.58</v>
      </c>
      <c r="G117">
        <v>31724.58</v>
      </c>
      <c r="H117">
        <v>31724.58</v>
      </c>
      <c r="I117">
        <v>2</v>
      </c>
      <c r="J117">
        <v>1</v>
      </c>
      <c r="K117">
        <v>1</v>
      </c>
      <c r="L117">
        <v>0.131</v>
      </c>
      <c r="M117">
        <v>462.568</v>
      </c>
      <c r="N117">
        <v>0.009</v>
      </c>
      <c r="O117">
        <v>0.121</v>
      </c>
      <c r="P117">
        <v>0</v>
      </c>
      <c r="Q117">
        <v>0.001</v>
      </c>
      <c r="R117">
        <v>0</v>
      </c>
      <c r="S117">
        <v>462.689</v>
      </c>
      <c r="T117">
        <v>458.72</v>
      </c>
      <c r="U117">
        <v>462.568</v>
      </c>
      <c r="V117">
        <v>458.685</v>
      </c>
    </row>
    <row r="118" spans="2:22">
      <c r="B118">
        <v>117</v>
      </c>
      <c r="C118" t="s">
        <v>138</v>
      </c>
      <c r="D118">
        <v>80</v>
      </c>
      <c r="E118">
        <v>3.667</v>
      </c>
      <c r="F118">
        <v>31792.168</v>
      </c>
      <c r="G118">
        <v>31794.727</v>
      </c>
      <c r="H118">
        <v>31797.287</v>
      </c>
      <c r="I118">
        <v>2</v>
      </c>
      <c r="J118">
        <v>1</v>
      </c>
      <c r="K118">
        <v>0</v>
      </c>
      <c r="L118">
        <v>0.032</v>
      </c>
      <c r="M118">
        <v>462.536</v>
      </c>
      <c r="N118">
        <v>0.032</v>
      </c>
      <c r="O118">
        <v>0</v>
      </c>
      <c r="P118">
        <v>0</v>
      </c>
      <c r="Q118">
        <v>0</v>
      </c>
      <c r="R118">
        <v>0</v>
      </c>
      <c r="S118" t="s">
        <v>22</v>
      </c>
      <c r="T118" t="s">
        <v>22</v>
      </c>
      <c r="U118">
        <v>462.536</v>
      </c>
      <c r="V118">
        <v>458.653</v>
      </c>
    </row>
    <row r="119" spans="2:22">
      <c r="B119">
        <v>118</v>
      </c>
      <c r="C119" t="s">
        <v>139</v>
      </c>
      <c r="D119">
        <v>0</v>
      </c>
      <c r="E119">
        <v>0</v>
      </c>
      <c r="F119">
        <v>31868.627</v>
      </c>
      <c r="G119">
        <v>31868.627</v>
      </c>
      <c r="H119">
        <v>31868.627</v>
      </c>
      <c r="I119">
        <v>2</v>
      </c>
      <c r="J119">
        <v>1</v>
      </c>
      <c r="K119">
        <v>2</v>
      </c>
      <c r="L119">
        <v>-0.03</v>
      </c>
      <c r="M119">
        <v>462.566</v>
      </c>
      <c r="N119">
        <v>0.034</v>
      </c>
      <c r="O119">
        <v>-0.063</v>
      </c>
      <c r="P119">
        <v>0</v>
      </c>
      <c r="Q119">
        <v>0</v>
      </c>
      <c r="R119">
        <v>0</v>
      </c>
      <c r="S119">
        <v>462.566</v>
      </c>
      <c r="T119">
        <v>458.597</v>
      </c>
      <c r="U119">
        <v>462.503</v>
      </c>
      <c r="V119">
        <v>458.62</v>
      </c>
    </row>
    <row r="120" spans="2:22">
      <c r="B120">
        <v>119</v>
      </c>
      <c r="C120" t="s">
        <v>140</v>
      </c>
      <c r="D120">
        <v>80</v>
      </c>
      <c r="E120">
        <v>8.968</v>
      </c>
      <c r="F120">
        <v>31998.789</v>
      </c>
      <c r="G120">
        <v>32005.051</v>
      </c>
      <c r="H120">
        <v>32011.311</v>
      </c>
      <c r="I120">
        <v>1</v>
      </c>
      <c r="J120">
        <v>2</v>
      </c>
      <c r="K120">
        <v>0</v>
      </c>
      <c r="L120">
        <v>0.025</v>
      </c>
      <c r="M120">
        <v>462.541</v>
      </c>
      <c r="N120">
        <v>0.022</v>
      </c>
      <c r="O120">
        <v>0</v>
      </c>
      <c r="P120">
        <v>0</v>
      </c>
      <c r="Q120">
        <v>0.003</v>
      </c>
      <c r="R120">
        <v>0</v>
      </c>
      <c r="S120" t="s">
        <v>22</v>
      </c>
      <c r="T120" t="s">
        <v>22</v>
      </c>
      <c r="U120">
        <v>462.541</v>
      </c>
      <c r="V120">
        <v>458.572</v>
      </c>
    </row>
    <row r="121" spans="2:22">
      <c r="B121">
        <v>120</v>
      </c>
      <c r="C121" t="s">
        <v>141</v>
      </c>
      <c r="D121">
        <v>80</v>
      </c>
      <c r="E121">
        <v>28.57</v>
      </c>
      <c r="F121">
        <v>32168.594</v>
      </c>
      <c r="G121">
        <v>32188.539</v>
      </c>
      <c r="H121">
        <v>32208.484</v>
      </c>
      <c r="I121">
        <v>1</v>
      </c>
      <c r="J121">
        <v>2</v>
      </c>
      <c r="K121">
        <v>0</v>
      </c>
      <c r="L121">
        <v>0.036</v>
      </c>
      <c r="M121">
        <v>462.505</v>
      </c>
      <c r="N121">
        <v>0.031</v>
      </c>
      <c r="O121">
        <v>0</v>
      </c>
      <c r="P121">
        <v>0.001</v>
      </c>
      <c r="Q121">
        <v>0.004</v>
      </c>
      <c r="R121">
        <v>0</v>
      </c>
      <c r="S121" t="s">
        <v>22</v>
      </c>
      <c r="T121" t="s">
        <v>22</v>
      </c>
      <c r="U121">
        <v>462.506</v>
      </c>
      <c r="V121">
        <v>458.537</v>
      </c>
    </row>
    <row r="122" spans="2:22">
      <c r="B122">
        <v>121</v>
      </c>
      <c r="C122" t="s">
        <v>142</v>
      </c>
      <c r="D122">
        <v>80</v>
      </c>
      <c r="E122">
        <v>21.211</v>
      </c>
      <c r="F122">
        <v>32266.822</v>
      </c>
      <c r="G122">
        <v>32281.631</v>
      </c>
      <c r="H122">
        <v>32296.438</v>
      </c>
      <c r="I122">
        <v>1</v>
      </c>
      <c r="J122">
        <v>2</v>
      </c>
      <c r="K122">
        <v>0</v>
      </c>
      <c r="L122">
        <v>0.018</v>
      </c>
      <c r="M122">
        <v>462.486</v>
      </c>
      <c r="N122">
        <v>0.016</v>
      </c>
      <c r="O122">
        <v>0</v>
      </c>
      <c r="P122">
        <v>0.001</v>
      </c>
      <c r="Q122">
        <v>0.002</v>
      </c>
      <c r="R122">
        <v>0</v>
      </c>
      <c r="S122" t="s">
        <v>22</v>
      </c>
      <c r="T122" t="s">
        <v>22</v>
      </c>
      <c r="U122">
        <v>462.487</v>
      </c>
      <c r="V122">
        <v>458.518</v>
      </c>
    </row>
    <row r="123" spans="2:22">
      <c r="B123">
        <v>122</v>
      </c>
      <c r="C123" t="s">
        <v>143</v>
      </c>
      <c r="D123">
        <v>80</v>
      </c>
      <c r="E123">
        <v>46.801</v>
      </c>
      <c r="F123">
        <v>32501.982</v>
      </c>
      <c r="G123">
        <v>32534.656</v>
      </c>
      <c r="H123">
        <v>32567.328</v>
      </c>
      <c r="I123">
        <v>1</v>
      </c>
      <c r="J123">
        <v>2</v>
      </c>
      <c r="K123">
        <v>0</v>
      </c>
      <c r="L123">
        <v>0.05</v>
      </c>
      <c r="M123">
        <v>462.437</v>
      </c>
      <c r="N123">
        <v>0.042</v>
      </c>
      <c r="O123">
        <v>0</v>
      </c>
      <c r="P123">
        <v>0.002</v>
      </c>
      <c r="Q123">
        <v>0.005</v>
      </c>
      <c r="R123">
        <v>0</v>
      </c>
      <c r="S123" t="s">
        <v>22</v>
      </c>
      <c r="T123" t="s">
        <v>22</v>
      </c>
      <c r="U123">
        <v>462.438</v>
      </c>
      <c r="V123">
        <v>458.469</v>
      </c>
    </row>
    <row r="124" spans="2:22">
      <c r="B124">
        <v>123</v>
      </c>
      <c r="C124" t="s">
        <v>144</v>
      </c>
      <c r="D124">
        <v>80</v>
      </c>
      <c r="E124">
        <v>15.235</v>
      </c>
      <c r="F124">
        <v>32645.602</v>
      </c>
      <c r="G124">
        <v>32656.238</v>
      </c>
      <c r="H124">
        <v>32666.873</v>
      </c>
      <c r="I124">
        <v>1</v>
      </c>
      <c r="J124">
        <v>2</v>
      </c>
      <c r="K124">
        <v>0</v>
      </c>
      <c r="L124">
        <v>0.023</v>
      </c>
      <c r="M124">
        <v>462.413</v>
      </c>
      <c r="N124">
        <v>0.02</v>
      </c>
      <c r="O124">
        <v>0</v>
      </c>
      <c r="P124">
        <v>0.001</v>
      </c>
      <c r="Q124">
        <v>0.002</v>
      </c>
      <c r="R124">
        <v>0</v>
      </c>
      <c r="S124" t="s">
        <v>22</v>
      </c>
      <c r="T124" t="s">
        <v>22</v>
      </c>
      <c r="U124">
        <v>462.414</v>
      </c>
      <c r="V124">
        <v>458.445</v>
      </c>
    </row>
    <row r="125" spans="2:22">
      <c r="B125">
        <v>124</v>
      </c>
      <c r="C125" t="s">
        <v>145</v>
      </c>
      <c r="D125">
        <v>80</v>
      </c>
      <c r="E125">
        <v>1.651</v>
      </c>
      <c r="F125">
        <v>32786.902</v>
      </c>
      <c r="G125">
        <v>32788.055</v>
      </c>
      <c r="H125">
        <v>32789.207</v>
      </c>
      <c r="I125">
        <v>1</v>
      </c>
      <c r="J125">
        <v>2</v>
      </c>
      <c r="K125">
        <v>0</v>
      </c>
      <c r="L125">
        <v>0.025</v>
      </c>
      <c r="M125">
        <v>462.389</v>
      </c>
      <c r="N125">
        <v>0.022</v>
      </c>
      <c r="O125">
        <v>0</v>
      </c>
      <c r="P125">
        <v>0</v>
      </c>
      <c r="Q125">
        <v>0.003</v>
      </c>
      <c r="R125">
        <v>0</v>
      </c>
      <c r="S125" t="s">
        <v>22</v>
      </c>
      <c r="T125" t="s">
        <v>22</v>
      </c>
      <c r="U125">
        <v>462.389</v>
      </c>
      <c r="V125">
        <v>458.42</v>
      </c>
    </row>
    <row r="126" spans="2:22">
      <c r="B126">
        <v>125</v>
      </c>
      <c r="C126" t="s">
        <v>146</v>
      </c>
      <c r="D126">
        <v>0</v>
      </c>
      <c r="E126">
        <v>0</v>
      </c>
      <c r="F126">
        <v>32812.031</v>
      </c>
      <c r="G126">
        <v>32812.031</v>
      </c>
      <c r="H126">
        <v>32812.031</v>
      </c>
      <c r="I126">
        <v>2</v>
      </c>
      <c r="J126">
        <v>1</v>
      </c>
      <c r="K126">
        <v>1</v>
      </c>
      <c r="L126">
        <v>0.124</v>
      </c>
      <c r="M126">
        <v>462.264</v>
      </c>
      <c r="N126">
        <v>0.003</v>
      </c>
      <c r="O126">
        <v>0.121</v>
      </c>
      <c r="P126">
        <v>0</v>
      </c>
      <c r="Q126">
        <v>0</v>
      </c>
      <c r="R126">
        <v>0</v>
      </c>
      <c r="S126">
        <v>462.385</v>
      </c>
      <c r="T126">
        <v>458.416</v>
      </c>
      <c r="U126">
        <v>462.264</v>
      </c>
      <c r="V126">
        <v>458.381</v>
      </c>
    </row>
    <row r="127" spans="2:22">
      <c r="B127">
        <v>126</v>
      </c>
      <c r="C127" t="s">
        <v>147</v>
      </c>
      <c r="D127">
        <v>80</v>
      </c>
      <c r="E127">
        <v>24.626</v>
      </c>
      <c r="F127">
        <v>32992.082</v>
      </c>
      <c r="G127">
        <v>33009.273</v>
      </c>
      <c r="H127">
        <v>33026.465</v>
      </c>
      <c r="I127">
        <v>2</v>
      </c>
      <c r="J127">
        <v>1</v>
      </c>
      <c r="K127">
        <v>0</v>
      </c>
      <c r="L127">
        <v>0.093</v>
      </c>
      <c r="M127">
        <v>462.172</v>
      </c>
      <c r="N127">
        <v>0.09</v>
      </c>
      <c r="O127">
        <v>0</v>
      </c>
      <c r="P127">
        <v>0.003</v>
      </c>
      <c r="Q127">
        <v>0</v>
      </c>
      <c r="R127">
        <v>0</v>
      </c>
      <c r="S127" t="s">
        <v>22</v>
      </c>
      <c r="T127" t="s">
        <v>22</v>
      </c>
      <c r="U127">
        <v>462.173</v>
      </c>
      <c r="V127">
        <v>458.29</v>
      </c>
    </row>
    <row r="128" spans="2:22">
      <c r="B128">
        <v>127</v>
      </c>
      <c r="C128" t="s">
        <v>148</v>
      </c>
      <c r="D128">
        <v>0</v>
      </c>
      <c r="E128">
        <v>0</v>
      </c>
      <c r="F128">
        <v>33046.668</v>
      </c>
      <c r="G128">
        <v>33046.668</v>
      </c>
      <c r="H128">
        <v>33046.668</v>
      </c>
      <c r="I128">
        <v>2</v>
      </c>
      <c r="J128">
        <v>1</v>
      </c>
      <c r="K128">
        <v>2</v>
      </c>
      <c r="L128">
        <v>-0.046</v>
      </c>
      <c r="M128">
        <v>462.218</v>
      </c>
      <c r="N128">
        <v>0.017</v>
      </c>
      <c r="O128">
        <v>-0.063</v>
      </c>
      <c r="P128">
        <v>0</v>
      </c>
      <c r="Q128">
        <v>0</v>
      </c>
      <c r="R128">
        <v>0</v>
      </c>
      <c r="S128">
        <v>462.218</v>
      </c>
      <c r="T128">
        <v>458.249</v>
      </c>
      <c r="U128">
        <v>462.155</v>
      </c>
      <c r="V128">
        <v>458.272</v>
      </c>
    </row>
    <row r="129" spans="2:22">
      <c r="B129">
        <v>128</v>
      </c>
      <c r="C129" t="s">
        <v>149</v>
      </c>
      <c r="D129">
        <v>0</v>
      </c>
      <c r="E129">
        <v>0</v>
      </c>
      <c r="F129">
        <v>33087.691</v>
      </c>
      <c r="G129">
        <v>33087.691</v>
      </c>
      <c r="H129">
        <v>33087.691</v>
      </c>
      <c r="I129">
        <v>2</v>
      </c>
      <c r="J129">
        <v>1</v>
      </c>
      <c r="K129">
        <v>1</v>
      </c>
      <c r="L129">
        <v>0.127</v>
      </c>
      <c r="M129">
        <v>462.091</v>
      </c>
      <c r="N129">
        <v>0.005</v>
      </c>
      <c r="O129">
        <v>0.121</v>
      </c>
      <c r="P129">
        <v>0</v>
      </c>
      <c r="Q129">
        <v>0.001</v>
      </c>
      <c r="R129">
        <v>0</v>
      </c>
      <c r="S129">
        <v>462.212</v>
      </c>
      <c r="T129">
        <v>458.243</v>
      </c>
      <c r="U129">
        <v>462.091</v>
      </c>
      <c r="V129">
        <v>458.208</v>
      </c>
    </row>
    <row r="130" spans="2:22">
      <c r="B130">
        <v>129</v>
      </c>
      <c r="C130" t="s">
        <v>150</v>
      </c>
      <c r="D130">
        <v>0</v>
      </c>
      <c r="E130">
        <v>0</v>
      </c>
      <c r="F130">
        <v>33246.309</v>
      </c>
      <c r="G130">
        <v>33246.309</v>
      </c>
      <c r="H130">
        <v>33246.309</v>
      </c>
      <c r="I130">
        <v>2</v>
      </c>
      <c r="J130">
        <v>1</v>
      </c>
      <c r="K130">
        <v>2</v>
      </c>
      <c r="L130">
        <v>0.009</v>
      </c>
      <c r="M130">
        <v>462.082</v>
      </c>
      <c r="N130">
        <v>0.072</v>
      </c>
      <c r="O130">
        <v>-0.063</v>
      </c>
      <c r="P130">
        <v>0</v>
      </c>
      <c r="Q130">
        <v>0</v>
      </c>
      <c r="R130">
        <v>0</v>
      </c>
      <c r="S130">
        <v>462.082</v>
      </c>
      <c r="T130">
        <v>458.113</v>
      </c>
      <c r="U130">
        <v>462.019</v>
      </c>
      <c r="V130">
        <v>458.136</v>
      </c>
    </row>
    <row r="131" spans="2:22">
      <c r="B131">
        <v>130</v>
      </c>
      <c r="C131" t="s">
        <v>151</v>
      </c>
      <c r="D131">
        <v>40</v>
      </c>
      <c r="E131">
        <v>17.978</v>
      </c>
      <c r="F131">
        <v>33251.402</v>
      </c>
      <c r="G131">
        <v>33257.676</v>
      </c>
      <c r="H131">
        <v>33263.953</v>
      </c>
      <c r="I131">
        <v>1</v>
      </c>
      <c r="J131">
        <v>2</v>
      </c>
      <c r="K131">
        <v>0</v>
      </c>
      <c r="L131">
        <v>0.002</v>
      </c>
      <c r="M131">
        <v>462.08</v>
      </c>
      <c r="N131">
        <v>0.001</v>
      </c>
      <c r="O131">
        <v>0</v>
      </c>
      <c r="P131">
        <v>0.001</v>
      </c>
      <c r="Q131">
        <v>0</v>
      </c>
      <c r="R131">
        <v>0</v>
      </c>
      <c r="S131" t="s">
        <v>22</v>
      </c>
      <c r="T131" t="s">
        <v>22</v>
      </c>
      <c r="U131">
        <v>462.081</v>
      </c>
      <c r="V131">
        <v>458.112</v>
      </c>
    </row>
    <row r="132" spans="2:22">
      <c r="B132">
        <v>131</v>
      </c>
      <c r="C132" t="s">
        <v>152</v>
      </c>
      <c r="D132">
        <v>0</v>
      </c>
      <c r="E132">
        <v>0</v>
      </c>
      <c r="F132">
        <v>33297.613</v>
      </c>
      <c r="G132">
        <v>33297.613</v>
      </c>
      <c r="H132">
        <v>33297.613</v>
      </c>
      <c r="I132">
        <v>2</v>
      </c>
      <c r="J132">
        <v>1</v>
      </c>
      <c r="K132">
        <v>1</v>
      </c>
      <c r="L132">
        <v>0.127</v>
      </c>
      <c r="M132">
        <v>461.953</v>
      </c>
      <c r="N132">
        <v>0.006</v>
      </c>
      <c r="O132">
        <v>0.121</v>
      </c>
      <c r="P132">
        <v>0</v>
      </c>
      <c r="Q132">
        <v>0.001</v>
      </c>
      <c r="R132">
        <v>0</v>
      </c>
      <c r="S132">
        <v>462.074</v>
      </c>
      <c r="T132">
        <v>458.105</v>
      </c>
      <c r="U132">
        <v>461.953</v>
      </c>
      <c r="V132">
        <v>458.07</v>
      </c>
    </row>
    <row r="133" spans="2:22">
      <c r="B133">
        <v>132</v>
      </c>
      <c r="C133" t="s">
        <v>153</v>
      </c>
      <c r="D133">
        <v>0</v>
      </c>
      <c r="E133">
        <v>0</v>
      </c>
      <c r="F133">
        <v>33474.199</v>
      </c>
      <c r="G133">
        <v>33474.199</v>
      </c>
      <c r="H133">
        <v>33474.199</v>
      </c>
      <c r="I133">
        <v>2</v>
      </c>
      <c r="J133">
        <v>1</v>
      </c>
      <c r="K133">
        <v>2</v>
      </c>
      <c r="L133">
        <v>0.017</v>
      </c>
      <c r="M133">
        <v>461.936</v>
      </c>
      <c r="N133">
        <v>0.08</v>
      </c>
      <c r="O133">
        <v>-0.063</v>
      </c>
      <c r="P133">
        <v>0</v>
      </c>
      <c r="Q133">
        <v>0</v>
      </c>
      <c r="R133">
        <v>0</v>
      </c>
      <c r="S133">
        <v>461.936</v>
      </c>
      <c r="T133">
        <v>457.967</v>
      </c>
      <c r="U133">
        <v>461.873</v>
      </c>
      <c r="V133">
        <v>457.99</v>
      </c>
    </row>
    <row r="134" spans="2:22">
      <c r="B134">
        <v>133</v>
      </c>
      <c r="C134" t="s">
        <v>154</v>
      </c>
      <c r="D134">
        <v>80</v>
      </c>
      <c r="E134">
        <v>54.789</v>
      </c>
      <c r="F134">
        <v>33600.895</v>
      </c>
      <c r="G134">
        <v>33639.145</v>
      </c>
      <c r="H134">
        <v>33677.395</v>
      </c>
      <c r="I134">
        <v>1</v>
      </c>
      <c r="J134">
        <v>2</v>
      </c>
      <c r="K134">
        <v>0</v>
      </c>
      <c r="L134">
        <v>0.033</v>
      </c>
      <c r="M134">
        <v>461.903</v>
      </c>
      <c r="N134">
        <v>0.027</v>
      </c>
      <c r="O134">
        <v>0</v>
      </c>
      <c r="P134">
        <v>0.003</v>
      </c>
      <c r="Q134">
        <v>0.003</v>
      </c>
      <c r="R134">
        <v>0</v>
      </c>
      <c r="S134" t="s">
        <v>22</v>
      </c>
      <c r="T134" t="s">
        <v>22</v>
      </c>
      <c r="U134">
        <v>461.904</v>
      </c>
      <c r="V134">
        <v>457.935</v>
      </c>
    </row>
    <row r="135" spans="2:22">
      <c r="B135">
        <v>134</v>
      </c>
      <c r="C135" t="s">
        <v>155</v>
      </c>
      <c r="D135">
        <v>0</v>
      </c>
      <c r="E135">
        <v>0</v>
      </c>
      <c r="F135">
        <v>33716.637</v>
      </c>
      <c r="G135">
        <v>33716.637</v>
      </c>
      <c r="H135">
        <v>33716.637</v>
      </c>
      <c r="I135">
        <v>2</v>
      </c>
      <c r="J135">
        <v>1</v>
      </c>
      <c r="K135">
        <v>1</v>
      </c>
      <c r="L135">
        <v>0.134</v>
      </c>
      <c r="M135">
        <v>461.768</v>
      </c>
      <c r="N135">
        <v>0.012</v>
      </c>
      <c r="O135">
        <v>0.121</v>
      </c>
      <c r="P135">
        <v>0</v>
      </c>
      <c r="Q135">
        <v>0.001</v>
      </c>
      <c r="R135">
        <v>0</v>
      </c>
      <c r="S135">
        <v>461.889</v>
      </c>
      <c r="T135">
        <v>457.92</v>
      </c>
      <c r="U135">
        <v>461.768</v>
      </c>
      <c r="V135">
        <v>457.885</v>
      </c>
    </row>
    <row r="136" spans="2:22">
      <c r="B136">
        <v>135</v>
      </c>
      <c r="C136" t="s">
        <v>156</v>
      </c>
      <c r="D136">
        <v>0</v>
      </c>
      <c r="E136">
        <v>0</v>
      </c>
      <c r="F136">
        <v>33843.977</v>
      </c>
      <c r="G136">
        <v>33843.977</v>
      </c>
      <c r="H136">
        <v>33843.977</v>
      </c>
      <c r="I136">
        <v>2</v>
      </c>
      <c r="J136">
        <v>1</v>
      </c>
      <c r="K136">
        <v>2</v>
      </c>
      <c r="L136">
        <v>-0.005</v>
      </c>
      <c r="M136">
        <v>461.774</v>
      </c>
      <c r="N136">
        <v>0.058</v>
      </c>
      <c r="O136">
        <v>-0.063</v>
      </c>
      <c r="P136">
        <v>0</v>
      </c>
      <c r="Q136">
        <v>0</v>
      </c>
      <c r="R136">
        <v>0</v>
      </c>
      <c r="S136">
        <v>461.774</v>
      </c>
      <c r="T136">
        <v>457.805</v>
      </c>
      <c r="U136">
        <v>461.711</v>
      </c>
      <c r="V136">
        <v>457.828</v>
      </c>
    </row>
    <row r="137" spans="2:22">
      <c r="B137">
        <v>136</v>
      </c>
      <c r="C137" t="s">
        <v>157</v>
      </c>
      <c r="D137">
        <v>80</v>
      </c>
      <c r="E137">
        <v>34.533</v>
      </c>
      <c r="F137">
        <v>33886.594</v>
      </c>
      <c r="G137">
        <v>33910.703</v>
      </c>
      <c r="H137">
        <v>33934.812</v>
      </c>
      <c r="I137">
        <v>1</v>
      </c>
      <c r="J137">
        <v>2</v>
      </c>
      <c r="K137">
        <v>0</v>
      </c>
      <c r="L137">
        <v>0.013</v>
      </c>
      <c r="M137">
        <v>461.76</v>
      </c>
      <c r="N137">
        <v>0.01</v>
      </c>
      <c r="O137">
        <v>0</v>
      </c>
      <c r="P137">
        <v>0.002</v>
      </c>
      <c r="Q137">
        <v>0.001</v>
      </c>
      <c r="R137">
        <v>0</v>
      </c>
      <c r="S137" t="s">
        <v>22</v>
      </c>
      <c r="T137" t="s">
        <v>22</v>
      </c>
      <c r="U137">
        <v>461.761</v>
      </c>
      <c r="V137">
        <v>457.792</v>
      </c>
    </row>
    <row r="138" spans="2:22">
      <c r="B138">
        <v>137</v>
      </c>
      <c r="C138" t="s">
        <v>158</v>
      </c>
      <c r="D138">
        <v>0</v>
      </c>
      <c r="E138">
        <v>0</v>
      </c>
      <c r="F138">
        <v>33961.402</v>
      </c>
      <c r="G138">
        <v>33961.402</v>
      </c>
      <c r="H138">
        <v>33961.402</v>
      </c>
      <c r="I138">
        <v>2</v>
      </c>
      <c r="J138">
        <v>1</v>
      </c>
      <c r="K138">
        <v>1</v>
      </c>
      <c r="L138">
        <v>0.129</v>
      </c>
      <c r="M138">
        <v>461.631</v>
      </c>
      <c r="N138">
        <v>0.008</v>
      </c>
      <c r="O138">
        <v>0.121</v>
      </c>
      <c r="P138">
        <v>0</v>
      </c>
      <c r="Q138">
        <v>0.001</v>
      </c>
      <c r="R138">
        <v>0</v>
      </c>
      <c r="S138">
        <v>461.752</v>
      </c>
      <c r="T138">
        <v>457.783</v>
      </c>
      <c r="U138">
        <v>461.631</v>
      </c>
      <c r="V138">
        <v>457.748</v>
      </c>
    </row>
    <row r="139" spans="2:22">
      <c r="B139">
        <v>138</v>
      </c>
      <c r="C139" t="s">
        <v>159</v>
      </c>
      <c r="D139">
        <v>0</v>
      </c>
      <c r="E139">
        <v>0</v>
      </c>
      <c r="F139">
        <v>34177.633</v>
      </c>
      <c r="G139">
        <v>34177.633</v>
      </c>
      <c r="H139">
        <v>34177.633</v>
      </c>
      <c r="I139">
        <v>2</v>
      </c>
      <c r="J139">
        <v>1</v>
      </c>
      <c r="K139">
        <v>2</v>
      </c>
      <c r="L139">
        <v>0.035</v>
      </c>
      <c r="M139">
        <v>461.596</v>
      </c>
      <c r="N139">
        <v>0.098</v>
      </c>
      <c r="O139">
        <v>-0.063</v>
      </c>
      <c r="P139">
        <v>0</v>
      </c>
      <c r="Q139">
        <v>0</v>
      </c>
      <c r="R139">
        <v>0</v>
      </c>
      <c r="S139">
        <v>461.596</v>
      </c>
      <c r="T139">
        <v>457.627</v>
      </c>
      <c r="U139">
        <v>461.533</v>
      </c>
      <c r="V139">
        <v>457.65</v>
      </c>
    </row>
    <row r="140" spans="2:22">
      <c r="B140">
        <v>139</v>
      </c>
      <c r="C140" t="s">
        <v>160</v>
      </c>
      <c r="D140">
        <v>60</v>
      </c>
      <c r="E140">
        <v>15.146</v>
      </c>
      <c r="F140">
        <v>34257.332</v>
      </c>
      <c r="G140">
        <v>34265.262</v>
      </c>
      <c r="H140">
        <v>34273.191</v>
      </c>
      <c r="I140">
        <v>1</v>
      </c>
      <c r="J140">
        <v>2</v>
      </c>
      <c r="K140">
        <v>0</v>
      </c>
      <c r="L140">
        <v>0.016</v>
      </c>
      <c r="M140">
        <v>461.58</v>
      </c>
      <c r="N140">
        <v>0.014</v>
      </c>
      <c r="O140">
        <v>0</v>
      </c>
      <c r="P140">
        <v>0.001</v>
      </c>
      <c r="Q140">
        <v>0.002</v>
      </c>
      <c r="R140">
        <v>0</v>
      </c>
      <c r="S140" t="s">
        <v>22</v>
      </c>
      <c r="T140" t="s">
        <v>22</v>
      </c>
      <c r="U140">
        <v>461.58</v>
      </c>
      <c r="V140">
        <v>457.611</v>
      </c>
    </row>
    <row r="141" spans="2:22">
      <c r="B141">
        <v>140</v>
      </c>
      <c r="C141" t="s">
        <v>161</v>
      </c>
      <c r="D141">
        <v>0</v>
      </c>
      <c r="E141">
        <v>0</v>
      </c>
      <c r="F141">
        <v>34281.641</v>
      </c>
      <c r="G141">
        <v>34281.641</v>
      </c>
      <c r="H141">
        <v>34281.641</v>
      </c>
      <c r="I141">
        <v>2</v>
      </c>
      <c r="J141">
        <v>1</v>
      </c>
      <c r="K141">
        <v>1</v>
      </c>
      <c r="L141">
        <v>0.123</v>
      </c>
      <c r="M141">
        <v>461.457</v>
      </c>
      <c r="N141">
        <v>0.002</v>
      </c>
      <c r="O141">
        <v>0.121</v>
      </c>
      <c r="P141">
        <v>0</v>
      </c>
      <c r="Q141">
        <v>0</v>
      </c>
      <c r="R141">
        <v>0</v>
      </c>
      <c r="S141">
        <v>461.578</v>
      </c>
      <c r="T141">
        <v>457.609</v>
      </c>
      <c r="U141">
        <v>461.457</v>
      </c>
      <c r="V141">
        <v>457.574</v>
      </c>
    </row>
    <row r="142" spans="2:22">
      <c r="B142">
        <v>141</v>
      </c>
      <c r="C142" t="s">
        <v>162</v>
      </c>
      <c r="D142">
        <v>0</v>
      </c>
      <c r="E142">
        <v>0</v>
      </c>
      <c r="F142">
        <v>34329.012</v>
      </c>
      <c r="G142">
        <v>34329.012</v>
      </c>
      <c r="H142">
        <v>34329.012</v>
      </c>
      <c r="I142">
        <v>2</v>
      </c>
      <c r="J142">
        <v>1</v>
      </c>
      <c r="K142">
        <v>2</v>
      </c>
      <c r="L142">
        <v>-0.042</v>
      </c>
      <c r="M142">
        <v>461.498</v>
      </c>
      <c r="N142">
        <v>0.022</v>
      </c>
      <c r="O142">
        <v>-0.063</v>
      </c>
      <c r="P142">
        <v>0</v>
      </c>
      <c r="Q142">
        <v>0</v>
      </c>
      <c r="R142">
        <v>0</v>
      </c>
      <c r="S142">
        <v>461.498</v>
      </c>
      <c r="T142">
        <v>457.529</v>
      </c>
      <c r="U142">
        <v>461.435</v>
      </c>
      <c r="V142">
        <v>457.552</v>
      </c>
    </row>
    <row r="143" spans="2:22">
      <c r="B143">
        <v>142</v>
      </c>
      <c r="C143" t="s">
        <v>163</v>
      </c>
      <c r="D143">
        <v>80</v>
      </c>
      <c r="E143">
        <v>19.839</v>
      </c>
      <c r="F143">
        <v>34352.559</v>
      </c>
      <c r="G143">
        <v>34366.406</v>
      </c>
      <c r="H143">
        <v>34380.258</v>
      </c>
      <c r="I143">
        <v>1</v>
      </c>
      <c r="J143">
        <v>2</v>
      </c>
      <c r="K143">
        <v>0</v>
      </c>
      <c r="L143">
        <v>0.007</v>
      </c>
      <c r="M143">
        <v>461.491</v>
      </c>
      <c r="N143">
        <v>0.005</v>
      </c>
      <c r="O143">
        <v>0</v>
      </c>
      <c r="P143">
        <v>0.001</v>
      </c>
      <c r="Q143">
        <v>0.001</v>
      </c>
      <c r="R143">
        <v>0</v>
      </c>
      <c r="S143" t="s">
        <v>22</v>
      </c>
      <c r="T143" t="s">
        <v>22</v>
      </c>
      <c r="U143">
        <v>461.492</v>
      </c>
      <c r="V143">
        <v>457.523</v>
      </c>
    </row>
    <row r="144" spans="2:22">
      <c r="B144">
        <v>143</v>
      </c>
      <c r="C144" t="s">
        <v>164</v>
      </c>
      <c r="D144">
        <v>40</v>
      </c>
      <c r="E144">
        <v>28.573</v>
      </c>
      <c r="F144">
        <v>34510.152</v>
      </c>
      <c r="G144">
        <v>34520.125</v>
      </c>
      <c r="H144">
        <v>34530.098</v>
      </c>
      <c r="I144">
        <v>1</v>
      </c>
      <c r="J144">
        <v>2</v>
      </c>
      <c r="K144">
        <v>0</v>
      </c>
      <c r="L144">
        <v>0.03</v>
      </c>
      <c r="M144">
        <v>461.461</v>
      </c>
      <c r="N144">
        <v>0.026</v>
      </c>
      <c r="O144">
        <v>0</v>
      </c>
      <c r="P144">
        <v>0.001</v>
      </c>
      <c r="Q144">
        <v>0.003</v>
      </c>
      <c r="R144">
        <v>0</v>
      </c>
      <c r="S144" t="s">
        <v>22</v>
      </c>
      <c r="T144" t="s">
        <v>22</v>
      </c>
      <c r="U144">
        <v>461.462</v>
      </c>
      <c r="V144">
        <v>457.493</v>
      </c>
    </row>
    <row r="145" spans="2:22">
      <c r="B145">
        <v>144</v>
      </c>
      <c r="C145" t="s">
        <v>165</v>
      </c>
      <c r="D145">
        <v>0</v>
      </c>
      <c r="E145">
        <v>0</v>
      </c>
      <c r="F145">
        <v>34538.215</v>
      </c>
      <c r="G145">
        <v>34538.215</v>
      </c>
      <c r="H145">
        <v>34538.215</v>
      </c>
      <c r="I145">
        <v>2</v>
      </c>
      <c r="J145">
        <v>1</v>
      </c>
      <c r="K145">
        <v>1</v>
      </c>
      <c r="L145">
        <v>0.123</v>
      </c>
      <c r="M145">
        <v>461.338</v>
      </c>
      <c r="N145">
        <v>0.002</v>
      </c>
      <c r="O145">
        <v>0.121</v>
      </c>
      <c r="P145">
        <v>0</v>
      </c>
      <c r="Q145">
        <v>0</v>
      </c>
      <c r="R145">
        <v>0</v>
      </c>
      <c r="S145">
        <v>461.459</v>
      </c>
      <c r="T145">
        <v>457.49</v>
      </c>
      <c r="U145">
        <v>461.338</v>
      </c>
      <c r="V145">
        <v>457.455</v>
      </c>
    </row>
    <row r="146" spans="2:22">
      <c r="B146">
        <v>145</v>
      </c>
      <c r="C146" t="s">
        <v>166</v>
      </c>
      <c r="D146">
        <v>0</v>
      </c>
      <c r="E146">
        <v>0</v>
      </c>
      <c r="F146">
        <v>34607.059</v>
      </c>
      <c r="G146">
        <v>34607.059</v>
      </c>
      <c r="H146">
        <v>34607.059</v>
      </c>
      <c r="I146">
        <v>2</v>
      </c>
      <c r="J146">
        <v>1</v>
      </c>
      <c r="K146">
        <v>2</v>
      </c>
      <c r="L146">
        <v>-0.032</v>
      </c>
      <c r="M146">
        <v>461.37</v>
      </c>
      <c r="N146">
        <v>0.031</v>
      </c>
      <c r="O146">
        <v>-0.063</v>
      </c>
      <c r="P146">
        <v>0</v>
      </c>
      <c r="Q146">
        <v>0</v>
      </c>
      <c r="R146">
        <v>0</v>
      </c>
      <c r="S146">
        <v>461.37</v>
      </c>
      <c r="T146">
        <v>457.401</v>
      </c>
      <c r="U146">
        <v>461.307</v>
      </c>
      <c r="V146">
        <v>457.424</v>
      </c>
    </row>
    <row r="147" spans="2:22">
      <c r="B147">
        <v>146</v>
      </c>
      <c r="C147" t="s">
        <v>167</v>
      </c>
      <c r="D147">
        <v>80</v>
      </c>
      <c r="E147">
        <v>24.548</v>
      </c>
      <c r="F147">
        <v>34697.59</v>
      </c>
      <c r="G147">
        <v>34714.727</v>
      </c>
      <c r="H147">
        <v>34731.863</v>
      </c>
      <c r="I147">
        <v>1</v>
      </c>
      <c r="J147">
        <v>2</v>
      </c>
      <c r="K147">
        <v>0</v>
      </c>
      <c r="L147">
        <v>0.02</v>
      </c>
      <c r="M147">
        <v>461.349</v>
      </c>
      <c r="N147">
        <v>0.017</v>
      </c>
      <c r="O147">
        <v>0</v>
      </c>
      <c r="P147">
        <v>0.001</v>
      </c>
      <c r="Q147">
        <v>0.002</v>
      </c>
      <c r="R147">
        <v>0</v>
      </c>
      <c r="S147" t="s">
        <v>22</v>
      </c>
      <c r="T147" t="s">
        <v>22</v>
      </c>
      <c r="U147">
        <v>461.35</v>
      </c>
      <c r="V147">
        <v>457.381</v>
      </c>
    </row>
    <row r="148" spans="2:22">
      <c r="B148">
        <v>147</v>
      </c>
      <c r="C148" t="s">
        <v>168</v>
      </c>
      <c r="D148">
        <v>80</v>
      </c>
      <c r="E148">
        <v>50.482</v>
      </c>
      <c r="F148">
        <v>34856.852</v>
      </c>
      <c r="G148">
        <v>34892.094</v>
      </c>
      <c r="H148">
        <v>34927.34</v>
      </c>
      <c r="I148">
        <v>1</v>
      </c>
      <c r="J148">
        <v>2</v>
      </c>
      <c r="K148">
        <v>0</v>
      </c>
      <c r="L148">
        <v>0.036</v>
      </c>
      <c r="M148">
        <v>461.314</v>
      </c>
      <c r="N148">
        <v>0.03</v>
      </c>
      <c r="O148">
        <v>0</v>
      </c>
      <c r="P148">
        <v>0.003</v>
      </c>
      <c r="Q148">
        <v>0.004</v>
      </c>
      <c r="R148">
        <v>0</v>
      </c>
      <c r="S148" t="s">
        <v>22</v>
      </c>
      <c r="T148" t="s">
        <v>22</v>
      </c>
      <c r="U148">
        <v>461.315</v>
      </c>
      <c r="V148">
        <v>457.346</v>
      </c>
    </row>
    <row r="149" spans="2:22">
      <c r="B149">
        <v>148</v>
      </c>
      <c r="C149" t="s">
        <v>169</v>
      </c>
      <c r="D149">
        <v>80</v>
      </c>
      <c r="E149">
        <v>31.887</v>
      </c>
      <c r="F149">
        <v>35039.18</v>
      </c>
      <c r="G149">
        <v>35061.441</v>
      </c>
      <c r="H149">
        <v>35083.699</v>
      </c>
      <c r="I149">
        <v>1</v>
      </c>
      <c r="J149">
        <v>2</v>
      </c>
      <c r="K149">
        <v>0</v>
      </c>
      <c r="L149">
        <v>0.033</v>
      </c>
      <c r="M149">
        <v>461.281</v>
      </c>
      <c r="N149">
        <v>0.028</v>
      </c>
      <c r="O149">
        <v>0</v>
      </c>
      <c r="P149">
        <v>0.002</v>
      </c>
      <c r="Q149">
        <v>0.003</v>
      </c>
      <c r="R149">
        <v>0</v>
      </c>
      <c r="S149" t="s">
        <v>22</v>
      </c>
      <c r="T149" t="s">
        <v>22</v>
      </c>
      <c r="U149">
        <v>461.281</v>
      </c>
      <c r="V149">
        <v>457.312</v>
      </c>
    </row>
    <row r="150" spans="2:22">
      <c r="B150">
        <v>149</v>
      </c>
      <c r="C150" t="s">
        <v>170</v>
      </c>
      <c r="D150">
        <v>80</v>
      </c>
      <c r="E150">
        <v>32.28</v>
      </c>
      <c r="F150">
        <v>35414.949</v>
      </c>
      <c r="G150">
        <v>35437.484</v>
      </c>
      <c r="H150">
        <v>35460.02</v>
      </c>
      <c r="I150">
        <v>1</v>
      </c>
      <c r="J150">
        <v>2</v>
      </c>
      <c r="K150">
        <v>0</v>
      </c>
      <c r="L150">
        <v>0.072</v>
      </c>
      <c r="M150">
        <v>461.209</v>
      </c>
      <c r="N150">
        <v>0.063</v>
      </c>
      <c r="O150">
        <v>0</v>
      </c>
      <c r="P150">
        <v>0.002</v>
      </c>
      <c r="Q150">
        <v>0.008</v>
      </c>
      <c r="R150">
        <v>0</v>
      </c>
      <c r="S150" t="s">
        <v>22</v>
      </c>
      <c r="T150" t="s">
        <v>22</v>
      </c>
      <c r="U150">
        <v>461.209</v>
      </c>
      <c r="V150">
        <v>457.24</v>
      </c>
    </row>
    <row r="151" spans="2:22">
      <c r="B151">
        <v>150</v>
      </c>
      <c r="C151" t="s">
        <v>171</v>
      </c>
      <c r="D151">
        <v>80</v>
      </c>
      <c r="E151">
        <v>20.029</v>
      </c>
      <c r="F151">
        <v>35640.969</v>
      </c>
      <c r="G151">
        <v>35654.949</v>
      </c>
      <c r="H151">
        <v>35668.934</v>
      </c>
      <c r="I151">
        <v>1</v>
      </c>
      <c r="J151">
        <v>2</v>
      </c>
      <c r="K151">
        <v>0</v>
      </c>
      <c r="L151">
        <v>0.042</v>
      </c>
      <c r="M151">
        <v>461.167</v>
      </c>
      <c r="N151">
        <v>0.036</v>
      </c>
      <c r="O151">
        <v>0</v>
      </c>
      <c r="P151">
        <v>0.001</v>
      </c>
      <c r="Q151">
        <v>0.004</v>
      </c>
      <c r="R151">
        <v>0</v>
      </c>
      <c r="S151" t="s">
        <v>22</v>
      </c>
      <c r="T151" t="s">
        <v>22</v>
      </c>
      <c r="U151">
        <v>461.168</v>
      </c>
      <c r="V151">
        <v>457.199</v>
      </c>
    </row>
    <row r="152" spans="2:22">
      <c r="B152">
        <v>151</v>
      </c>
      <c r="C152" t="s">
        <v>172</v>
      </c>
      <c r="D152">
        <v>0</v>
      </c>
      <c r="E152">
        <v>0</v>
      </c>
      <c r="F152">
        <v>35709.102</v>
      </c>
      <c r="G152">
        <v>35709.102</v>
      </c>
      <c r="H152">
        <v>35709.102</v>
      </c>
      <c r="I152">
        <v>2</v>
      </c>
      <c r="J152">
        <v>1</v>
      </c>
      <c r="K152">
        <v>1</v>
      </c>
      <c r="L152">
        <v>0.13</v>
      </c>
      <c r="M152">
        <v>461.037</v>
      </c>
      <c r="N152">
        <v>0.008</v>
      </c>
      <c r="O152">
        <v>0.121</v>
      </c>
      <c r="P152">
        <v>0</v>
      </c>
      <c r="Q152">
        <v>0.001</v>
      </c>
      <c r="R152">
        <v>0</v>
      </c>
      <c r="S152">
        <v>461.158</v>
      </c>
      <c r="T152">
        <v>457.189</v>
      </c>
      <c r="U152">
        <v>461.037</v>
      </c>
      <c r="V152">
        <v>457.154</v>
      </c>
    </row>
    <row r="153" spans="2:22">
      <c r="B153">
        <v>152</v>
      </c>
      <c r="C153" t="s">
        <v>173</v>
      </c>
      <c r="D153">
        <v>0</v>
      </c>
      <c r="E153">
        <v>0</v>
      </c>
      <c r="F153">
        <v>35857.621</v>
      </c>
      <c r="G153">
        <v>35857.621</v>
      </c>
      <c r="H153">
        <v>35857.621</v>
      </c>
      <c r="I153">
        <v>2</v>
      </c>
      <c r="J153">
        <v>1</v>
      </c>
      <c r="K153">
        <v>2</v>
      </c>
      <c r="L153">
        <v>0.004</v>
      </c>
      <c r="M153">
        <v>461.033</v>
      </c>
      <c r="N153">
        <v>0.067</v>
      </c>
      <c r="O153">
        <v>-0.063</v>
      </c>
      <c r="P153">
        <v>0</v>
      </c>
      <c r="Q153">
        <v>0</v>
      </c>
      <c r="R153">
        <v>0</v>
      </c>
      <c r="S153">
        <v>461.033</v>
      </c>
      <c r="T153">
        <v>457.064</v>
      </c>
      <c r="U153">
        <v>460.969</v>
      </c>
      <c r="V153">
        <v>457.086</v>
      </c>
    </row>
    <row r="154" spans="2:22">
      <c r="B154">
        <v>153</v>
      </c>
      <c r="C154" t="s">
        <v>174</v>
      </c>
      <c r="D154">
        <v>30</v>
      </c>
      <c r="E154">
        <v>50.386</v>
      </c>
      <c r="F154">
        <v>35876.488</v>
      </c>
      <c r="G154">
        <v>35889.676</v>
      </c>
      <c r="H154">
        <v>35902.867</v>
      </c>
      <c r="I154">
        <v>1</v>
      </c>
      <c r="J154">
        <v>2</v>
      </c>
      <c r="K154">
        <v>0</v>
      </c>
      <c r="L154">
        <v>0.007</v>
      </c>
      <c r="M154">
        <v>461.026</v>
      </c>
      <c r="N154">
        <v>0.005</v>
      </c>
      <c r="O154">
        <v>0</v>
      </c>
      <c r="P154">
        <v>0.002</v>
      </c>
      <c r="Q154">
        <v>0.001</v>
      </c>
      <c r="R154">
        <v>0</v>
      </c>
      <c r="S154" t="s">
        <v>22</v>
      </c>
      <c r="T154" t="s">
        <v>22</v>
      </c>
      <c r="U154">
        <v>461.027</v>
      </c>
      <c r="V154">
        <v>457.058</v>
      </c>
    </row>
    <row r="155" spans="2:22">
      <c r="B155">
        <v>154</v>
      </c>
      <c r="C155" t="s">
        <v>175</v>
      </c>
      <c r="D155">
        <v>0</v>
      </c>
      <c r="E155">
        <v>0</v>
      </c>
      <c r="F155">
        <v>35912.039</v>
      </c>
      <c r="G155">
        <v>35912.039</v>
      </c>
      <c r="H155">
        <v>35912.039</v>
      </c>
      <c r="I155">
        <v>2</v>
      </c>
      <c r="J155">
        <v>1</v>
      </c>
      <c r="K155">
        <v>1</v>
      </c>
      <c r="L155">
        <v>0.124</v>
      </c>
      <c r="M155">
        <v>460.902</v>
      </c>
      <c r="N155">
        <v>0.003</v>
      </c>
      <c r="O155">
        <v>0.121</v>
      </c>
      <c r="P155">
        <v>0</v>
      </c>
      <c r="Q155">
        <v>0</v>
      </c>
      <c r="R155">
        <v>0</v>
      </c>
      <c r="S155">
        <v>461.023</v>
      </c>
      <c r="T155">
        <v>457.054</v>
      </c>
      <c r="U155">
        <v>460.902</v>
      </c>
      <c r="V155">
        <v>457.019</v>
      </c>
    </row>
    <row r="156" spans="2:22">
      <c r="B156">
        <v>155</v>
      </c>
      <c r="C156" t="s">
        <v>176</v>
      </c>
      <c r="D156">
        <v>0</v>
      </c>
      <c r="E156">
        <v>0</v>
      </c>
      <c r="F156">
        <v>36190.262</v>
      </c>
      <c r="G156">
        <v>36190.262</v>
      </c>
      <c r="H156">
        <v>36190.262</v>
      </c>
      <c r="I156">
        <v>2</v>
      </c>
      <c r="J156">
        <v>1</v>
      </c>
      <c r="K156">
        <v>2</v>
      </c>
      <c r="L156">
        <v>0.063</v>
      </c>
      <c r="M156">
        <v>460.838</v>
      </c>
      <c r="N156">
        <v>0.126</v>
      </c>
      <c r="O156">
        <v>-0.063</v>
      </c>
      <c r="P156">
        <v>0</v>
      </c>
      <c r="Q156">
        <v>0</v>
      </c>
      <c r="R156">
        <v>0</v>
      </c>
      <c r="S156">
        <v>460.838</v>
      </c>
      <c r="T156">
        <v>456.869</v>
      </c>
      <c r="U156">
        <v>460.775</v>
      </c>
      <c r="V156">
        <v>456.892</v>
      </c>
    </row>
    <row r="157" spans="2:22">
      <c r="B157">
        <v>156</v>
      </c>
      <c r="C157" t="s">
        <v>177</v>
      </c>
      <c r="D157">
        <v>80</v>
      </c>
      <c r="E157">
        <v>14.447</v>
      </c>
      <c r="F157">
        <v>36216.254</v>
      </c>
      <c r="G157">
        <v>36226.34</v>
      </c>
      <c r="H157">
        <v>36236.426</v>
      </c>
      <c r="I157">
        <v>1</v>
      </c>
      <c r="J157">
        <v>2</v>
      </c>
      <c r="K157">
        <v>0</v>
      </c>
      <c r="L157">
        <v>0.007</v>
      </c>
      <c r="M157">
        <v>460.832</v>
      </c>
      <c r="N157">
        <v>0.005</v>
      </c>
      <c r="O157">
        <v>0</v>
      </c>
      <c r="P157">
        <v>0.001</v>
      </c>
      <c r="Q157">
        <v>0.001</v>
      </c>
      <c r="R157">
        <v>0</v>
      </c>
      <c r="S157" t="s">
        <v>22</v>
      </c>
      <c r="T157" t="s">
        <v>22</v>
      </c>
      <c r="U157">
        <v>460.832</v>
      </c>
      <c r="V157">
        <v>456.863</v>
      </c>
    </row>
    <row r="158" spans="2:22">
      <c r="B158">
        <v>157</v>
      </c>
      <c r="C158" t="s">
        <v>178</v>
      </c>
      <c r="D158">
        <v>0</v>
      </c>
      <c r="E158">
        <v>0</v>
      </c>
      <c r="F158">
        <v>36246.645</v>
      </c>
      <c r="G158">
        <v>36246.645</v>
      </c>
      <c r="H158">
        <v>36246.645</v>
      </c>
      <c r="I158">
        <v>2</v>
      </c>
      <c r="J158">
        <v>1</v>
      </c>
      <c r="K158">
        <v>1</v>
      </c>
      <c r="L158">
        <v>0.124</v>
      </c>
      <c r="M158">
        <v>460.708</v>
      </c>
      <c r="N158">
        <v>0.003</v>
      </c>
      <c r="O158">
        <v>0.121</v>
      </c>
      <c r="P158">
        <v>0</v>
      </c>
      <c r="Q158">
        <v>0</v>
      </c>
      <c r="R158">
        <v>0</v>
      </c>
      <c r="S158">
        <v>460.829</v>
      </c>
      <c r="T158">
        <v>456.86</v>
      </c>
      <c r="U158">
        <v>460.708</v>
      </c>
      <c r="V158">
        <v>456.825</v>
      </c>
    </row>
    <row r="159" spans="2:22">
      <c r="B159">
        <v>158</v>
      </c>
      <c r="C159" t="s">
        <v>179</v>
      </c>
      <c r="D159">
        <v>0</v>
      </c>
      <c r="E159">
        <v>0</v>
      </c>
      <c r="F159">
        <v>36387.172</v>
      </c>
      <c r="G159">
        <v>36387.172</v>
      </c>
      <c r="H159">
        <v>36387.172</v>
      </c>
      <c r="I159">
        <v>2</v>
      </c>
      <c r="J159">
        <v>1</v>
      </c>
      <c r="K159">
        <v>2</v>
      </c>
      <c r="L159">
        <v>0.001</v>
      </c>
      <c r="M159">
        <v>460.707</v>
      </c>
      <c r="N159">
        <v>0.064</v>
      </c>
      <c r="O159">
        <v>-0.063</v>
      </c>
      <c r="P159">
        <v>0</v>
      </c>
      <c r="Q159">
        <v>0</v>
      </c>
      <c r="R159">
        <v>0</v>
      </c>
      <c r="S159">
        <v>460.707</v>
      </c>
      <c r="T159">
        <v>456.738</v>
      </c>
      <c r="U159">
        <v>460.644</v>
      </c>
      <c r="V159">
        <v>456.761</v>
      </c>
    </row>
    <row r="160" spans="2:22">
      <c r="B160">
        <v>159</v>
      </c>
      <c r="C160" t="s">
        <v>180</v>
      </c>
      <c r="D160">
        <v>80</v>
      </c>
      <c r="E160">
        <v>17.286</v>
      </c>
      <c r="F160">
        <v>36436.652</v>
      </c>
      <c r="G160">
        <v>36448.719</v>
      </c>
      <c r="H160">
        <v>36460.785</v>
      </c>
      <c r="I160">
        <v>1</v>
      </c>
      <c r="J160">
        <v>2</v>
      </c>
      <c r="K160">
        <v>0</v>
      </c>
      <c r="L160">
        <v>0.011</v>
      </c>
      <c r="M160">
        <v>460.696</v>
      </c>
      <c r="N160">
        <v>0.009</v>
      </c>
      <c r="O160">
        <v>0</v>
      </c>
      <c r="P160">
        <v>0.001</v>
      </c>
      <c r="Q160">
        <v>0.001</v>
      </c>
      <c r="R160">
        <v>0</v>
      </c>
      <c r="S160" t="s">
        <v>22</v>
      </c>
      <c r="T160" t="s">
        <v>22</v>
      </c>
      <c r="U160">
        <v>460.696</v>
      </c>
      <c r="V160">
        <v>456.727</v>
      </c>
    </row>
    <row r="161" spans="2:22">
      <c r="B161">
        <v>160</v>
      </c>
      <c r="C161" t="s">
        <v>181</v>
      </c>
      <c r="D161">
        <v>0</v>
      </c>
      <c r="E161">
        <v>0</v>
      </c>
      <c r="F161">
        <v>36497.023</v>
      </c>
      <c r="G161">
        <v>36497.023</v>
      </c>
      <c r="H161">
        <v>36497.023</v>
      </c>
      <c r="I161">
        <v>3</v>
      </c>
      <c r="J161">
        <v>1</v>
      </c>
      <c r="K161">
        <v>1</v>
      </c>
      <c r="L161">
        <v>0.105</v>
      </c>
      <c r="M161">
        <v>460.591</v>
      </c>
      <c r="N161">
        <v>0.007</v>
      </c>
      <c r="O161">
        <v>0.097</v>
      </c>
      <c r="P161">
        <v>0</v>
      </c>
      <c r="Q161">
        <v>0.001</v>
      </c>
      <c r="R161">
        <v>0</v>
      </c>
      <c r="S161">
        <v>460.688</v>
      </c>
      <c r="T161">
        <v>456.719</v>
      </c>
      <c r="U161">
        <v>460.591</v>
      </c>
      <c r="V161">
        <v>456.67</v>
      </c>
    </row>
    <row r="162" spans="2:22">
      <c r="B162">
        <v>161</v>
      </c>
      <c r="C162" t="s">
        <v>182</v>
      </c>
      <c r="D162">
        <v>80</v>
      </c>
      <c r="E162">
        <v>43.954</v>
      </c>
      <c r="F162">
        <v>36605.965</v>
      </c>
      <c r="G162">
        <v>36636.648</v>
      </c>
      <c r="H162">
        <v>36667.336</v>
      </c>
      <c r="I162">
        <v>3</v>
      </c>
      <c r="J162">
        <v>1</v>
      </c>
      <c r="K162">
        <v>0</v>
      </c>
      <c r="L162">
        <v>0.06</v>
      </c>
      <c r="M162">
        <v>460.53</v>
      </c>
      <c r="N162">
        <v>0.056</v>
      </c>
      <c r="O162">
        <v>0</v>
      </c>
      <c r="P162">
        <v>0.004</v>
      </c>
      <c r="Q162">
        <v>0</v>
      </c>
      <c r="R162">
        <v>0</v>
      </c>
      <c r="S162" t="s">
        <v>22</v>
      </c>
      <c r="T162" t="s">
        <v>22</v>
      </c>
      <c r="U162">
        <v>460.533</v>
      </c>
      <c r="V162">
        <v>456.612</v>
      </c>
    </row>
    <row r="163" spans="2:22">
      <c r="B163">
        <v>162</v>
      </c>
      <c r="C163" t="s">
        <v>183</v>
      </c>
      <c r="D163">
        <v>0</v>
      </c>
      <c r="E163">
        <v>0</v>
      </c>
      <c r="F163">
        <v>36697.539</v>
      </c>
      <c r="G163">
        <v>36697.539</v>
      </c>
      <c r="H163">
        <v>36697.539</v>
      </c>
      <c r="I163">
        <v>3</v>
      </c>
      <c r="J163">
        <v>1</v>
      </c>
      <c r="K163">
        <v>2</v>
      </c>
      <c r="L163">
        <v>-0.026</v>
      </c>
      <c r="M163">
        <v>460.557</v>
      </c>
      <c r="N163">
        <v>0.024</v>
      </c>
      <c r="O163">
        <v>-0.051</v>
      </c>
      <c r="P163">
        <v>0</v>
      </c>
      <c r="Q163">
        <v>0</v>
      </c>
      <c r="R163">
        <v>0</v>
      </c>
      <c r="S163">
        <v>460.557</v>
      </c>
      <c r="T163">
        <v>456.588</v>
      </c>
      <c r="U163">
        <v>460.506</v>
      </c>
      <c r="V163">
        <v>456.585</v>
      </c>
    </row>
    <row r="164" spans="2:22">
      <c r="B164">
        <v>163</v>
      </c>
      <c r="C164" t="s">
        <v>184</v>
      </c>
      <c r="D164">
        <v>0</v>
      </c>
      <c r="E164">
        <v>0</v>
      </c>
      <c r="F164">
        <v>36724.898</v>
      </c>
      <c r="G164">
        <v>36724.898</v>
      </c>
      <c r="H164">
        <v>36724.898</v>
      </c>
      <c r="I164">
        <v>2</v>
      </c>
      <c r="J164">
        <v>1</v>
      </c>
      <c r="K164">
        <v>1</v>
      </c>
      <c r="L164">
        <v>0.124</v>
      </c>
      <c r="M164">
        <v>460.433</v>
      </c>
      <c r="N164">
        <v>0.003</v>
      </c>
      <c r="O164">
        <v>0.121</v>
      </c>
      <c r="P164">
        <v>0</v>
      </c>
      <c r="Q164">
        <v>0</v>
      </c>
      <c r="R164">
        <v>0</v>
      </c>
      <c r="S164">
        <v>460.554</v>
      </c>
      <c r="T164">
        <v>456.585</v>
      </c>
      <c r="U164">
        <v>460.433</v>
      </c>
      <c r="V164">
        <v>456.55</v>
      </c>
    </row>
    <row r="165" spans="2:22">
      <c r="B165">
        <v>164</v>
      </c>
      <c r="C165" t="s">
        <v>185</v>
      </c>
      <c r="D165">
        <v>0</v>
      </c>
      <c r="E165">
        <v>0</v>
      </c>
      <c r="F165">
        <v>36870.785</v>
      </c>
      <c r="G165">
        <v>36870.785</v>
      </c>
      <c r="H165">
        <v>36870.785</v>
      </c>
      <c r="I165">
        <v>2</v>
      </c>
      <c r="J165">
        <v>1</v>
      </c>
      <c r="K165">
        <v>2</v>
      </c>
      <c r="L165">
        <v>0.003</v>
      </c>
      <c r="M165">
        <v>460.429</v>
      </c>
      <c r="N165">
        <v>0.066</v>
      </c>
      <c r="O165">
        <v>-0.063</v>
      </c>
      <c r="P165">
        <v>0</v>
      </c>
      <c r="Q165">
        <v>0</v>
      </c>
      <c r="R165">
        <v>0</v>
      </c>
      <c r="S165">
        <v>460.429</v>
      </c>
      <c r="T165">
        <v>456.46</v>
      </c>
      <c r="U165">
        <v>460.366</v>
      </c>
      <c r="V165">
        <v>456.483</v>
      </c>
    </row>
    <row r="166" spans="2:22">
      <c r="B166">
        <v>165</v>
      </c>
      <c r="C166" t="s">
        <v>186</v>
      </c>
      <c r="D166">
        <v>0</v>
      </c>
      <c r="E166">
        <v>0</v>
      </c>
      <c r="F166">
        <v>36926.91</v>
      </c>
      <c r="G166">
        <v>36926.91</v>
      </c>
      <c r="H166">
        <v>36926.91</v>
      </c>
      <c r="I166">
        <v>3</v>
      </c>
      <c r="J166">
        <v>1</v>
      </c>
      <c r="K166">
        <v>1</v>
      </c>
      <c r="L166">
        <v>0.106</v>
      </c>
      <c r="M166">
        <v>460.324</v>
      </c>
      <c r="N166">
        <v>0.008</v>
      </c>
      <c r="O166">
        <v>0.097</v>
      </c>
      <c r="P166">
        <v>0</v>
      </c>
      <c r="Q166">
        <v>0.001</v>
      </c>
      <c r="R166">
        <v>0</v>
      </c>
      <c r="S166">
        <v>460.421</v>
      </c>
      <c r="T166">
        <v>456.452</v>
      </c>
      <c r="U166">
        <v>460.324</v>
      </c>
      <c r="V166">
        <v>456.403</v>
      </c>
    </row>
    <row r="167" spans="2:22">
      <c r="B167">
        <v>166</v>
      </c>
      <c r="C167" t="s">
        <v>187</v>
      </c>
      <c r="D167">
        <v>80</v>
      </c>
      <c r="E167">
        <v>16.904</v>
      </c>
      <c r="F167">
        <v>36973.102</v>
      </c>
      <c r="G167">
        <v>36984.902</v>
      </c>
      <c r="H167">
        <v>36996.703</v>
      </c>
      <c r="I167">
        <v>3</v>
      </c>
      <c r="J167">
        <v>1</v>
      </c>
      <c r="K167">
        <v>0</v>
      </c>
      <c r="L167">
        <v>0.025</v>
      </c>
      <c r="M167">
        <v>460.299</v>
      </c>
      <c r="N167">
        <v>0.023</v>
      </c>
      <c r="O167">
        <v>0</v>
      </c>
      <c r="P167">
        <v>0.002</v>
      </c>
      <c r="Q167">
        <v>0</v>
      </c>
      <c r="R167">
        <v>0</v>
      </c>
      <c r="S167" t="s">
        <v>22</v>
      </c>
      <c r="T167" t="s">
        <v>22</v>
      </c>
      <c r="U167">
        <v>460.3</v>
      </c>
      <c r="V167">
        <v>456.379</v>
      </c>
    </row>
    <row r="168" spans="2:22">
      <c r="B168">
        <v>167</v>
      </c>
      <c r="C168" t="s">
        <v>188</v>
      </c>
      <c r="D168">
        <v>0</v>
      </c>
      <c r="E168">
        <v>0</v>
      </c>
      <c r="F168">
        <v>37097.363</v>
      </c>
      <c r="G168">
        <v>37097.363</v>
      </c>
      <c r="H168">
        <v>37097.363</v>
      </c>
      <c r="I168">
        <v>3</v>
      </c>
      <c r="J168">
        <v>1</v>
      </c>
      <c r="K168">
        <v>2</v>
      </c>
      <c r="L168">
        <v>-0.006</v>
      </c>
      <c r="M168">
        <v>460.305</v>
      </c>
      <c r="N168">
        <v>0.045</v>
      </c>
      <c r="O168">
        <v>-0.051</v>
      </c>
      <c r="P168">
        <v>0</v>
      </c>
      <c r="Q168">
        <v>0</v>
      </c>
      <c r="R168">
        <v>0</v>
      </c>
      <c r="S168">
        <v>460.305</v>
      </c>
      <c r="T168">
        <v>456.336</v>
      </c>
      <c r="U168">
        <v>460.254</v>
      </c>
      <c r="V168">
        <v>456.333</v>
      </c>
    </row>
    <row r="169" spans="2:22">
      <c r="B169">
        <v>168</v>
      </c>
      <c r="C169" t="s">
        <v>189</v>
      </c>
      <c r="D169">
        <v>0</v>
      </c>
      <c r="E169">
        <v>0</v>
      </c>
      <c r="F169">
        <v>37142.387</v>
      </c>
      <c r="G169">
        <v>37142.387</v>
      </c>
      <c r="H169">
        <v>37142.387</v>
      </c>
      <c r="I169">
        <v>2</v>
      </c>
      <c r="J169">
        <v>1</v>
      </c>
      <c r="K169">
        <v>1</v>
      </c>
      <c r="L169">
        <v>0.127</v>
      </c>
      <c r="M169">
        <v>460.177</v>
      </c>
      <c r="N169">
        <v>0.006</v>
      </c>
      <c r="O169">
        <v>0.121</v>
      </c>
      <c r="P169">
        <v>0</v>
      </c>
      <c r="Q169">
        <v>0.001</v>
      </c>
      <c r="R169">
        <v>0</v>
      </c>
      <c r="S169">
        <v>460.298</v>
      </c>
      <c r="T169">
        <v>456.329</v>
      </c>
      <c r="U169">
        <v>460.177</v>
      </c>
      <c r="V169">
        <v>456.294</v>
      </c>
    </row>
    <row r="170" spans="2:22">
      <c r="B170">
        <v>169</v>
      </c>
      <c r="C170" t="s">
        <v>190</v>
      </c>
      <c r="D170">
        <v>0</v>
      </c>
      <c r="E170">
        <v>0</v>
      </c>
      <c r="F170">
        <v>37379.457</v>
      </c>
      <c r="G170">
        <v>37379.457</v>
      </c>
      <c r="H170">
        <v>37379.457</v>
      </c>
      <c r="I170">
        <v>2</v>
      </c>
      <c r="J170">
        <v>1</v>
      </c>
      <c r="K170">
        <v>2</v>
      </c>
      <c r="L170">
        <v>0.045</v>
      </c>
      <c r="M170">
        <v>460.132</v>
      </c>
      <c r="N170">
        <v>0.108</v>
      </c>
      <c r="O170">
        <v>-0.063</v>
      </c>
      <c r="P170">
        <v>0</v>
      </c>
      <c r="Q170">
        <v>0</v>
      </c>
      <c r="R170">
        <v>0</v>
      </c>
      <c r="S170">
        <v>460.132</v>
      </c>
      <c r="T170">
        <v>456.163</v>
      </c>
      <c r="U170">
        <v>460.069</v>
      </c>
      <c r="V170">
        <v>456.186</v>
      </c>
    </row>
    <row r="171" spans="2:22">
      <c r="B171">
        <v>170</v>
      </c>
      <c r="C171" t="s">
        <v>191</v>
      </c>
      <c r="D171">
        <v>80</v>
      </c>
      <c r="E171">
        <v>2.408</v>
      </c>
      <c r="F171">
        <v>37425.617</v>
      </c>
      <c r="G171">
        <v>37427.301</v>
      </c>
      <c r="H171">
        <v>37428.98</v>
      </c>
      <c r="I171">
        <v>1</v>
      </c>
      <c r="J171">
        <v>2</v>
      </c>
      <c r="K171">
        <v>0</v>
      </c>
      <c r="L171">
        <v>0.008</v>
      </c>
      <c r="M171">
        <v>460.124</v>
      </c>
      <c r="N171">
        <v>0.007</v>
      </c>
      <c r="O171">
        <v>0</v>
      </c>
      <c r="P171">
        <v>0</v>
      </c>
      <c r="Q171">
        <v>0.001</v>
      </c>
      <c r="R171">
        <v>0</v>
      </c>
      <c r="S171" t="s">
        <v>22</v>
      </c>
      <c r="T171" t="s">
        <v>22</v>
      </c>
      <c r="U171">
        <v>460.124</v>
      </c>
      <c r="V171">
        <v>456.155</v>
      </c>
    </row>
    <row r="172" spans="2:22">
      <c r="B172">
        <v>171</v>
      </c>
      <c r="C172" t="s">
        <v>192</v>
      </c>
      <c r="D172">
        <v>0</v>
      </c>
      <c r="E172">
        <v>0</v>
      </c>
      <c r="F172">
        <v>37457.758</v>
      </c>
      <c r="G172">
        <v>37457.758</v>
      </c>
      <c r="H172">
        <v>37457.758</v>
      </c>
      <c r="I172">
        <v>3</v>
      </c>
      <c r="J172">
        <v>1</v>
      </c>
      <c r="K172">
        <v>1</v>
      </c>
      <c r="L172">
        <v>0.102</v>
      </c>
      <c r="M172">
        <v>460.022</v>
      </c>
      <c r="N172">
        <v>0.004</v>
      </c>
      <c r="O172">
        <v>0.097</v>
      </c>
      <c r="P172">
        <v>0</v>
      </c>
      <c r="Q172">
        <v>0.001</v>
      </c>
      <c r="R172">
        <v>0</v>
      </c>
      <c r="S172">
        <v>460.12</v>
      </c>
      <c r="T172">
        <v>456.151</v>
      </c>
      <c r="U172">
        <v>460.022</v>
      </c>
      <c r="V172">
        <v>456.102</v>
      </c>
    </row>
    <row r="173" spans="2:22">
      <c r="B173">
        <v>172</v>
      </c>
      <c r="C173" t="s">
        <v>193</v>
      </c>
      <c r="D173">
        <v>0</v>
      </c>
      <c r="E173">
        <v>0</v>
      </c>
      <c r="F173">
        <v>37675.164</v>
      </c>
      <c r="G173">
        <v>37675.164</v>
      </c>
      <c r="H173">
        <v>37675.164</v>
      </c>
      <c r="I173">
        <v>3</v>
      </c>
      <c r="J173">
        <v>1</v>
      </c>
      <c r="K173">
        <v>2</v>
      </c>
      <c r="L173">
        <v>0.036</v>
      </c>
      <c r="M173">
        <v>459.986</v>
      </c>
      <c r="N173">
        <v>0.087</v>
      </c>
      <c r="O173">
        <v>-0.051</v>
      </c>
      <c r="P173">
        <v>0</v>
      </c>
      <c r="Q173">
        <v>0</v>
      </c>
      <c r="R173">
        <v>0</v>
      </c>
      <c r="S173">
        <v>459.986</v>
      </c>
      <c r="T173">
        <v>456.017</v>
      </c>
      <c r="U173">
        <v>459.936</v>
      </c>
      <c r="V173">
        <v>456.015</v>
      </c>
    </row>
    <row r="174" spans="2:22">
      <c r="B174">
        <v>173</v>
      </c>
      <c r="C174" t="s">
        <v>194</v>
      </c>
      <c r="D174">
        <v>80</v>
      </c>
      <c r="E174">
        <v>7.305</v>
      </c>
      <c r="F174">
        <v>37733.656</v>
      </c>
      <c r="G174">
        <v>37738.758</v>
      </c>
      <c r="H174">
        <v>37743.855</v>
      </c>
      <c r="I174">
        <v>1</v>
      </c>
      <c r="J174">
        <v>2</v>
      </c>
      <c r="K174">
        <v>0</v>
      </c>
      <c r="L174">
        <v>0.011</v>
      </c>
      <c r="M174">
        <v>459.975</v>
      </c>
      <c r="N174">
        <v>0.01</v>
      </c>
      <c r="O174">
        <v>0</v>
      </c>
      <c r="P174">
        <v>0</v>
      </c>
      <c r="Q174">
        <v>0.001</v>
      </c>
      <c r="R174">
        <v>0</v>
      </c>
      <c r="S174" t="s">
        <v>22</v>
      </c>
      <c r="T174" t="s">
        <v>22</v>
      </c>
      <c r="U174">
        <v>459.975</v>
      </c>
      <c r="V174">
        <v>456.006</v>
      </c>
    </row>
    <row r="175" spans="2:22">
      <c r="B175">
        <v>174</v>
      </c>
      <c r="C175" t="s">
        <v>195</v>
      </c>
      <c r="D175">
        <v>0</v>
      </c>
      <c r="E175">
        <v>0</v>
      </c>
      <c r="F175">
        <v>37819.191</v>
      </c>
      <c r="G175">
        <v>37819.191</v>
      </c>
      <c r="H175">
        <v>37819.191</v>
      </c>
      <c r="I175">
        <v>3</v>
      </c>
      <c r="J175">
        <v>1</v>
      </c>
      <c r="K175">
        <v>1</v>
      </c>
      <c r="L175">
        <v>0.111</v>
      </c>
      <c r="M175">
        <v>459.864</v>
      </c>
      <c r="N175">
        <v>0.013</v>
      </c>
      <c r="O175">
        <v>0.097</v>
      </c>
      <c r="P175">
        <v>0</v>
      </c>
      <c r="Q175">
        <v>0.002</v>
      </c>
      <c r="R175">
        <v>0</v>
      </c>
      <c r="S175">
        <v>459.961</v>
      </c>
      <c r="T175">
        <v>455.992</v>
      </c>
      <c r="U175">
        <v>459.864</v>
      </c>
      <c r="V175">
        <v>455.943</v>
      </c>
    </row>
    <row r="176" spans="2:22">
      <c r="B176">
        <v>175</v>
      </c>
      <c r="C176" t="s">
        <v>196</v>
      </c>
      <c r="D176">
        <v>80</v>
      </c>
      <c r="E176">
        <v>33.846</v>
      </c>
      <c r="F176">
        <v>38204.547</v>
      </c>
      <c r="G176">
        <v>38228.176</v>
      </c>
      <c r="H176">
        <v>38251.805</v>
      </c>
      <c r="I176">
        <v>3</v>
      </c>
      <c r="J176">
        <v>1</v>
      </c>
      <c r="K176">
        <v>0</v>
      </c>
      <c r="L176">
        <v>0.167</v>
      </c>
      <c r="M176">
        <v>459.697</v>
      </c>
      <c r="N176">
        <v>0.164</v>
      </c>
      <c r="O176">
        <v>0</v>
      </c>
      <c r="P176">
        <v>0.003</v>
      </c>
      <c r="Q176">
        <v>0</v>
      </c>
      <c r="R176">
        <v>0</v>
      </c>
      <c r="S176" t="s">
        <v>22</v>
      </c>
      <c r="T176" t="s">
        <v>22</v>
      </c>
      <c r="U176">
        <v>459.698</v>
      </c>
      <c r="V176">
        <v>455.777</v>
      </c>
    </row>
    <row r="177" spans="2:22">
      <c r="B177">
        <v>176</v>
      </c>
      <c r="C177" t="s">
        <v>197</v>
      </c>
      <c r="D177">
        <v>0</v>
      </c>
      <c r="E177">
        <v>0</v>
      </c>
      <c r="F177">
        <v>38337.098</v>
      </c>
      <c r="G177">
        <v>38337.098</v>
      </c>
      <c r="H177">
        <v>38337.098</v>
      </c>
      <c r="I177">
        <v>3</v>
      </c>
      <c r="J177">
        <v>1</v>
      </c>
      <c r="K177">
        <v>2</v>
      </c>
      <c r="L177">
        <v>-0.007</v>
      </c>
      <c r="M177">
        <v>459.704</v>
      </c>
      <c r="N177">
        <v>0.044</v>
      </c>
      <c r="O177">
        <v>-0.051</v>
      </c>
      <c r="P177">
        <v>0</v>
      </c>
      <c r="Q177">
        <v>0</v>
      </c>
      <c r="R177">
        <v>0</v>
      </c>
      <c r="S177">
        <v>459.704</v>
      </c>
      <c r="T177">
        <v>455.735</v>
      </c>
      <c r="U177">
        <v>459.653</v>
      </c>
      <c r="V177">
        <v>455.732</v>
      </c>
    </row>
    <row r="178" spans="2:22">
      <c r="B178">
        <v>177</v>
      </c>
      <c r="C178" t="s">
        <v>198</v>
      </c>
      <c r="D178">
        <v>0</v>
      </c>
      <c r="E178">
        <v>0</v>
      </c>
      <c r="F178">
        <v>38376.676</v>
      </c>
      <c r="G178">
        <v>38376.676</v>
      </c>
      <c r="H178">
        <v>38376.676</v>
      </c>
      <c r="I178">
        <v>2</v>
      </c>
      <c r="J178">
        <v>1</v>
      </c>
      <c r="K178">
        <v>1</v>
      </c>
      <c r="L178">
        <v>0.126</v>
      </c>
      <c r="M178">
        <v>459.577</v>
      </c>
      <c r="N178">
        <v>0.005</v>
      </c>
      <c r="O178">
        <v>0.121</v>
      </c>
      <c r="P178">
        <v>0</v>
      </c>
      <c r="Q178">
        <v>0.001</v>
      </c>
      <c r="R178">
        <v>0</v>
      </c>
      <c r="S178">
        <v>459.698</v>
      </c>
      <c r="T178">
        <v>455.729</v>
      </c>
      <c r="U178">
        <v>459.577</v>
      </c>
      <c r="V178">
        <v>455.694</v>
      </c>
    </row>
    <row r="179" spans="2:22">
      <c r="B179">
        <v>178</v>
      </c>
      <c r="C179" t="s">
        <v>199</v>
      </c>
      <c r="D179">
        <v>0</v>
      </c>
      <c r="E179">
        <v>0</v>
      </c>
      <c r="F179">
        <v>38487.734</v>
      </c>
      <c r="G179">
        <v>38487.734</v>
      </c>
      <c r="H179">
        <v>38487.734</v>
      </c>
      <c r="I179">
        <v>2</v>
      </c>
      <c r="J179">
        <v>1</v>
      </c>
      <c r="K179">
        <v>2</v>
      </c>
      <c r="L179">
        <v>-0.013</v>
      </c>
      <c r="M179">
        <v>459.59</v>
      </c>
      <c r="N179">
        <v>0.05</v>
      </c>
      <c r="O179">
        <v>-0.063</v>
      </c>
      <c r="P179">
        <v>0</v>
      </c>
      <c r="Q179">
        <v>0</v>
      </c>
      <c r="R179">
        <v>0</v>
      </c>
      <c r="S179">
        <v>459.59</v>
      </c>
      <c r="T179">
        <v>455.621</v>
      </c>
      <c r="U179">
        <v>459.527</v>
      </c>
      <c r="V179">
        <v>455.644</v>
      </c>
    </row>
    <row r="180" spans="2:22">
      <c r="B180">
        <v>179</v>
      </c>
      <c r="C180" t="s">
        <v>200</v>
      </c>
      <c r="D180">
        <v>0</v>
      </c>
      <c r="E180">
        <v>0</v>
      </c>
      <c r="F180">
        <v>38528.207</v>
      </c>
      <c r="G180">
        <v>38528.207</v>
      </c>
      <c r="H180">
        <v>38528.207</v>
      </c>
      <c r="I180">
        <v>3</v>
      </c>
      <c r="J180">
        <v>1</v>
      </c>
      <c r="K180">
        <v>1</v>
      </c>
      <c r="L180">
        <v>0.103</v>
      </c>
      <c r="M180">
        <v>459.487</v>
      </c>
      <c r="N180">
        <v>0.005</v>
      </c>
      <c r="O180">
        <v>0.097</v>
      </c>
      <c r="P180">
        <v>0</v>
      </c>
      <c r="Q180">
        <v>0.001</v>
      </c>
      <c r="R180">
        <v>0</v>
      </c>
      <c r="S180">
        <v>459.584</v>
      </c>
      <c r="T180">
        <v>455.615</v>
      </c>
      <c r="U180">
        <v>459.487</v>
      </c>
      <c r="V180">
        <v>455.566</v>
      </c>
    </row>
    <row r="181" spans="2:22">
      <c r="B181">
        <v>180</v>
      </c>
      <c r="C181" t="s">
        <v>201</v>
      </c>
      <c r="D181">
        <v>80</v>
      </c>
      <c r="E181">
        <v>13.193</v>
      </c>
      <c r="F181">
        <v>38648.723</v>
      </c>
      <c r="G181">
        <v>38657.934</v>
      </c>
      <c r="H181">
        <v>38667.145</v>
      </c>
      <c r="I181">
        <v>3</v>
      </c>
      <c r="J181">
        <v>1</v>
      </c>
      <c r="K181">
        <v>0</v>
      </c>
      <c r="L181">
        <v>0.053</v>
      </c>
      <c r="M181">
        <v>459.434</v>
      </c>
      <c r="N181">
        <v>0.052</v>
      </c>
      <c r="O181">
        <v>0</v>
      </c>
      <c r="P181">
        <v>0.001</v>
      </c>
      <c r="Q181">
        <v>0</v>
      </c>
      <c r="R181">
        <v>0</v>
      </c>
      <c r="S181" t="s">
        <v>22</v>
      </c>
      <c r="T181" t="s">
        <v>22</v>
      </c>
      <c r="U181">
        <v>459.435</v>
      </c>
      <c r="V181">
        <v>455.514</v>
      </c>
    </row>
    <row r="182" spans="2:22">
      <c r="B182">
        <v>181</v>
      </c>
      <c r="C182" t="s">
        <v>202</v>
      </c>
      <c r="D182">
        <v>0</v>
      </c>
      <c r="E182">
        <v>0</v>
      </c>
      <c r="F182">
        <v>38898.547</v>
      </c>
      <c r="G182">
        <v>38898.547</v>
      </c>
      <c r="H182">
        <v>38898.547</v>
      </c>
      <c r="I182">
        <v>3</v>
      </c>
      <c r="J182">
        <v>1</v>
      </c>
      <c r="K182">
        <v>2</v>
      </c>
      <c r="L182">
        <v>0.046</v>
      </c>
      <c r="M182">
        <v>459.388</v>
      </c>
      <c r="N182">
        <v>0.096</v>
      </c>
      <c r="O182">
        <v>-0.051</v>
      </c>
      <c r="P182">
        <v>0</v>
      </c>
      <c r="Q182">
        <v>0</v>
      </c>
      <c r="R182">
        <v>0</v>
      </c>
      <c r="S182">
        <v>459.388</v>
      </c>
      <c r="T182">
        <v>455.419</v>
      </c>
      <c r="U182">
        <v>459.338</v>
      </c>
      <c r="V182">
        <v>455.417</v>
      </c>
    </row>
    <row r="183" spans="2:22">
      <c r="B183">
        <v>182</v>
      </c>
      <c r="C183" t="s">
        <v>203</v>
      </c>
      <c r="D183">
        <v>0</v>
      </c>
      <c r="E183">
        <v>0</v>
      </c>
      <c r="F183">
        <v>38916.391</v>
      </c>
      <c r="G183">
        <v>38916.391</v>
      </c>
      <c r="H183">
        <v>38916.391</v>
      </c>
      <c r="I183">
        <v>1</v>
      </c>
      <c r="J183">
        <v>4</v>
      </c>
      <c r="K183">
        <v>1</v>
      </c>
      <c r="L183">
        <v>0.001</v>
      </c>
      <c r="M183">
        <v>459.387</v>
      </c>
      <c r="N183">
        <v>0.001</v>
      </c>
      <c r="O183">
        <v>0</v>
      </c>
      <c r="P183">
        <v>0</v>
      </c>
      <c r="Q183">
        <v>0</v>
      </c>
      <c r="R183">
        <v>0</v>
      </c>
      <c r="S183">
        <v>459.387</v>
      </c>
      <c r="T183">
        <v>455.418</v>
      </c>
      <c r="U183">
        <v>459.387</v>
      </c>
      <c r="V183">
        <v>455.418</v>
      </c>
    </row>
    <row r="184" spans="2:22">
      <c r="B184">
        <v>183</v>
      </c>
      <c r="C184" t="s">
        <v>204</v>
      </c>
      <c r="D184">
        <v>0</v>
      </c>
      <c r="E184">
        <v>0</v>
      </c>
      <c r="F184">
        <v>38916.391</v>
      </c>
      <c r="G184">
        <v>38916.391</v>
      </c>
      <c r="H184">
        <v>38916.391</v>
      </c>
      <c r="I184">
        <v>1</v>
      </c>
      <c r="J184">
        <v>4</v>
      </c>
      <c r="K184">
        <v>2</v>
      </c>
      <c r="L184">
        <v>0.03</v>
      </c>
      <c r="M184">
        <v>459.357</v>
      </c>
      <c r="N184">
        <v>0</v>
      </c>
      <c r="O184">
        <v>0</v>
      </c>
      <c r="P184">
        <v>0</v>
      </c>
      <c r="Q184">
        <v>0</v>
      </c>
      <c r="R184">
        <v>0.03</v>
      </c>
      <c r="S184">
        <v>459.357</v>
      </c>
      <c r="T184">
        <v>455.111</v>
      </c>
      <c r="U184">
        <v>459.357</v>
      </c>
      <c r="V184">
        <v>455.111</v>
      </c>
    </row>
    <row r="185" spans="2:22">
      <c r="B185">
        <v>184</v>
      </c>
      <c r="C185" t="s">
        <v>205</v>
      </c>
      <c r="D185">
        <v>0</v>
      </c>
      <c r="E185">
        <v>0</v>
      </c>
      <c r="F185">
        <v>39066.668</v>
      </c>
      <c r="G185">
        <v>39066.668</v>
      </c>
      <c r="H185">
        <v>39066.668</v>
      </c>
      <c r="I185">
        <v>3</v>
      </c>
      <c r="J185">
        <v>1</v>
      </c>
      <c r="K185">
        <v>1</v>
      </c>
      <c r="L185">
        <v>0.031</v>
      </c>
      <c r="M185">
        <v>459.326</v>
      </c>
      <c r="N185">
        <v>0.023</v>
      </c>
      <c r="O185">
        <v>0.005</v>
      </c>
      <c r="P185">
        <v>0</v>
      </c>
      <c r="Q185">
        <v>0.003</v>
      </c>
      <c r="R185">
        <v>0</v>
      </c>
      <c r="S185">
        <v>459.331</v>
      </c>
      <c r="T185">
        <v>455.085</v>
      </c>
      <c r="U185">
        <v>459.326</v>
      </c>
      <c r="V185">
        <v>455.101</v>
      </c>
    </row>
    <row r="186" spans="2:22">
      <c r="B186">
        <v>185</v>
      </c>
      <c r="C186" t="s">
        <v>206</v>
      </c>
      <c r="D186">
        <v>80</v>
      </c>
      <c r="E186">
        <v>29.447</v>
      </c>
      <c r="F186">
        <v>39185.98</v>
      </c>
      <c r="G186">
        <v>39206.539</v>
      </c>
      <c r="H186">
        <v>39227.098</v>
      </c>
      <c r="I186">
        <v>3</v>
      </c>
      <c r="J186">
        <v>1</v>
      </c>
      <c r="K186">
        <v>0</v>
      </c>
      <c r="L186">
        <v>0.027</v>
      </c>
      <c r="M186">
        <v>459.299</v>
      </c>
      <c r="N186">
        <v>0.025</v>
      </c>
      <c r="O186">
        <v>0</v>
      </c>
      <c r="P186">
        <v>0.001</v>
      </c>
      <c r="Q186">
        <v>0</v>
      </c>
      <c r="R186">
        <v>0</v>
      </c>
      <c r="S186" t="s">
        <v>22</v>
      </c>
      <c r="T186" t="s">
        <v>22</v>
      </c>
      <c r="U186">
        <v>459.3</v>
      </c>
      <c r="V186">
        <v>455.075</v>
      </c>
    </row>
    <row r="187" spans="2:22">
      <c r="B187">
        <v>186</v>
      </c>
      <c r="C187" t="s">
        <v>207</v>
      </c>
      <c r="D187">
        <v>0</v>
      </c>
      <c r="E187">
        <v>0</v>
      </c>
      <c r="F187">
        <v>39239.27</v>
      </c>
      <c r="G187">
        <v>39239.27</v>
      </c>
      <c r="H187">
        <v>39239.27</v>
      </c>
      <c r="I187">
        <v>3</v>
      </c>
      <c r="J187">
        <v>1</v>
      </c>
      <c r="K187">
        <v>2</v>
      </c>
      <c r="L187">
        <v>0.004</v>
      </c>
      <c r="M187">
        <v>459.296</v>
      </c>
      <c r="N187">
        <v>0.006</v>
      </c>
      <c r="O187">
        <v>-0.002</v>
      </c>
      <c r="P187">
        <v>0</v>
      </c>
      <c r="Q187">
        <v>0</v>
      </c>
      <c r="R187">
        <v>0</v>
      </c>
      <c r="S187">
        <v>459.296</v>
      </c>
      <c r="T187">
        <v>455.05</v>
      </c>
      <c r="U187">
        <v>459.294</v>
      </c>
      <c r="V187">
        <v>455.069</v>
      </c>
    </row>
    <row r="188" spans="2:22">
      <c r="B188">
        <v>187</v>
      </c>
      <c r="C188" t="s">
        <v>208</v>
      </c>
      <c r="D188">
        <v>0</v>
      </c>
      <c r="E188">
        <v>0</v>
      </c>
      <c r="F188">
        <v>39274.922</v>
      </c>
      <c r="G188">
        <v>39274.922</v>
      </c>
      <c r="H188">
        <v>39274.922</v>
      </c>
      <c r="I188">
        <v>2</v>
      </c>
      <c r="J188">
        <v>1</v>
      </c>
      <c r="K188">
        <v>1</v>
      </c>
      <c r="L188">
        <v>0.072</v>
      </c>
      <c r="M188">
        <v>459.224</v>
      </c>
      <c r="N188">
        <v>0.004</v>
      </c>
      <c r="O188">
        <v>0.067</v>
      </c>
      <c r="P188">
        <v>0</v>
      </c>
      <c r="Q188">
        <v>0.001</v>
      </c>
      <c r="R188">
        <v>0</v>
      </c>
      <c r="S188">
        <v>459.291</v>
      </c>
      <c r="T188">
        <v>455.045</v>
      </c>
      <c r="U188">
        <v>459.224</v>
      </c>
      <c r="V188">
        <v>455.47</v>
      </c>
    </row>
    <row r="189" spans="2:22">
      <c r="B189">
        <v>188</v>
      </c>
      <c r="C189" t="s">
        <v>209</v>
      </c>
      <c r="D189">
        <v>0</v>
      </c>
      <c r="E189">
        <v>0</v>
      </c>
      <c r="F189">
        <v>39392.309</v>
      </c>
      <c r="G189">
        <v>39392.309</v>
      </c>
      <c r="H189">
        <v>39392.309</v>
      </c>
      <c r="I189">
        <v>2</v>
      </c>
      <c r="J189">
        <v>1</v>
      </c>
      <c r="K189">
        <v>2</v>
      </c>
      <c r="L189">
        <v>0.004</v>
      </c>
      <c r="M189">
        <v>459.22</v>
      </c>
      <c r="N189">
        <v>0.039</v>
      </c>
      <c r="O189">
        <v>-0.035</v>
      </c>
      <c r="P189">
        <v>0</v>
      </c>
      <c r="Q189">
        <v>0</v>
      </c>
      <c r="R189">
        <v>0</v>
      </c>
      <c r="S189">
        <v>459.22</v>
      </c>
      <c r="T189">
        <v>454.974</v>
      </c>
      <c r="U189">
        <v>459.185</v>
      </c>
      <c r="V189">
        <v>455.431</v>
      </c>
    </row>
    <row r="190" spans="2:22">
      <c r="B190">
        <v>189</v>
      </c>
      <c r="C190" t="s">
        <v>210</v>
      </c>
      <c r="D190">
        <v>80</v>
      </c>
      <c r="E190">
        <v>10.643</v>
      </c>
      <c r="F190">
        <v>39476.379</v>
      </c>
      <c r="G190">
        <v>39483.812</v>
      </c>
      <c r="H190">
        <v>39491.242</v>
      </c>
      <c r="I190">
        <v>1</v>
      </c>
      <c r="J190">
        <v>2</v>
      </c>
      <c r="K190">
        <v>0</v>
      </c>
      <c r="L190">
        <v>0.017</v>
      </c>
      <c r="M190">
        <v>459.203</v>
      </c>
      <c r="N190">
        <v>0.014</v>
      </c>
      <c r="O190">
        <v>0</v>
      </c>
      <c r="P190">
        <v>0</v>
      </c>
      <c r="Q190">
        <v>0.002</v>
      </c>
      <c r="R190">
        <v>0</v>
      </c>
      <c r="S190" t="s">
        <v>22</v>
      </c>
      <c r="T190" t="s">
        <v>22</v>
      </c>
      <c r="U190">
        <v>459.204</v>
      </c>
      <c r="V190">
        <v>454.958</v>
      </c>
    </row>
    <row r="191" spans="2:22">
      <c r="B191">
        <v>190</v>
      </c>
      <c r="C191" t="s">
        <v>211</v>
      </c>
      <c r="D191">
        <v>80</v>
      </c>
      <c r="E191">
        <v>18.39</v>
      </c>
      <c r="F191">
        <v>39516.441</v>
      </c>
      <c r="G191">
        <v>39529.281</v>
      </c>
      <c r="H191">
        <v>39542.121</v>
      </c>
      <c r="I191">
        <v>1</v>
      </c>
      <c r="J191">
        <v>2</v>
      </c>
      <c r="K191">
        <v>0</v>
      </c>
      <c r="L191">
        <v>0.009</v>
      </c>
      <c r="M191">
        <v>459.194</v>
      </c>
      <c r="N191">
        <v>0.008</v>
      </c>
      <c r="O191">
        <v>0</v>
      </c>
      <c r="P191">
        <v>0.001</v>
      </c>
      <c r="Q191">
        <v>0.001</v>
      </c>
      <c r="R191">
        <v>0</v>
      </c>
      <c r="S191" t="s">
        <v>22</v>
      </c>
      <c r="T191" t="s">
        <v>22</v>
      </c>
      <c r="U191">
        <v>459.194</v>
      </c>
      <c r="V191">
        <v>454.948</v>
      </c>
    </row>
    <row r="192" spans="2:22">
      <c r="B192">
        <v>191</v>
      </c>
      <c r="C192" t="s">
        <v>212</v>
      </c>
      <c r="D192">
        <v>80</v>
      </c>
      <c r="E192">
        <v>16.331</v>
      </c>
      <c r="F192">
        <v>39574.359</v>
      </c>
      <c r="G192">
        <v>39585.762</v>
      </c>
      <c r="H192">
        <v>39597.164</v>
      </c>
      <c r="I192">
        <v>1</v>
      </c>
      <c r="J192">
        <v>2</v>
      </c>
      <c r="K192">
        <v>0</v>
      </c>
      <c r="L192">
        <v>0.011</v>
      </c>
      <c r="M192">
        <v>459.183</v>
      </c>
      <c r="N192">
        <v>0.009</v>
      </c>
      <c r="O192">
        <v>0</v>
      </c>
      <c r="P192">
        <v>0.001</v>
      </c>
      <c r="Q192">
        <v>0.001</v>
      </c>
      <c r="R192">
        <v>0</v>
      </c>
      <c r="S192" t="s">
        <v>22</v>
      </c>
      <c r="T192" t="s">
        <v>22</v>
      </c>
      <c r="U192">
        <v>459.183</v>
      </c>
      <c r="V192">
        <v>454.937</v>
      </c>
    </row>
    <row r="193" spans="2:22">
      <c r="B193">
        <v>192</v>
      </c>
      <c r="C193" t="s">
        <v>213</v>
      </c>
      <c r="D193">
        <v>80</v>
      </c>
      <c r="E193">
        <v>30.704</v>
      </c>
      <c r="F193">
        <v>39645.934</v>
      </c>
      <c r="G193">
        <v>39667.367</v>
      </c>
      <c r="H193">
        <v>39688.805</v>
      </c>
      <c r="I193">
        <v>1</v>
      </c>
      <c r="J193">
        <v>2</v>
      </c>
      <c r="K193">
        <v>0</v>
      </c>
      <c r="L193">
        <v>0.017</v>
      </c>
      <c r="M193">
        <v>459.166</v>
      </c>
      <c r="N193">
        <v>0.014</v>
      </c>
      <c r="O193">
        <v>0</v>
      </c>
      <c r="P193">
        <v>0.001</v>
      </c>
      <c r="Q193">
        <v>0.002</v>
      </c>
      <c r="R193">
        <v>0</v>
      </c>
      <c r="S193" t="s">
        <v>22</v>
      </c>
      <c r="T193" t="s">
        <v>22</v>
      </c>
      <c r="U193">
        <v>459.167</v>
      </c>
      <c r="V193">
        <v>454.921</v>
      </c>
    </row>
    <row r="194" spans="2:22">
      <c r="B194">
        <v>193</v>
      </c>
      <c r="C194" t="s">
        <v>214</v>
      </c>
      <c r="D194">
        <v>0</v>
      </c>
      <c r="E194">
        <v>0</v>
      </c>
      <c r="F194">
        <v>39707.566</v>
      </c>
      <c r="G194">
        <v>39707.566</v>
      </c>
      <c r="H194">
        <v>39707.566</v>
      </c>
      <c r="I194">
        <v>3</v>
      </c>
      <c r="J194">
        <v>1</v>
      </c>
      <c r="K194">
        <v>1</v>
      </c>
      <c r="L194">
        <v>0.011</v>
      </c>
      <c r="M194">
        <v>459.155</v>
      </c>
      <c r="N194">
        <v>0.006</v>
      </c>
      <c r="O194">
        <v>0.005</v>
      </c>
      <c r="P194">
        <v>0</v>
      </c>
      <c r="Q194">
        <v>0.001</v>
      </c>
      <c r="R194">
        <v>0</v>
      </c>
      <c r="S194">
        <v>459.159</v>
      </c>
      <c r="T194">
        <v>454.913</v>
      </c>
      <c r="U194">
        <v>459.155</v>
      </c>
      <c r="V194">
        <v>454.93</v>
      </c>
    </row>
    <row r="195" spans="2:22">
      <c r="B195">
        <v>194</v>
      </c>
      <c r="C195" t="s">
        <v>215</v>
      </c>
      <c r="D195">
        <v>80</v>
      </c>
      <c r="E195">
        <v>34.996</v>
      </c>
      <c r="F195">
        <v>39813.73</v>
      </c>
      <c r="G195">
        <v>39838.164</v>
      </c>
      <c r="H195">
        <v>39862.594</v>
      </c>
      <c r="I195">
        <v>3</v>
      </c>
      <c r="J195">
        <v>1</v>
      </c>
      <c r="K195">
        <v>0</v>
      </c>
      <c r="L195">
        <v>0.025</v>
      </c>
      <c r="M195">
        <v>459.13</v>
      </c>
      <c r="N195">
        <v>0.024</v>
      </c>
      <c r="O195">
        <v>0</v>
      </c>
      <c r="P195">
        <v>0.002</v>
      </c>
      <c r="Q195">
        <v>0</v>
      </c>
      <c r="R195">
        <v>0</v>
      </c>
      <c r="S195" t="s">
        <v>22</v>
      </c>
      <c r="T195" t="s">
        <v>22</v>
      </c>
      <c r="U195">
        <v>459.13</v>
      </c>
      <c r="V195">
        <v>454.905</v>
      </c>
    </row>
    <row r="196" spans="2:22">
      <c r="B196">
        <v>195</v>
      </c>
      <c r="C196" t="s">
        <v>216</v>
      </c>
      <c r="D196">
        <v>80</v>
      </c>
      <c r="E196">
        <v>16.821</v>
      </c>
      <c r="F196">
        <v>40180.082</v>
      </c>
      <c r="G196">
        <v>40191.824</v>
      </c>
      <c r="H196">
        <v>40203.57</v>
      </c>
      <c r="I196">
        <v>3</v>
      </c>
      <c r="J196">
        <v>1</v>
      </c>
      <c r="K196">
        <v>0</v>
      </c>
      <c r="L196">
        <v>0.065</v>
      </c>
      <c r="M196">
        <v>459.064</v>
      </c>
      <c r="N196">
        <v>0.064</v>
      </c>
      <c r="O196">
        <v>0</v>
      </c>
      <c r="P196">
        <v>0.001</v>
      </c>
      <c r="Q196">
        <v>0</v>
      </c>
      <c r="R196">
        <v>0</v>
      </c>
      <c r="S196" t="s">
        <v>22</v>
      </c>
      <c r="T196" t="s">
        <v>22</v>
      </c>
      <c r="U196">
        <v>459.065</v>
      </c>
      <c r="V196">
        <v>454.84</v>
      </c>
    </row>
    <row r="197" spans="2:22">
      <c r="B197">
        <v>196</v>
      </c>
      <c r="C197" t="s">
        <v>217</v>
      </c>
      <c r="D197">
        <v>0</v>
      </c>
      <c r="E197">
        <v>0</v>
      </c>
      <c r="F197">
        <v>40280.055</v>
      </c>
      <c r="G197">
        <v>40280.055</v>
      </c>
      <c r="H197">
        <v>40280.055</v>
      </c>
      <c r="I197">
        <v>3</v>
      </c>
      <c r="J197">
        <v>1</v>
      </c>
      <c r="K197">
        <v>2</v>
      </c>
      <c r="L197">
        <v>0.014</v>
      </c>
      <c r="M197">
        <v>459.051</v>
      </c>
      <c r="N197">
        <v>0.016</v>
      </c>
      <c r="O197">
        <v>-0.002</v>
      </c>
      <c r="P197">
        <v>0</v>
      </c>
      <c r="Q197">
        <v>0</v>
      </c>
      <c r="R197">
        <v>0</v>
      </c>
      <c r="S197">
        <v>459.051</v>
      </c>
      <c r="T197">
        <v>454.805</v>
      </c>
      <c r="U197">
        <v>459.048</v>
      </c>
      <c r="V197">
        <v>454.823</v>
      </c>
    </row>
    <row r="198" spans="2:22">
      <c r="B198">
        <v>197</v>
      </c>
      <c r="C198" t="s">
        <v>218</v>
      </c>
      <c r="D198">
        <v>80</v>
      </c>
      <c r="E198">
        <v>11.164</v>
      </c>
      <c r="F198">
        <v>40350.516</v>
      </c>
      <c r="G198">
        <v>40358.309</v>
      </c>
      <c r="H198">
        <v>40366.105</v>
      </c>
      <c r="I198">
        <v>1</v>
      </c>
      <c r="J198">
        <v>2</v>
      </c>
      <c r="K198">
        <v>0</v>
      </c>
      <c r="L198">
        <v>0.014</v>
      </c>
      <c r="M198">
        <v>459.037</v>
      </c>
      <c r="N198">
        <v>0.012</v>
      </c>
      <c r="O198">
        <v>0</v>
      </c>
      <c r="P198">
        <v>0.001</v>
      </c>
      <c r="Q198">
        <v>0.001</v>
      </c>
      <c r="R198">
        <v>0</v>
      </c>
      <c r="S198" t="s">
        <v>22</v>
      </c>
      <c r="T198" t="s">
        <v>22</v>
      </c>
      <c r="U198">
        <v>459.037</v>
      </c>
      <c r="V198">
        <v>454.791</v>
      </c>
    </row>
    <row r="199" spans="2:22">
      <c r="B199">
        <v>198</v>
      </c>
      <c r="C199" t="s">
        <v>219</v>
      </c>
      <c r="D199">
        <v>0</v>
      </c>
      <c r="E199">
        <v>0</v>
      </c>
      <c r="F199">
        <v>40397.273</v>
      </c>
      <c r="G199">
        <v>40397.273</v>
      </c>
      <c r="H199">
        <v>40397.273</v>
      </c>
      <c r="I199">
        <v>2</v>
      </c>
      <c r="J199">
        <v>1</v>
      </c>
      <c r="K199">
        <v>1</v>
      </c>
      <c r="L199">
        <v>0.073</v>
      </c>
      <c r="M199">
        <v>458.963</v>
      </c>
      <c r="N199">
        <v>0.006</v>
      </c>
      <c r="O199">
        <v>0.067</v>
      </c>
      <c r="P199">
        <v>0</v>
      </c>
      <c r="Q199">
        <v>0.001</v>
      </c>
      <c r="R199">
        <v>0</v>
      </c>
      <c r="S199">
        <v>459.03</v>
      </c>
      <c r="T199">
        <v>454.784</v>
      </c>
      <c r="U199">
        <v>458.963</v>
      </c>
      <c r="V199">
        <v>455.209</v>
      </c>
    </row>
    <row r="200" spans="2:22">
      <c r="B200">
        <v>199</v>
      </c>
      <c r="C200" t="s">
        <v>220</v>
      </c>
      <c r="D200">
        <v>0</v>
      </c>
      <c r="E200">
        <v>0</v>
      </c>
      <c r="F200">
        <v>40464.586</v>
      </c>
      <c r="G200">
        <v>40464.586</v>
      </c>
      <c r="H200">
        <v>40464.586</v>
      </c>
      <c r="I200">
        <v>2</v>
      </c>
      <c r="J200">
        <v>1</v>
      </c>
      <c r="K200">
        <v>2</v>
      </c>
      <c r="L200">
        <v>-0.013</v>
      </c>
      <c r="M200">
        <v>458.976</v>
      </c>
      <c r="N200">
        <v>0.022</v>
      </c>
      <c r="O200">
        <v>-0.035</v>
      </c>
      <c r="P200">
        <v>0</v>
      </c>
      <c r="Q200">
        <v>0</v>
      </c>
      <c r="R200">
        <v>0</v>
      </c>
      <c r="S200">
        <v>458.976</v>
      </c>
      <c r="T200">
        <v>454.73</v>
      </c>
      <c r="U200">
        <v>458.941</v>
      </c>
      <c r="V200">
        <v>455.187</v>
      </c>
    </row>
    <row r="201" spans="2:22">
      <c r="B201">
        <v>200</v>
      </c>
      <c r="C201" t="s">
        <v>221</v>
      </c>
      <c r="D201">
        <v>0</v>
      </c>
      <c r="E201">
        <v>0</v>
      </c>
      <c r="F201">
        <v>40517.32</v>
      </c>
      <c r="G201">
        <v>40517.32</v>
      </c>
      <c r="H201">
        <v>40517.32</v>
      </c>
      <c r="I201">
        <v>3</v>
      </c>
      <c r="J201">
        <v>1</v>
      </c>
      <c r="K201">
        <v>1</v>
      </c>
      <c r="L201">
        <v>0.013</v>
      </c>
      <c r="M201">
        <v>458.963</v>
      </c>
      <c r="N201">
        <v>0.007</v>
      </c>
      <c r="O201">
        <v>0.005</v>
      </c>
      <c r="P201">
        <v>0</v>
      </c>
      <c r="Q201">
        <v>0.001</v>
      </c>
      <c r="R201">
        <v>0</v>
      </c>
      <c r="S201">
        <v>458.968</v>
      </c>
      <c r="T201">
        <v>454.722</v>
      </c>
      <c r="U201">
        <v>458.963</v>
      </c>
      <c r="V201">
        <v>454.738</v>
      </c>
    </row>
    <row r="202" spans="2:22">
      <c r="B202">
        <v>201</v>
      </c>
      <c r="C202" t="s">
        <v>222</v>
      </c>
      <c r="D202">
        <v>80</v>
      </c>
      <c r="E202">
        <v>17.909</v>
      </c>
      <c r="F202">
        <v>40583.688</v>
      </c>
      <c r="G202">
        <v>40596.191</v>
      </c>
      <c r="H202">
        <v>40608.691</v>
      </c>
      <c r="I202">
        <v>3</v>
      </c>
      <c r="J202">
        <v>1</v>
      </c>
      <c r="K202">
        <v>0</v>
      </c>
      <c r="L202">
        <v>0.015</v>
      </c>
      <c r="M202">
        <v>458.948</v>
      </c>
      <c r="N202">
        <v>0.014</v>
      </c>
      <c r="O202">
        <v>0</v>
      </c>
      <c r="P202">
        <v>0.001</v>
      </c>
      <c r="Q202">
        <v>0</v>
      </c>
      <c r="R202">
        <v>0</v>
      </c>
      <c r="S202" t="s">
        <v>22</v>
      </c>
      <c r="T202" t="s">
        <v>22</v>
      </c>
      <c r="U202">
        <v>458.948</v>
      </c>
      <c r="V202">
        <v>454.723</v>
      </c>
    </row>
    <row r="203" spans="2:22">
      <c r="B203">
        <v>202</v>
      </c>
      <c r="C203" t="s">
        <v>223</v>
      </c>
      <c r="D203">
        <v>80</v>
      </c>
      <c r="E203">
        <v>16.017</v>
      </c>
      <c r="F203">
        <v>41481.707</v>
      </c>
      <c r="G203">
        <v>41492.887</v>
      </c>
      <c r="H203">
        <v>41504.07</v>
      </c>
      <c r="I203">
        <v>3</v>
      </c>
      <c r="J203">
        <v>1</v>
      </c>
      <c r="K203">
        <v>0</v>
      </c>
      <c r="L203">
        <v>0.164</v>
      </c>
      <c r="M203">
        <v>458.784</v>
      </c>
      <c r="N203">
        <v>0.163</v>
      </c>
      <c r="O203">
        <v>0</v>
      </c>
      <c r="P203">
        <v>0.001</v>
      </c>
      <c r="Q203">
        <v>0</v>
      </c>
      <c r="R203">
        <v>0</v>
      </c>
      <c r="S203" t="s">
        <v>22</v>
      </c>
      <c r="T203" t="s">
        <v>22</v>
      </c>
      <c r="U203">
        <v>458.785</v>
      </c>
      <c r="V203">
        <v>454.56</v>
      </c>
    </row>
    <row r="204" spans="2:22">
      <c r="B204">
        <v>203</v>
      </c>
      <c r="C204" t="s">
        <v>224</v>
      </c>
      <c r="D204">
        <v>80</v>
      </c>
      <c r="E204">
        <v>8.541</v>
      </c>
      <c r="F204">
        <v>41745.359</v>
      </c>
      <c r="G204">
        <v>41751.324</v>
      </c>
      <c r="H204">
        <v>41757.285</v>
      </c>
      <c r="I204">
        <v>3</v>
      </c>
      <c r="J204">
        <v>1</v>
      </c>
      <c r="K204">
        <v>0</v>
      </c>
      <c r="L204">
        <v>0.047</v>
      </c>
      <c r="M204">
        <v>458.737</v>
      </c>
      <c r="N204">
        <v>0.047</v>
      </c>
      <c r="O204">
        <v>0</v>
      </c>
      <c r="P204">
        <v>0</v>
      </c>
      <c r="Q204">
        <v>0</v>
      </c>
      <c r="R204">
        <v>0</v>
      </c>
      <c r="S204" t="s">
        <v>22</v>
      </c>
      <c r="T204" t="s">
        <v>22</v>
      </c>
      <c r="U204">
        <v>458.737</v>
      </c>
      <c r="V204">
        <v>454.512</v>
      </c>
    </row>
    <row r="205" spans="2:22">
      <c r="B205">
        <v>204</v>
      </c>
      <c r="C205" t="s">
        <v>225</v>
      </c>
      <c r="D205">
        <v>0</v>
      </c>
      <c r="E205">
        <v>0</v>
      </c>
      <c r="F205">
        <v>41933.754</v>
      </c>
      <c r="G205">
        <v>41933.754</v>
      </c>
      <c r="H205">
        <v>41933.754</v>
      </c>
      <c r="I205">
        <v>3</v>
      </c>
      <c r="J205">
        <v>1</v>
      </c>
      <c r="K205">
        <v>2</v>
      </c>
      <c r="L205">
        <v>0.031</v>
      </c>
      <c r="M205">
        <v>458.706</v>
      </c>
      <c r="N205">
        <v>0.033</v>
      </c>
      <c r="O205">
        <v>-0.002</v>
      </c>
      <c r="P205">
        <v>0</v>
      </c>
      <c r="Q205">
        <v>0</v>
      </c>
      <c r="R205">
        <v>0</v>
      </c>
      <c r="S205">
        <v>458.706</v>
      </c>
      <c r="T205">
        <v>454.46</v>
      </c>
      <c r="U205">
        <v>458.704</v>
      </c>
      <c r="V205">
        <v>454.479</v>
      </c>
    </row>
    <row r="206" spans="2:22">
      <c r="B206">
        <v>205</v>
      </c>
      <c r="C206" t="s">
        <v>226</v>
      </c>
      <c r="D206">
        <v>40</v>
      </c>
      <c r="E206">
        <v>35.514</v>
      </c>
      <c r="F206">
        <v>41956.973</v>
      </c>
      <c r="G206">
        <v>41969.371</v>
      </c>
      <c r="H206">
        <v>41981.77</v>
      </c>
      <c r="I206">
        <v>1</v>
      </c>
      <c r="J206">
        <v>2</v>
      </c>
      <c r="K206">
        <v>0</v>
      </c>
      <c r="L206">
        <v>0.007</v>
      </c>
      <c r="M206">
        <v>458.699</v>
      </c>
      <c r="N206">
        <v>0.005</v>
      </c>
      <c r="O206">
        <v>0</v>
      </c>
      <c r="P206">
        <v>0.001</v>
      </c>
      <c r="Q206">
        <v>0.001</v>
      </c>
      <c r="R206">
        <v>0</v>
      </c>
      <c r="S206" t="s">
        <v>22</v>
      </c>
      <c r="T206" t="s">
        <v>22</v>
      </c>
      <c r="U206">
        <v>458.7</v>
      </c>
      <c r="V206">
        <v>454.454</v>
      </c>
    </row>
    <row r="207" spans="2:22">
      <c r="B207">
        <v>206</v>
      </c>
      <c r="C207" t="s">
        <v>227</v>
      </c>
      <c r="D207">
        <v>40</v>
      </c>
      <c r="E207">
        <v>54.422</v>
      </c>
      <c r="F207">
        <v>41987.711</v>
      </c>
      <c r="G207">
        <v>42006.707</v>
      </c>
      <c r="H207">
        <v>42025.703</v>
      </c>
      <c r="I207">
        <v>1</v>
      </c>
      <c r="J207">
        <v>2</v>
      </c>
      <c r="K207">
        <v>0</v>
      </c>
      <c r="L207">
        <v>0.009</v>
      </c>
      <c r="M207">
        <v>458.69</v>
      </c>
      <c r="N207">
        <v>0.006</v>
      </c>
      <c r="O207">
        <v>0</v>
      </c>
      <c r="P207">
        <v>0.002</v>
      </c>
      <c r="Q207">
        <v>0.001</v>
      </c>
      <c r="R207">
        <v>0</v>
      </c>
      <c r="S207" t="s">
        <v>22</v>
      </c>
      <c r="T207" t="s">
        <v>22</v>
      </c>
      <c r="U207">
        <v>458.691</v>
      </c>
      <c r="V207">
        <v>454.445</v>
      </c>
    </row>
    <row r="208" spans="2:22">
      <c r="B208">
        <v>207</v>
      </c>
      <c r="C208" t="s">
        <v>228</v>
      </c>
      <c r="D208">
        <v>0</v>
      </c>
      <c r="E208">
        <v>0</v>
      </c>
      <c r="F208">
        <v>42110.031</v>
      </c>
      <c r="G208">
        <v>42110.031</v>
      </c>
      <c r="H208">
        <v>42110.031</v>
      </c>
      <c r="I208">
        <v>3</v>
      </c>
      <c r="J208">
        <v>1</v>
      </c>
      <c r="K208">
        <v>1</v>
      </c>
      <c r="L208">
        <v>0.023</v>
      </c>
      <c r="M208">
        <v>458.668</v>
      </c>
      <c r="N208">
        <v>0.016</v>
      </c>
      <c r="O208">
        <v>0.005</v>
      </c>
      <c r="P208">
        <v>0</v>
      </c>
      <c r="Q208">
        <v>0.002</v>
      </c>
      <c r="R208">
        <v>0</v>
      </c>
      <c r="S208">
        <v>458.672</v>
      </c>
      <c r="T208">
        <v>454.426</v>
      </c>
      <c r="U208">
        <v>458.668</v>
      </c>
      <c r="V208">
        <v>454.443</v>
      </c>
    </row>
    <row r="209" spans="2:22">
      <c r="B209">
        <v>208</v>
      </c>
      <c r="C209" t="s">
        <v>229</v>
      </c>
      <c r="D209">
        <v>0</v>
      </c>
      <c r="E209">
        <v>0</v>
      </c>
      <c r="F209">
        <v>42216.508</v>
      </c>
      <c r="G209">
        <v>42216.508</v>
      </c>
      <c r="H209">
        <v>42216.508</v>
      </c>
      <c r="I209">
        <v>3</v>
      </c>
      <c r="J209">
        <v>1</v>
      </c>
      <c r="K209">
        <v>2</v>
      </c>
      <c r="L209">
        <v>0.017</v>
      </c>
      <c r="M209">
        <v>458.651</v>
      </c>
      <c r="N209">
        <v>0.019</v>
      </c>
      <c r="O209">
        <v>-0.002</v>
      </c>
      <c r="P209">
        <v>0</v>
      </c>
      <c r="Q209">
        <v>0</v>
      </c>
      <c r="R209">
        <v>0</v>
      </c>
      <c r="S209">
        <v>458.651</v>
      </c>
      <c r="T209">
        <v>454.405</v>
      </c>
      <c r="U209">
        <v>458.648</v>
      </c>
      <c r="V209">
        <v>454.423</v>
      </c>
    </row>
    <row r="210" spans="2:22">
      <c r="B210">
        <v>209</v>
      </c>
      <c r="C210" t="s">
        <v>230</v>
      </c>
      <c r="D210">
        <v>80</v>
      </c>
      <c r="E210">
        <v>4.573</v>
      </c>
      <c r="F210">
        <v>42247.945</v>
      </c>
      <c r="G210">
        <v>42251.137</v>
      </c>
      <c r="H210">
        <v>42254.332</v>
      </c>
      <c r="I210">
        <v>1</v>
      </c>
      <c r="J210">
        <v>2</v>
      </c>
      <c r="K210">
        <v>0</v>
      </c>
      <c r="L210">
        <v>0.006</v>
      </c>
      <c r="M210">
        <v>458.645</v>
      </c>
      <c r="N210">
        <v>0.005</v>
      </c>
      <c r="O210">
        <v>0</v>
      </c>
      <c r="P210">
        <v>0</v>
      </c>
      <c r="Q210">
        <v>0.001</v>
      </c>
      <c r="R210">
        <v>0</v>
      </c>
      <c r="S210" t="s">
        <v>22</v>
      </c>
      <c r="T210" t="s">
        <v>22</v>
      </c>
      <c r="U210">
        <v>458.645</v>
      </c>
      <c r="V210">
        <v>454.399</v>
      </c>
    </row>
    <row r="211" spans="2:22">
      <c r="B211">
        <v>210</v>
      </c>
      <c r="C211" t="s">
        <v>231</v>
      </c>
      <c r="D211">
        <v>80</v>
      </c>
      <c r="E211">
        <v>29.413</v>
      </c>
      <c r="F211">
        <v>42314.188</v>
      </c>
      <c r="G211">
        <v>42334.723</v>
      </c>
      <c r="H211">
        <v>42355.258</v>
      </c>
      <c r="I211">
        <v>1</v>
      </c>
      <c r="J211">
        <v>2</v>
      </c>
      <c r="K211">
        <v>0</v>
      </c>
      <c r="L211">
        <v>0.017</v>
      </c>
      <c r="M211">
        <v>458.628</v>
      </c>
      <c r="N211">
        <v>0.014</v>
      </c>
      <c r="O211">
        <v>0</v>
      </c>
      <c r="P211">
        <v>0.001</v>
      </c>
      <c r="Q211">
        <v>0.002</v>
      </c>
      <c r="R211">
        <v>0</v>
      </c>
      <c r="S211" t="s">
        <v>22</v>
      </c>
      <c r="T211" t="s">
        <v>22</v>
      </c>
      <c r="U211">
        <v>458.629</v>
      </c>
      <c r="V211">
        <v>454.383</v>
      </c>
    </row>
    <row r="212" spans="2:22">
      <c r="B212">
        <v>211</v>
      </c>
      <c r="C212" t="s">
        <v>232</v>
      </c>
      <c r="D212">
        <v>80</v>
      </c>
      <c r="E212">
        <v>20.559</v>
      </c>
      <c r="F212">
        <v>42404.383</v>
      </c>
      <c r="G212">
        <v>42418.734</v>
      </c>
      <c r="H212">
        <v>42433.09</v>
      </c>
      <c r="I212">
        <v>1</v>
      </c>
      <c r="J212">
        <v>2</v>
      </c>
      <c r="K212">
        <v>0</v>
      </c>
      <c r="L212">
        <v>0.017</v>
      </c>
      <c r="M212">
        <v>458.611</v>
      </c>
      <c r="N212">
        <v>0.014</v>
      </c>
      <c r="O212">
        <v>0</v>
      </c>
      <c r="P212">
        <v>0.001</v>
      </c>
      <c r="Q212">
        <v>0.002</v>
      </c>
      <c r="R212">
        <v>0</v>
      </c>
      <c r="S212" t="s">
        <v>22</v>
      </c>
      <c r="T212" t="s">
        <v>22</v>
      </c>
      <c r="U212">
        <v>458.612</v>
      </c>
      <c r="V212">
        <v>454.366</v>
      </c>
    </row>
    <row r="213" spans="2:22">
      <c r="B213">
        <v>212</v>
      </c>
      <c r="C213" t="s">
        <v>233</v>
      </c>
      <c r="D213">
        <v>0</v>
      </c>
      <c r="E213">
        <v>0</v>
      </c>
      <c r="F213">
        <v>42450.113</v>
      </c>
      <c r="G213">
        <v>42450.113</v>
      </c>
      <c r="H213">
        <v>42450.113</v>
      </c>
      <c r="I213">
        <v>3</v>
      </c>
      <c r="J213">
        <v>1</v>
      </c>
      <c r="K213">
        <v>1</v>
      </c>
      <c r="L213">
        <v>0.009</v>
      </c>
      <c r="M213">
        <v>458.602</v>
      </c>
      <c r="N213">
        <v>0.004</v>
      </c>
      <c r="O213">
        <v>0.005</v>
      </c>
      <c r="P213">
        <v>0</v>
      </c>
      <c r="Q213">
        <v>0.001</v>
      </c>
      <c r="R213">
        <v>0</v>
      </c>
      <c r="S213">
        <v>458.606</v>
      </c>
      <c r="T213">
        <v>454.36</v>
      </c>
      <c r="U213">
        <v>458.602</v>
      </c>
      <c r="V213">
        <v>454.377</v>
      </c>
    </row>
    <row r="214" spans="2:22">
      <c r="B214">
        <v>213</v>
      </c>
      <c r="C214" t="s">
        <v>234</v>
      </c>
      <c r="D214">
        <v>0</v>
      </c>
      <c r="E214">
        <v>0</v>
      </c>
      <c r="F214">
        <v>42607.309</v>
      </c>
      <c r="G214">
        <v>42607.309</v>
      </c>
      <c r="H214">
        <v>42607.309</v>
      </c>
      <c r="I214">
        <v>3</v>
      </c>
      <c r="J214">
        <v>1</v>
      </c>
      <c r="K214">
        <v>2</v>
      </c>
      <c r="L214">
        <v>0.026</v>
      </c>
      <c r="M214">
        <v>458.576</v>
      </c>
      <c r="N214">
        <v>0.029</v>
      </c>
      <c r="O214">
        <v>-0.002</v>
      </c>
      <c r="P214">
        <v>0</v>
      </c>
      <c r="Q214">
        <v>0</v>
      </c>
      <c r="R214">
        <v>0</v>
      </c>
      <c r="S214">
        <v>458.576</v>
      </c>
      <c r="T214">
        <v>454.33</v>
      </c>
      <c r="U214">
        <v>458.573</v>
      </c>
      <c r="V214">
        <v>454.348</v>
      </c>
    </row>
    <row r="215" spans="2:22">
      <c r="B215">
        <v>214</v>
      </c>
      <c r="C215" t="s">
        <v>235</v>
      </c>
      <c r="D215">
        <v>80</v>
      </c>
      <c r="E215">
        <v>28.269</v>
      </c>
      <c r="F215">
        <v>42703.617</v>
      </c>
      <c r="G215">
        <v>42723.352</v>
      </c>
      <c r="H215">
        <v>42743.09</v>
      </c>
      <c r="I215">
        <v>1</v>
      </c>
      <c r="J215">
        <v>2</v>
      </c>
      <c r="K215">
        <v>0</v>
      </c>
      <c r="L215">
        <v>0.022</v>
      </c>
      <c r="M215">
        <v>458.554</v>
      </c>
      <c r="N215">
        <v>0.019</v>
      </c>
      <c r="O215">
        <v>0</v>
      </c>
      <c r="P215">
        <v>0.001</v>
      </c>
      <c r="Q215">
        <v>0.002</v>
      </c>
      <c r="R215">
        <v>0</v>
      </c>
      <c r="S215" t="s">
        <v>22</v>
      </c>
      <c r="T215" t="s">
        <v>22</v>
      </c>
      <c r="U215">
        <v>458.554</v>
      </c>
      <c r="V215">
        <v>454.308</v>
      </c>
    </row>
    <row r="216" spans="2:22">
      <c r="B216">
        <v>215</v>
      </c>
      <c r="C216" t="s">
        <v>236</v>
      </c>
      <c r="D216">
        <v>80</v>
      </c>
      <c r="E216">
        <v>28.119</v>
      </c>
      <c r="F216">
        <v>42871.973</v>
      </c>
      <c r="G216">
        <v>42891.605</v>
      </c>
      <c r="H216">
        <v>42911.234</v>
      </c>
      <c r="I216">
        <v>1</v>
      </c>
      <c r="J216">
        <v>2</v>
      </c>
      <c r="K216">
        <v>0</v>
      </c>
      <c r="L216">
        <v>0.033</v>
      </c>
      <c r="M216">
        <v>458.521</v>
      </c>
      <c r="N216">
        <v>0.028</v>
      </c>
      <c r="O216">
        <v>0</v>
      </c>
      <c r="P216">
        <v>0.001</v>
      </c>
      <c r="Q216">
        <v>0.003</v>
      </c>
      <c r="R216">
        <v>0</v>
      </c>
      <c r="S216" t="s">
        <v>22</v>
      </c>
      <c r="T216" t="s">
        <v>22</v>
      </c>
      <c r="U216">
        <v>458.522</v>
      </c>
      <c r="V216">
        <v>454.276</v>
      </c>
    </row>
    <row r="217" spans="2:22">
      <c r="B217">
        <v>216</v>
      </c>
      <c r="C217" t="s">
        <v>237</v>
      </c>
      <c r="D217">
        <v>0</v>
      </c>
      <c r="E217">
        <v>0</v>
      </c>
      <c r="F217">
        <v>42927.391</v>
      </c>
      <c r="G217">
        <v>42927.391</v>
      </c>
      <c r="H217">
        <v>42927.391</v>
      </c>
      <c r="I217">
        <v>3</v>
      </c>
      <c r="J217">
        <v>1</v>
      </c>
      <c r="K217">
        <v>1</v>
      </c>
      <c r="L217">
        <v>0.01</v>
      </c>
      <c r="M217">
        <v>458.511</v>
      </c>
      <c r="N217">
        <v>0.005</v>
      </c>
      <c r="O217">
        <v>0.005</v>
      </c>
      <c r="P217">
        <v>0</v>
      </c>
      <c r="Q217">
        <v>0.001</v>
      </c>
      <c r="R217">
        <v>0</v>
      </c>
      <c r="S217">
        <v>458.515</v>
      </c>
      <c r="T217">
        <v>454.269</v>
      </c>
      <c r="U217">
        <v>458.511</v>
      </c>
      <c r="V217">
        <v>454.286</v>
      </c>
    </row>
    <row r="218" spans="2:22">
      <c r="B218">
        <v>217</v>
      </c>
      <c r="C218" t="s">
        <v>238</v>
      </c>
      <c r="D218">
        <v>0</v>
      </c>
      <c r="E218">
        <v>0</v>
      </c>
      <c r="F218">
        <v>43056.891</v>
      </c>
      <c r="G218">
        <v>43056.891</v>
      </c>
      <c r="H218">
        <v>43056.891</v>
      </c>
      <c r="I218">
        <v>3</v>
      </c>
      <c r="J218">
        <v>1</v>
      </c>
      <c r="K218">
        <v>2</v>
      </c>
      <c r="L218">
        <v>0.021</v>
      </c>
      <c r="M218">
        <v>458.489</v>
      </c>
      <c r="N218">
        <v>0.024</v>
      </c>
      <c r="O218">
        <v>-0.002</v>
      </c>
      <c r="P218">
        <v>0</v>
      </c>
      <c r="Q218">
        <v>0</v>
      </c>
      <c r="R218">
        <v>0</v>
      </c>
      <c r="S218">
        <v>458.489</v>
      </c>
      <c r="T218">
        <v>454.243</v>
      </c>
      <c r="U218">
        <v>458.487</v>
      </c>
      <c r="V218">
        <v>454.262</v>
      </c>
    </row>
    <row r="219" spans="2:22">
      <c r="B219">
        <v>218</v>
      </c>
      <c r="C219" t="s">
        <v>239</v>
      </c>
      <c r="D219">
        <v>80</v>
      </c>
      <c r="E219">
        <v>28.533</v>
      </c>
      <c r="F219">
        <v>43077.5</v>
      </c>
      <c r="G219">
        <v>43097.422</v>
      </c>
      <c r="H219">
        <v>43117.34</v>
      </c>
      <c r="I219">
        <v>1</v>
      </c>
      <c r="J219">
        <v>2</v>
      </c>
      <c r="K219">
        <v>0</v>
      </c>
      <c r="L219">
        <v>0.008</v>
      </c>
      <c r="M219">
        <v>458.482</v>
      </c>
      <c r="N219">
        <v>0.006</v>
      </c>
      <c r="O219">
        <v>0</v>
      </c>
      <c r="P219">
        <v>0.001</v>
      </c>
      <c r="Q219">
        <v>0.001</v>
      </c>
      <c r="R219">
        <v>0</v>
      </c>
      <c r="S219" t="s">
        <v>22</v>
      </c>
      <c r="T219" t="s">
        <v>22</v>
      </c>
      <c r="U219">
        <v>458.482</v>
      </c>
      <c r="V219">
        <v>454.236</v>
      </c>
    </row>
    <row r="220" spans="2:22">
      <c r="B220">
        <v>219</v>
      </c>
      <c r="C220" t="s">
        <v>240</v>
      </c>
      <c r="D220">
        <v>80</v>
      </c>
      <c r="E220">
        <v>3.919</v>
      </c>
      <c r="F220">
        <v>43289.801</v>
      </c>
      <c r="G220">
        <v>43292.535</v>
      </c>
      <c r="H220">
        <v>43295.27</v>
      </c>
      <c r="I220">
        <v>1</v>
      </c>
      <c r="J220">
        <v>2</v>
      </c>
      <c r="K220">
        <v>0</v>
      </c>
      <c r="L220">
        <v>0.037</v>
      </c>
      <c r="M220">
        <v>458.445</v>
      </c>
      <c r="N220">
        <v>0.033</v>
      </c>
      <c r="O220">
        <v>0</v>
      </c>
      <c r="P220">
        <v>0</v>
      </c>
      <c r="Q220">
        <v>0.004</v>
      </c>
      <c r="R220">
        <v>0</v>
      </c>
      <c r="S220" t="s">
        <v>22</v>
      </c>
      <c r="T220" t="s">
        <v>22</v>
      </c>
      <c r="U220">
        <v>458.445</v>
      </c>
      <c r="V220">
        <v>454.199</v>
      </c>
    </row>
    <row r="221" spans="2:22">
      <c r="B221">
        <v>220</v>
      </c>
      <c r="C221" t="s">
        <v>241</v>
      </c>
      <c r="D221">
        <v>0</v>
      </c>
      <c r="E221">
        <v>0</v>
      </c>
      <c r="F221">
        <v>43316.488</v>
      </c>
      <c r="G221">
        <v>43316.488</v>
      </c>
      <c r="H221">
        <v>43316.488</v>
      </c>
      <c r="I221">
        <v>3</v>
      </c>
      <c r="J221">
        <v>1</v>
      </c>
      <c r="K221">
        <v>1</v>
      </c>
      <c r="L221">
        <v>0.008</v>
      </c>
      <c r="M221">
        <v>458.437</v>
      </c>
      <c r="N221">
        <v>0.003</v>
      </c>
      <c r="O221">
        <v>0.005</v>
      </c>
      <c r="P221">
        <v>0</v>
      </c>
      <c r="Q221">
        <v>0</v>
      </c>
      <c r="R221">
        <v>0</v>
      </c>
      <c r="S221">
        <v>458.441</v>
      </c>
      <c r="T221">
        <v>454.195</v>
      </c>
      <c r="U221">
        <v>458.437</v>
      </c>
      <c r="V221">
        <v>454.212</v>
      </c>
    </row>
    <row r="222" spans="2:22">
      <c r="B222">
        <v>221</v>
      </c>
      <c r="C222" t="s">
        <v>242</v>
      </c>
      <c r="D222">
        <v>0</v>
      </c>
      <c r="E222">
        <v>0</v>
      </c>
      <c r="F222">
        <v>43590.891</v>
      </c>
      <c r="G222">
        <v>43590.891</v>
      </c>
      <c r="H222">
        <v>43590.891</v>
      </c>
      <c r="I222">
        <v>3</v>
      </c>
      <c r="J222">
        <v>1</v>
      </c>
      <c r="K222">
        <v>2</v>
      </c>
      <c r="L222">
        <v>0.048</v>
      </c>
      <c r="M222">
        <v>458.389</v>
      </c>
      <c r="N222">
        <v>0.05</v>
      </c>
      <c r="O222">
        <v>-0.002</v>
      </c>
      <c r="P222">
        <v>0</v>
      </c>
      <c r="Q222">
        <v>0</v>
      </c>
      <c r="R222">
        <v>0</v>
      </c>
      <c r="S222">
        <v>458.389</v>
      </c>
      <c r="T222">
        <v>454.143</v>
      </c>
      <c r="U222">
        <v>458.387</v>
      </c>
      <c r="V222">
        <v>454.162</v>
      </c>
    </row>
    <row r="223" spans="2:22">
      <c r="B223">
        <v>222</v>
      </c>
      <c r="C223" t="s">
        <v>243</v>
      </c>
      <c r="D223">
        <v>80</v>
      </c>
      <c r="E223">
        <v>15.25</v>
      </c>
      <c r="F223">
        <v>43631.934</v>
      </c>
      <c r="G223">
        <v>43642.582</v>
      </c>
      <c r="H223">
        <v>43653.227</v>
      </c>
      <c r="I223">
        <v>1</v>
      </c>
      <c r="J223">
        <v>2</v>
      </c>
      <c r="K223">
        <v>0</v>
      </c>
      <c r="L223">
        <v>0.009</v>
      </c>
      <c r="M223">
        <v>458.38</v>
      </c>
      <c r="N223">
        <v>0.008</v>
      </c>
      <c r="O223">
        <v>0</v>
      </c>
      <c r="P223">
        <v>0.001</v>
      </c>
      <c r="Q223">
        <v>0.001</v>
      </c>
      <c r="R223">
        <v>0</v>
      </c>
      <c r="S223" t="s">
        <v>22</v>
      </c>
      <c r="T223" t="s">
        <v>22</v>
      </c>
      <c r="U223">
        <v>458.38</v>
      </c>
      <c r="V223">
        <v>454.134</v>
      </c>
    </row>
    <row r="224" spans="2:22">
      <c r="B224">
        <v>223</v>
      </c>
      <c r="C224" t="s">
        <v>244</v>
      </c>
      <c r="D224">
        <v>80</v>
      </c>
      <c r="E224">
        <v>20.154</v>
      </c>
      <c r="F224">
        <v>43678.746</v>
      </c>
      <c r="G224">
        <v>43692.816</v>
      </c>
      <c r="H224">
        <v>43706.887</v>
      </c>
      <c r="I224">
        <v>1</v>
      </c>
      <c r="J224">
        <v>2</v>
      </c>
      <c r="K224">
        <v>0</v>
      </c>
      <c r="L224">
        <v>0.01</v>
      </c>
      <c r="M224">
        <v>458.37</v>
      </c>
      <c r="N224">
        <v>0.008</v>
      </c>
      <c r="O224">
        <v>0</v>
      </c>
      <c r="P224">
        <v>0.001</v>
      </c>
      <c r="Q224">
        <v>0.001</v>
      </c>
      <c r="R224">
        <v>0</v>
      </c>
      <c r="S224" t="s">
        <v>22</v>
      </c>
      <c r="T224" t="s">
        <v>22</v>
      </c>
      <c r="U224">
        <v>458.37</v>
      </c>
      <c r="V224">
        <v>454.124</v>
      </c>
    </row>
    <row r="225" spans="2:22">
      <c r="B225">
        <v>224</v>
      </c>
      <c r="C225" t="s">
        <v>245</v>
      </c>
      <c r="D225">
        <v>80</v>
      </c>
      <c r="E225">
        <v>38.926</v>
      </c>
      <c r="F225">
        <v>43791.691</v>
      </c>
      <c r="G225">
        <v>43818.867</v>
      </c>
      <c r="H225">
        <v>43846.043</v>
      </c>
      <c r="I225">
        <v>1</v>
      </c>
      <c r="J225">
        <v>2</v>
      </c>
      <c r="K225">
        <v>0</v>
      </c>
      <c r="L225">
        <v>0.025</v>
      </c>
      <c r="M225">
        <v>458.344</v>
      </c>
      <c r="N225">
        <v>0.021</v>
      </c>
      <c r="O225">
        <v>0</v>
      </c>
      <c r="P225">
        <v>0.002</v>
      </c>
      <c r="Q225">
        <v>0.003</v>
      </c>
      <c r="R225">
        <v>0</v>
      </c>
      <c r="S225" t="s">
        <v>22</v>
      </c>
      <c r="T225" t="s">
        <v>22</v>
      </c>
      <c r="U225">
        <v>458.345</v>
      </c>
      <c r="V225">
        <v>454.099</v>
      </c>
    </row>
    <row r="226" spans="2:22">
      <c r="B226">
        <v>225</v>
      </c>
      <c r="C226" t="s">
        <v>246</v>
      </c>
      <c r="D226">
        <v>80</v>
      </c>
      <c r="E226">
        <v>24.154</v>
      </c>
      <c r="F226">
        <v>43855.809</v>
      </c>
      <c r="G226">
        <v>43872.672</v>
      </c>
      <c r="H226">
        <v>43889.535</v>
      </c>
      <c r="I226">
        <v>1</v>
      </c>
      <c r="J226">
        <v>2</v>
      </c>
      <c r="K226">
        <v>0</v>
      </c>
      <c r="L226">
        <v>0.011</v>
      </c>
      <c r="M226">
        <v>458.333</v>
      </c>
      <c r="N226">
        <v>0.009</v>
      </c>
      <c r="O226">
        <v>0</v>
      </c>
      <c r="P226">
        <v>0.001</v>
      </c>
      <c r="Q226">
        <v>0.001</v>
      </c>
      <c r="R226">
        <v>0</v>
      </c>
      <c r="S226" t="s">
        <v>22</v>
      </c>
      <c r="T226" t="s">
        <v>22</v>
      </c>
      <c r="U226">
        <v>458.334</v>
      </c>
      <c r="V226">
        <v>454.088</v>
      </c>
    </row>
    <row r="227" spans="2:22">
      <c r="B227">
        <v>226</v>
      </c>
      <c r="C227" t="s">
        <v>247</v>
      </c>
      <c r="D227">
        <v>80</v>
      </c>
      <c r="E227">
        <v>13.703</v>
      </c>
      <c r="F227">
        <v>43928.152</v>
      </c>
      <c r="G227">
        <v>43937.719</v>
      </c>
      <c r="H227">
        <v>43947.285</v>
      </c>
      <c r="I227">
        <v>1</v>
      </c>
      <c r="J227">
        <v>2</v>
      </c>
      <c r="K227">
        <v>0</v>
      </c>
      <c r="L227">
        <v>0.013</v>
      </c>
      <c r="M227">
        <v>458.32</v>
      </c>
      <c r="N227">
        <v>0.011</v>
      </c>
      <c r="O227">
        <v>0</v>
      </c>
      <c r="P227">
        <v>0.001</v>
      </c>
      <c r="Q227">
        <v>0.001</v>
      </c>
      <c r="R227">
        <v>0</v>
      </c>
      <c r="S227" t="s">
        <v>22</v>
      </c>
      <c r="T227" t="s">
        <v>22</v>
      </c>
      <c r="U227">
        <v>458.321</v>
      </c>
      <c r="V227">
        <v>454.075</v>
      </c>
    </row>
    <row r="228" spans="2:22">
      <c r="B228">
        <v>227</v>
      </c>
      <c r="C228" t="s">
        <v>248</v>
      </c>
      <c r="D228">
        <v>0</v>
      </c>
      <c r="E228">
        <v>0</v>
      </c>
      <c r="F228">
        <v>44011.996</v>
      </c>
      <c r="G228">
        <v>44011.996</v>
      </c>
      <c r="H228">
        <v>44011.996</v>
      </c>
      <c r="I228">
        <v>3</v>
      </c>
      <c r="J228">
        <v>1</v>
      </c>
      <c r="K228">
        <v>1</v>
      </c>
      <c r="L228">
        <v>0.018</v>
      </c>
      <c r="M228">
        <v>458.303</v>
      </c>
      <c r="N228">
        <v>0.012</v>
      </c>
      <c r="O228">
        <v>0.005</v>
      </c>
      <c r="P228">
        <v>0</v>
      </c>
      <c r="Q228">
        <v>0.001</v>
      </c>
      <c r="R228">
        <v>0</v>
      </c>
      <c r="S228">
        <v>458.307</v>
      </c>
      <c r="T228">
        <v>454.061</v>
      </c>
      <c r="U228">
        <v>458.303</v>
      </c>
      <c r="V228">
        <v>454.078</v>
      </c>
    </row>
    <row r="229" spans="2:22">
      <c r="B229">
        <v>228</v>
      </c>
      <c r="C229" t="s">
        <v>249</v>
      </c>
      <c r="D229">
        <v>80</v>
      </c>
      <c r="E229">
        <v>27.76</v>
      </c>
      <c r="F229">
        <v>44064.43</v>
      </c>
      <c r="G229">
        <v>44083.809</v>
      </c>
      <c r="H229">
        <v>44103.188</v>
      </c>
      <c r="I229">
        <v>3</v>
      </c>
      <c r="J229">
        <v>1</v>
      </c>
      <c r="K229">
        <v>0</v>
      </c>
      <c r="L229">
        <v>0.014</v>
      </c>
      <c r="M229">
        <v>458.289</v>
      </c>
      <c r="N229">
        <v>0.013</v>
      </c>
      <c r="O229">
        <v>0</v>
      </c>
      <c r="P229">
        <v>0.001</v>
      </c>
      <c r="Q229">
        <v>0</v>
      </c>
      <c r="R229">
        <v>0</v>
      </c>
      <c r="S229" t="s">
        <v>22</v>
      </c>
      <c r="T229" t="s">
        <v>22</v>
      </c>
      <c r="U229">
        <v>458.289</v>
      </c>
      <c r="V229">
        <v>454.064</v>
      </c>
    </row>
    <row r="230" spans="2:22">
      <c r="B230">
        <v>229</v>
      </c>
      <c r="C230" t="s">
        <v>250</v>
      </c>
      <c r="D230">
        <v>0</v>
      </c>
      <c r="E230">
        <v>0</v>
      </c>
      <c r="F230">
        <v>44370.609</v>
      </c>
      <c r="G230">
        <v>44370.609</v>
      </c>
      <c r="H230">
        <v>44370.609</v>
      </c>
      <c r="I230">
        <v>3</v>
      </c>
      <c r="J230">
        <v>1</v>
      </c>
      <c r="K230">
        <v>2</v>
      </c>
      <c r="L230">
        <v>0.05</v>
      </c>
      <c r="M230">
        <v>458.239</v>
      </c>
      <c r="N230">
        <v>0.052</v>
      </c>
      <c r="O230">
        <v>-0.002</v>
      </c>
      <c r="P230">
        <v>0</v>
      </c>
      <c r="Q230">
        <v>0</v>
      </c>
      <c r="R230">
        <v>0</v>
      </c>
      <c r="S230">
        <v>458.239</v>
      </c>
      <c r="T230">
        <v>453.993</v>
      </c>
      <c r="U230">
        <v>458.236</v>
      </c>
      <c r="V230">
        <v>454.011</v>
      </c>
    </row>
    <row r="231" spans="2:22">
      <c r="B231">
        <v>230</v>
      </c>
      <c r="C231" t="s">
        <v>251</v>
      </c>
      <c r="D231">
        <v>80</v>
      </c>
      <c r="E231">
        <v>8.481</v>
      </c>
      <c r="F231">
        <v>44390.727</v>
      </c>
      <c r="G231">
        <v>44396.648</v>
      </c>
      <c r="H231">
        <v>44402.57</v>
      </c>
      <c r="I231">
        <v>1</v>
      </c>
      <c r="J231">
        <v>2</v>
      </c>
      <c r="K231">
        <v>0</v>
      </c>
      <c r="L231">
        <v>0.004</v>
      </c>
      <c r="M231">
        <v>458.234</v>
      </c>
      <c r="N231">
        <v>0.004</v>
      </c>
      <c r="O231">
        <v>0</v>
      </c>
      <c r="P231">
        <v>0</v>
      </c>
      <c r="Q231">
        <v>0</v>
      </c>
      <c r="R231">
        <v>0</v>
      </c>
      <c r="S231" t="s">
        <v>22</v>
      </c>
      <c r="T231" t="s">
        <v>22</v>
      </c>
      <c r="U231">
        <v>458.235</v>
      </c>
      <c r="V231">
        <v>453.989</v>
      </c>
    </row>
    <row r="232" spans="2:22">
      <c r="B232">
        <v>231</v>
      </c>
      <c r="C232" t="s">
        <v>252</v>
      </c>
      <c r="D232">
        <v>80</v>
      </c>
      <c r="E232">
        <v>17.027</v>
      </c>
      <c r="F232">
        <v>44445.895</v>
      </c>
      <c r="G232">
        <v>44457.785</v>
      </c>
      <c r="H232">
        <v>44469.672</v>
      </c>
      <c r="I232">
        <v>1</v>
      </c>
      <c r="J232">
        <v>2</v>
      </c>
      <c r="K232">
        <v>0</v>
      </c>
      <c r="L232">
        <v>0.012</v>
      </c>
      <c r="M232">
        <v>458.222</v>
      </c>
      <c r="N232">
        <v>0.01</v>
      </c>
      <c r="O232">
        <v>0</v>
      </c>
      <c r="P232">
        <v>0.001</v>
      </c>
      <c r="Q232">
        <v>0.001</v>
      </c>
      <c r="R232">
        <v>0</v>
      </c>
      <c r="S232" t="s">
        <v>22</v>
      </c>
      <c r="T232" t="s">
        <v>22</v>
      </c>
      <c r="U232">
        <v>458.223</v>
      </c>
      <c r="V232">
        <v>453.977</v>
      </c>
    </row>
    <row r="233" spans="2:22">
      <c r="B233">
        <v>232</v>
      </c>
      <c r="C233" t="s">
        <v>253</v>
      </c>
      <c r="D233">
        <v>80</v>
      </c>
      <c r="E233">
        <v>12.508</v>
      </c>
      <c r="F233">
        <v>44542.004</v>
      </c>
      <c r="G233">
        <v>44550.738</v>
      </c>
      <c r="H233">
        <v>44559.469</v>
      </c>
      <c r="I233">
        <v>1</v>
      </c>
      <c r="J233">
        <v>2</v>
      </c>
      <c r="K233">
        <v>0</v>
      </c>
      <c r="L233">
        <v>0.018</v>
      </c>
      <c r="M233">
        <v>458.204</v>
      </c>
      <c r="N233">
        <v>0.015</v>
      </c>
      <c r="O233">
        <v>0</v>
      </c>
      <c r="P233">
        <v>0.001</v>
      </c>
      <c r="Q233">
        <v>0.002</v>
      </c>
      <c r="R233">
        <v>0</v>
      </c>
      <c r="S233" t="s">
        <v>22</v>
      </c>
      <c r="T233" t="s">
        <v>22</v>
      </c>
      <c r="U233">
        <v>458.205</v>
      </c>
      <c r="V233">
        <v>453.959</v>
      </c>
    </row>
    <row r="234" spans="2:22">
      <c r="B234">
        <v>233</v>
      </c>
      <c r="C234" t="s">
        <v>254</v>
      </c>
      <c r="D234">
        <v>80</v>
      </c>
      <c r="E234">
        <v>23.656</v>
      </c>
      <c r="F234">
        <v>44651.152</v>
      </c>
      <c r="G234">
        <v>44667.668</v>
      </c>
      <c r="H234">
        <v>44684.184</v>
      </c>
      <c r="I234">
        <v>1</v>
      </c>
      <c r="J234">
        <v>2</v>
      </c>
      <c r="K234">
        <v>0</v>
      </c>
      <c r="L234">
        <v>0.023</v>
      </c>
      <c r="M234">
        <v>458.181</v>
      </c>
      <c r="N234">
        <v>0.019</v>
      </c>
      <c r="O234">
        <v>0</v>
      </c>
      <c r="P234">
        <v>0.001</v>
      </c>
      <c r="Q234">
        <v>0.002</v>
      </c>
      <c r="R234">
        <v>0</v>
      </c>
      <c r="S234" t="s">
        <v>22</v>
      </c>
      <c r="T234" t="s">
        <v>22</v>
      </c>
      <c r="U234">
        <v>458.182</v>
      </c>
      <c r="V234">
        <v>453.936</v>
      </c>
    </row>
    <row r="235" spans="2:22">
      <c r="B235">
        <v>234</v>
      </c>
      <c r="C235" t="s">
        <v>255</v>
      </c>
      <c r="D235">
        <v>0</v>
      </c>
      <c r="E235">
        <v>0</v>
      </c>
      <c r="F235">
        <v>44766.5</v>
      </c>
      <c r="G235">
        <v>44766.5</v>
      </c>
      <c r="H235">
        <v>44766.5</v>
      </c>
      <c r="I235">
        <v>2</v>
      </c>
      <c r="J235">
        <v>1</v>
      </c>
      <c r="K235">
        <v>1</v>
      </c>
      <c r="L235">
        <v>0.085</v>
      </c>
      <c r="M235">
        <v>458.097</v>
      </c>
      <c r="N235">
        <v>0.016</v>
      </c>
      <c r="O235">
        <v>0.067</v>
      </c>
      <c r="P235">
        <v>0</v>
      </c>
      <c r="Q235">
        <v>0.002</v>
      </c>
      <c r="R235">
        <v>0</v>
      </c>
      <c r="S235">
        <v>458.164</v>
      </c>
      <c r="T235">
        <v>453.918</v>
      </c>
      <c r="U235">
        <v>458.097</v>
      </c>
      <c r="V235">
        <v>454.343</v>
      </c>
    </row>
    <row r="236" spans="2:22">
      <c r="B236">
        <v>235</v>
      </c>
      <c r="C236" t="s">
        <v>256</v>
      </c>
      <c r="D236">
        <v>0</v>
      </c>
      <c r="E236">
        <v>0</v>
      </c>
      <c r="F236">
        <v>45161.059</v>
      </c>
      <c r="G236">
        <v>45161.059</v>
      </c>
      <c r="H236">
        <v>45161.059</v>
      </c>
      <c r="I236">
        <v>2</v>
      </c>
      <c r="J236">
        <v>1</v>
      </c>
      <c r="K236">
        <v>2</v>
      </c>
      <c r="L236">
        <v>0.097</v>
      </c>
      <c r="M236">
        <v>458</v>
      </c>
      <c r="N236">
        <v>0.132</v>
      </c>
      <c r="O236">
        <v>-0.035</v>
      </c>
      <c r="P236">
        <v>0</v>
      </c>
      <c r="Q236">
        <v>0</v>
      </c>
      <c r="R236">
        <v>0</v>
      </c>
      <c r="S236">
        <v>458</v>
      </c>
      <c r="T236">
        <v>453.754</v>
      </c>
      <c r="U236">
        <v>457.965</v>
      </c>
      <c r="V236">
        <v>454.211</v>
      </c>
    </row>
    <row r="237" spans="2:22">
      <c r="B237">
        <v>236</v>
      </c>
      <c r="C237" t="s">
        <v>257</v>
      </c>
      <c r="D237">
        <v>80</v>
      </c>
      <c r="E237">
        <v>23.66</v>
      </c>
      <c r="F237">
        <v>45172.578</v>
      </c>
      <c r="G237">
        <v>45189.094</v>
      </c>
      <c r="H237">
        <v>45205.613</v>
      </c>
      <c r="I237">
        <v>1</v>
      </c>
      <c r="J237">
        <v>2</v>
      </c>
      <c r="K237">
        <v>0</v>
      </c>
      <c r="L237">
        <v>0.005</v>
      </c>
      <c r="M237">
        <v>457.995</v>
      </c>
      <c r="N237">
        <v>0.004</v>
      </c>
      <c r="O237">
        <v>0</v>
      </c>
      <c r="P237">
        <v>0.001</v>
      </c>
      <c r="Q237">
        <v>0</v>
      </c>
      <c r="R237">
        <v>0</v>
      </c>
      <c r="S237" t="s">
        <v>22</v>
      </c>
      <c r="T237" t="s">
        <v>22</v>
      </c>
      <c r="U237">
        <v>457.996</v>
      </c>
      <c r="V237">
        <v>453.75</v>
      </c>
    </row>
    <row r="238" spans="2:22">
      <c r="B238">
        <v>237</v>
      </c>
      <c r="C238" t="s">
        <v>258</v>
      </c>
      <c r="D238">
        <v>80</v>
      </c>
      <c r="E238">
        <v>6.649</v>
      </c>
      <c r="F238">
        <v>45295.309</v>
      </c>
      <c r="G238">
        <v>45299.949</v>
      </c>
      <c r="H238">
        <v>45304.594</v>
      </c>
      <c r="I238">
        <v>1</v>
      </c>
      <c r="J238">
        <v>2</v>
      </c>
      <c r="K238">
        <v>0</v>
      </c>
      <c r="L238">
        <v>0.021</v>
      </c>
      <c r="M238">
        <v>457.974</v>
      </c>
      <c r="N238">
        <v>0.018</v>
      </c>
      <c r="O238">
        <v>0</v>
      </c>
      <c r="P238">
        <v>0</v>
      </c>
      <c r="Q238">
        <v>0.002</v>
      </c>
      <c r="R238">
        <v>0</v>
      </c>
      <c r="S238" t="s">
        <v>22</v>
      </c>
      <c r="T238" t="s">
        <v>22</v>
      </c>
      <c r="U238">
        <v>457.974</v>
      </c>
      <c r="V238">
        <v>453.728</v>
      </c>
    </row>
    <row r="239" spans="2:22">
      <c r="B239">
        <v>238</v>
      </c>
      <c r="C239" t="s">
        <v>259</v>
      </c>
      <c r="D239">
        <v>0</v>
      </c>
      <c r="E239">
        <v>0</v>
      </c>
      <c r="F239">
        <v>45343.176</v>
      </c>
      <c r="G239">
        <v>45343.176</v>
      </c>
      <c r="H239">
        <v>45343.176</v>
      </c>
      <c r="I239">
        <v>2</v>
      </c>
      <c r="J239">
        <v>1</v>
      </c>
      <c r="K239">
        <v>1</v>
      </c>
      <c r="L239">
        <v>0.074</v>
      </c>
      <c r="M239">
        <v>457.9</v>
      </c>
      <c r="N239">
        <v>0.006</v>
      </c>
      <c r="O239">
        <v>0.067</v>
      </c>
      <c r="P239">
        <v>0</v>
      </c>
      <c r="Q239">
        <v>0.001</v>
      </c>
      <c r="R239">
        <v>0</v>
      </c>
      <c r="S239">
        <v>457.967</v>
      </c>
      <c r="T239">
        <v>453.721</v>
      </c>
      <c r="U239">
        <v>457.9</v>
      </c>
      <c r="V239">
        <v>454.146</v>
      </c>
    </row>
    <row r="240" spans="2:22">
      <c r="B240">
        <v>239</v>
      </c>
      <c r="C240" t="s">
        <v>260</v>
      </c>
      <c r="D240">
        <v>0</v>
      </c>
      <c r="E240">
        <v>0</v>
      </c>
      <c r="F240">
        <v>45497.891</v>
      </c>
      <c r="G240">
        <v>45497.891</v>
      </c>
      <c r="H240">
        <v>45497.891</v>
      </c>
      <c r="I240">
        <v>2</v>
      </c>
      <c r="J240">
        <v>1</v>
      </c>
      <c r="K240">
        <v>2</v>
      </c>
      <c r="L240">
        <v>0.017</v>
      </c>
      <c r="M240">
        <v>457.883</v>
      </c>
      <c r="N240">
        <v>0.052</v>
      </c>
      <c r="O240">
        <v>-0.035</v>
      </c>
      <c r="P240">
        <v>0</v>
      </c>
      <c r="Q240">
        <v>0</v>
      </c>
      <c r="R240">
        <v>0</v>
      </c>
      <c r="S240">
        <v>457.883</v>
      </c>
      <c r="T240">
        <v>453.637</v>
      </c>
      <c r="U240">
        <v>457.848</v>
      </c>
      <c r="V240">
        <v>454.094</v>
      </c>
    </row>
    <row r="241" spans="2:22">
      <c r="B241">
        <v>240</v>
      </c>
      <c r="C241" t="s">
        <v>261</v>
      </c>
      <c r="D241">
        <v>60</v>
      </c>
      <c r="E241">
        <v>46.136</v>
      </c>
      <c r="F241">
        <v>45502.922</v>
      </c>
      <c r="G241">
        <v>45527.078</v>
      </c>
      <c r="H241">
        <v>45551.234</v>
      </c>
      <c r="I241">
        <v>1</v>
      </c>
      <c r="J241">
        <v>2</v>
      </c>
      <c r="K241">
        <v>0</v>
      </c>
      <c r="L241">
        <v>0.006</v>
      </c>
      <c r="M241">
        <v>457.877</v>
      </c>
      <c r="N241">
        <v>0.004</v>
      </c>
      <c r="O241">
        <v>0</v>
      </c>
      <c r="P241">
        <v>0.002</v>
      </c>
      <c r="Q241">
        <v>0</v>
      </c>
      <c r="R241">
        <v>0</v>
      </c>
      <c r="S241" t="s">
        <v>22</v>
      </c>
      <c r="T241" t="s">
        <v>22</v>
      </c>
      <c r="U241">
        <v>457.878</v>
      </c>
      <c r="V241">
        <v>453.632</v>
      </c>
    </row>
    <row r="242" spans="2:22">
      <c r="B242">
        <v>241</v>
      </c>
      <c r="C242" t="s">
        <v>262</v>
      </c>
      <c r="D242">
        <v>0</v>
      </c>
      <c r="E242">
        <v>0</v>
      </c>
      <c r="F242">
        <v>45564.297</v>
      </c>
      <c r="G242">
        <v>45564.297</v>
      </c>
      <c r="H242">
        <v>45564.297</v>
      </c>
      <c r="I242">
        <v>2</v>
      </c>
      <c r="J242">
        <v>1</v>
      </c>
      <c r="K242">
        <v>1</v>
      </c>
      <c r="L242">
        <v>0.073</v>
      </c>
      <c r="M242">
        <v>457.804</v>
      </c>
      <c r="N242">
        <v>0.005</v>
      </c>
      <c r="O242">
        <v>0.067</v>
      </c>
      <c r="P242">
        <v>0</v>
      </c>
      <c r="Q242">
        <v>0.001</v>
      </c>
      <c r="R242">
        <v>0</v>
      </c>
      <c r="S242">
        <v>457.871</v>
      </c>
      <c r="T242">
        <v>453.625</v>
      </c>
      <c r="U242">
        <v>457.804</v>
      </c>
      <c r="V242">
        <v>454.05</v>
      </c>
    </row>
    <row r="243" spans="2:22">
      <c r="B243">
        <v>242</v>
      </c>
      <c r="C243" t="s">
        <v>263</v>
      </c>
      <c r="D243">
        <v>0</v>
      </c>
      <c r="E243">
        <v>0</v>
      </c>
      <c r="F243">
        <v>45744.508</v>
      </c>
      <c r="G243">
        <v>45744.508</v>
      </c>
      <c r="H243">
        <v>45744.508</v>
      </c>
      <c r="I243">
        <v>2</v>
      </c>
      <c r="J243">
        <v>1</v>
      </c>
      <c r="K243">
        <v>2</v>
      </c>
      <c r="L243">
        <v>0.025</v>
      </c>
      <c r="M243">
        <v>457.779</v>
      </c>
      <c r="N243">
        <v>0.06</v>
      </c>
      <c r="O243">
        <v>-0.035</v>
      </c>
      <c r="P243">
        <v>0</v>
      </c>
      <c r="Q243">
        <v>0</v>
      </c>
      <c r="R243">
        <v>0</v>
      </c>
      <c r="S243">
        <v>457.779</v>
      </c>
      <c r="T243">
        <v>453.533</v>
      </c>
      <c r="U243">
        <v>457.744</v>
      </c>
      <c r="V243">
        <v>453.99</v>
      </c>
    </row>
    <row r="244" spans="2:22">
      <c r="B244">
        <v>243</v>
      </c>
      <c r="C244" t="s">
        <v>264</v>
      </c>
      <c r="D244">
        <v>80</v>
      </c>
      <c r="E244">
        <v>49.542</v>
      </c>
      <c r="F244">
        <v>45762.582</v>
      </c>
      <c r="G244">
        <v>45797.168</v>
      </c>
      <c r="H244">
        <v>45831.754</v>
      </c>
      <c r="I244">
        <v>1</v>
      </c>
      <c r="J244">
        <v>2</v>
      </c>
      <c r="K244">
        <v>0</v>
      </c>
      <c r="L244">
        <v>0.011</v>
      </c>
      <c r="M244">
        <v>457.767</v>
      </c>
      <c r="N244">
        <v>0.008</v>
      </c>
      <c r="O244">
        <v>0</v>
      </c>
      <c r="P244">
        <v>0.002</v>
      </c>
      <c r="Q244">
        <v>0.001</v>
      </c>
      <c r="R244">
        <v>0</v>
      </c>
      <c r="S244" t="s">
        <v>22</v>
      </c>
      <c r="T244" t="s">
        <v>22</v>
      </c>
      <c r="U244">
        <v>457.769</v>
      </c>
      <c r="V244">
        <v>453.523</v>
      </c>
    </row>
    <row r="245" spans="2:22">
      <c r="B245">
        <v>244</v>
      </c>
      <c r="C245" t="s">
        <v>265</v>
      </c>
      <c r="D245">
        <v>0</v>
      </c>
      <c r="E245">
        <v>0</v>
      </c>
      <c r="F245">
        <v>45876.664</v>
      </c>
      <c r="G245">
        <v>45876.664</v>
      </c>
      <c r="H245">
        <v>45876.664</v>
      </c>
      <c r="I245">
        <v>2</v>
      </c>
      <c r="J245">
        <v>1</v>
      </c>
      <c r="K245">
        <v>1</v>
      </c>
      <c r="L245">
        <v>0.081</v>
      </c>
      <c r="M245">
        <v>457.687</v>
      </c>
      <c r="N245">
        <v>0.012</v>
      </c>
      <c r="O245">
        <v>0.067</v>
      </c>
      <c r="P245">
        <v>0</v>
      </c>
      <c r="Q245">
        <v>0.001</v>
      </c>
      <c r="R245">
        <v>0</v>
      </c>
      <c r="S245">
        <v>457.754</v>
      </c>
      <c r="T245">
        <v>453.508</v>
      </c>
      <c r="U245">
        <v>457.687</v>
      </c>
      <c r="V245">
        <v>453.933</v>
      </c>
    </row>
    <row r="246" spans="2:22">
      <c r="B246">
        <v>245</v>
      </c>
      <c r="C246" t="s">
        <v>266</v>
      </c>
      <c r="D246">
        <v>0</v>
      </c>
      <c r="E246">
        <v>0</v>
      </c>
      <c r="F246">
        <v>46005.227</v>
      </c>
      <c r="G246">
        <v>46005.227</v>
      </c>
      <c r="H246">
        <v>46005.227</v>
      </c>
      <c r="I246">
        <v>2</v>
      </c>
      <c r="J246">
        <v>1</v>
      </c>
      <c r="K246">
        <v>2</v>
      </c>
      <c r="L246">
        <v>0.008</v>
      </c>
      <c r="M246">
        <v>457.679</v>
      </c>
      <c r="N246">
        <v>0.043</v>
      </c>
      <c r="O246">
        <v>-0.035</v>
      </c>
      <c r="P246">
        <v>0</v>
      </c>
      <c r="Q246">
        <v>0</v>
      </c>
      <c r="R246">
        <v>0</v>
      </c>
      <c r="S246">
        <v>457.679</v>
      </c>
      <c r="T246">
        <v>453.433</v>
      </c>
      <c r="U246">
        <v>457.644</v>
      </c>
      <c r="V246">
        <v>453.89</v>
      </c>
    </row>
    <row r="247" spans="2:22">
      <c r="B247">
        <v>246</v>
      </c>
      <c r="C247" t="s">
        <v>267</v>
      </c>
      <c r="D247">
        <v>80</v>
      </c>
      <c r="E247">
        <v>24.416</v>
      </c>
      <c r="F247">
        <v>46036.59</v>
      </c>
      <c r="G247">
        <v>46053.637</v>
      </c>
      <c r="H247">
        <v>46070.68</v>
      </c>
      <c r="I247">
        <v>1</v>
      </c>
      <c r="J247">
        <v>2</v>
      </c>
      <c r="K247">
        <v>0</v>
      </c>
      <c r="L247">
        <v>0.009</v>
      </c>
      <c r="M247">
        <v>457.669</v>
      </c>
      <c r="N247">
        <v>0.007</v>
      </c>
      <c r="O247">
        <v>0</v>
      </c>
      <c r="P247">
        <v>0.001</v>
      </c>
      <c r="Q247">
        <v>0.001</v>
      </c>
      <c r="R247">
        <v>0</v>
      </c>
      <c r="S247" t="s">
        <v>22</v>
      </c>
      <c r="T247" t="s">
        <v>22</v>
      </c>
      <c r="U247">
        <v>457.67</v>
      </c>
      <c r="V247">
        <v>453.424</v>
      </c>
    </row>
    <row r="248" spans="2:22">
      <c r="B248">
        <v>247</v>
      </c>
      <c r="C248" t="s">
        <v>268</v>
      </c>
      <c r="D248">
        <v>80</v>
      </c>
      <c r="E248">
        <v>10.983</v>
      </c>
      <c r="F248">
        <v>46099.344</v>
      </c>
      <c r="G248">
        <v>46107.012</v>
      </c>
      <c r="H248">
        <v>46114.68</v>
      </c>
      <c r="I248">
        <v>1</v>
      </c>
      <c r="J248">
        <v>2</v>
      </c>
      <c r="K248">
        <v>0</v>
      </c>
      <c r="L248">
        <v>0.01</v>
      </c>
      <c r="M248">
        <v>457.659</v>
      </c>
      <c r="N248">
        <v>0.009</v>
      </c>
      <c r="O248">
        <v>0</v>
      </c>
      <c r="P248">
        <v>0.001</v>
      </c>
      <c r="Q248">
        <v>0.001</v>
      </c>
      <c r="R248">
        <v>0</v>
      </c>
      <c r="S248" t="s">
        <v>22</v>
      </c>
      <c r="T248" t="s">
        <v>22</v>
      </c>
      <c r="U248">
        <v>457.659</v>
      </c>
      <c r="V248">
        <v>453.413</v>
      </c>
    </row>
    <row r="249" spans="2:22">
      <c r="B249">
        <v>248</v>
      </c>
      <c r="C249" t="s">
        <v>269</v>
      </c>
      <c r="D249">
        <v>80</v>
      </c>
      <c r="E249">
        <v>12.775</v>
      </c>
      <c r="F249">
        <v>46204.371</v>
      </c>
      <c r="G249">
        <v>46213.289</v>
      </c>
      <c r="H249">
        <v>46222.207</v>
      </c>
      <c r="I249">
        <v>1</v>
      </c>
      <c r="J249">
        <v>2</v>
      </c>
      <c r="K249">
        <v>0</v>
      </c>
      <c r="L249">
        <v>0.02</v>
      </c>
      <c r="M249">
        <v>457.639</v>
      </c>
      <c r="N249">
        <v>0.018</v>
      </c>
      <c r="O249">
        <v>0</v>
      </c>
      <c r="P249">
        <v>0.001</v>
      </c>
      <c r="Q249">
        <v>0.002</v>
      </c>
      <c r="R249">
        <v>0</v>
      </c>
      <c r="S249" t="s">
        <v>22</v>
      </c>
      <c r="T249" t="s">
        <v>22</v>
      </c>
      <c r="U249">
        <v>457.639</v>
      </c>
      <c r="V249">
        <v>453.393</v>
      </c>
    </row>
    <row r="250" spans="2:22">
      <c r="B250">
        <v>249</v>
      </c>
      <c r="C250" t="s">
        <v>270</v>
      </c>
      <c r="D250">
        <v>0</v>
      </c>
      <c r="E250">
        <v>0</v>
      </c>
      <c r="F250">
        <v>46283.633</v>
      </c>
      <c r="G250">
        <v>46283.633</v>
      </c>
      <c r="H250">
        <v>46283.633</v>
      </c>
      <c r="I250">
        <v>2</v>
      </c>
      <c r="J250">
        <v>1</v>
      </c>
      <c r="K250">
        <v>1</v>
      </c>
      <c r="L250">
        <v>0.079</v>
      </c>
      <c r="M250">
        <v>457.559</v>
      </c>
      <c r="N250">
        <v>0.011</v>
      </c>
      <c r="O250">
        <v>0.067</v>
      </c>
      <c r="P250">
        <v>0</v>
      </c>
      <c r="Q250">
        <v>0.001</v>
      </c>
      <c r="R250">
        <v>0</v>
      </c>
      <c r="S250">
        <v>457.626</v>
      </c>
      <c r="T250">
        <v>453.38</v>
      </c>
      <c r="U250">
        <v>457.559</v>
      </c>
      <c r="V250">
        <v>453.805</v>
      </c>
    </row>
    <row r="251" spans="2:22">
      <c r="B251">
        <v>250</v>
      </c>
      <c r="C251" t="s">
        <v>271</v>
      </c>
      <c r="D251">
        <v>0</v>
      </c>
      <c r="E251">
        <v>0</v>
      </c>
      <c r="F251">
        <v>46382.785</v>
      </c>
      <c r="G251">
        <v>46382.785</v>
      </c>
      <c r="H251">
        <v>46382.785</v>
      </c>
      <c r="I251">
        <v>2</v>
      </c>
      <c r="J251">
        <v>1</v>
      </c>
      <c r="K251">
        <v>2</v>
      </c>
      <c r="L251">
        <v>-0.002</v>
      </c>
      <c r="M251">
        <v>457.561</v>
      </c>
      <c r="N251">
        <v>0.033</v>
      </c>
      <c r="O251">
        <v>-0.035</v>
      </c>
      <c r="P251">
        <v>0</v>
      </c>
      <c r="Q251">
        <v>0</v>
      </c>
      <c r="R251">
        <v>0</v>
      </c>
      <c r="S251">
        <v>457.561</v>
      </c>
      <c r="T251">
        <v>453.315</v>
      </c>
      <c r="U251">
        <v>457.526</v>
      </c>
      <c r="V251">
        <v>453.772</v>
      </c>
    </row>
    <row r="252" spans="2:22">
      <c r="B252">
        <v>251</v>
      </c>
      <c r="C252" t="s">
        <v>272</v>
      </c>
      <c r="D252">
        <v>80</v>
      </c>
      <c r="E252">
        <v>22.711</v>
      </c>
      <c r="F252">
        <v>46392.82</v>
      </c>
      <c r="G252">
        <v>46408.676</v>
      </c>
      <c r="H252">
        <v>46424.531</v>
      </c>
      <c r="I252">
        <v>1</v>
      </c>
      <c r="J252">
        <v>2</v>
      </c>
      <c r="K252">
        <v>0</v>
      </c>
      <c r="L252">
        <v>0.005</v>
      </c>
      <c r="M252">
        <v>457.556</v>
      </c>
      <c r="N252">
        <v>0.003</v>
      </c>
      <c r="O252">
        <v>0</v>
      </c>
      <c r="P252">
        <v>0.001</v>
      </c>
      <c r="Q252">
        <v>0</v>
      </c>
      <c r="R252">
        <v>0</v>
      </c>
      <c r="S252" t="s">
        <v>22</v>
      </c>
      <c r="T252" t="s">
        <v>22</v>
      </c>
      <c r="U252">
        <v>457.557</v>
      </c>
      <c r="V252">
        <v>453.311</v>
      </c>
    </row>
    <row r="253" spans="2:22">
      <c r="B253">
        <v>252</v>
      </c>
      <c r="C253" t="s">
        <v>273</v>
      </c>
      <c r="D253">
        <v>0</v>
      </c>
      <c r="E253">
        <v>0</v>
      </c>
      <c r="F253">
        <v>46486.875</v>
      </c>
      <c r="G253">
        <v>46486.875</v>
      </c>
      <c r="H253">
        <v>46486.875</v>
      </c>
      <c r="I253">
        <v>1</v>
      </c>
      <c r="J253">
        <v>5</v>
      </c>
      <c r="K253">
        <v>1</v>
      </c>
      <c r="L253">
        <v>0.015</v>
      </c>
      <c r="M253">
        <v>457.542</v>
      </c>
      <c r="N253">
        <v>0.013</v>
      </c>
      <c r="O253">
        <v>0</v>
      </c>
      <c r="P253">
        <v>0</v>
      </c>
      <c r="Q253">
        <v>0.002</v>
      </c>
      <c r="R253">
        <v>0</v>
      </c>
      <c r="S253">
        <v>457.542</v>
      </c>
      <c r="T253">
        <v>453.528</v>
      </c>
      <c r="U253">
        <v>457.542</v>
      </c>
      <c r="V253">
        <v>453.528</v>
      </c>
    </row>
    <row r="254" spans="2:22">
      <c r="B254">
        <v>253</v>
      </c>
      <c r="C254" t="s">
        <v>274</v>
      </c>
      <c r="D254">
        <v>0</v>
      </c>
      <c r="E254">
        <v>0</v>
      </c>
      <c r="F254">
        <v>49968.09</v>
      </c>
      <c r="G254">
        <v>49968.09</v>
      </c>
      <c r="H254">
        <v>49968.09</v>
      </c>
      <c r="I254">
        <v>1</v>
      </c>
      <c r="J254">
        <v>5</v>
      </c>
      <c r="K254">
        <v>2</v>
      </c>
      <c r="L254">
        <v>2.9</v>
      </c>
      <c r="M254">
        <v>454.642</v>
      </c>
      <c r="N254">
        <v>0</v>
      </c>
      <c r="O254">
        <v>0</v>
      </c>
      <c r="P254">
        <v>0</v>
      </c>
      <c r="Q254">
        <v>0</v>
      </c>
      <c r="R254">
        <v>2.9</v>
      </c>
      <c r="S254">
        <v>454.642</v>
      </c>
      <c r="T254">
        <v>450.628</v>
      </c>
      <c r="U254">
        <v>454.642</v>
      </c>
      <c r="V254">
        <v>450.628</v>
      </c>
    </row>
    <row r="255" spans="2:22">
      <c r="B255">
        <v>254</v>
      </c>
      <c r="C255" t="s">
        <v>275</v>
      </c>
      <c r="D255">
        <v>80</v>
      </c>
      <c r="E255">
        <v>42.573</v>
      </c>
      <c r="F255">
        <v>50152.426</v>
      </c>
      <c r="G255">
        <v>50182.148</v>
      </c>
      <c r="H255">
        <v>50211.871</v>
      </c>
      <c r="I255">
        <v>1</v>
      </c>
      <c r="J255">
        <v>2</v>
      </c>
      <c r="K255">
        <v>0</v>
      </c>
      <c r="L255">
        <v>0.042</v>
      </c>
      <c r="M255">
        <v>454.6</v>
      </c>
      <c r="N255">
        <v>0.036</v>
      </c>
      <c r="O255">
        <v>0</v>
      </c>
      <c r="P255">
        <v>0.002</v>
      </c>
      <c r="Q255">
        <v>0.004</v>
      </c>
      <c r="R255">
        <v>0</v>
      </c>
      <c r="S255" t="s">
        <v>22</v>
      </c>
      <c r="T255" t="s">
        <v>22</v>
      </c>
      <c r="U255">
        <v>454.601</v>
      </c>
      <c r="V255">
        <v>450.355</v>
      </c>
    </row>
    <row r="256" spans="2:22">
      <c r="B256">
        <v>255</v>
      </c>
      <c r="C256" t="s">
        <v>276</v>
      </c>
      <c r="D256">
        <v>80</v>
      </c>
      <c r="E256">
        <v>21.575</v>
      </c>
      <c r="F256">
        <v>50289.035</v>
      </c>
      <c r="G256">
        <v>50304.098</v>
      </c>
      <c r="H256">
        <v>50319.16</v>
      </c>
      <c r="I256">
        <v>1</v>
      </c>
      <c r="J256">
        <v>2</v>
      </c>
      <c r="K256">
        <v>0</v>
      </c>
      <c r="L256">
        <v>0.024</v>
      </c>
      <c r="M256">
        <v>454.576</v>
      </c>
      <c r="N256">
        <v>0.02</v>
      </c>
      <c r="O256">
        <v>0</v>
      </c>
      <c r="P256">
        <v>0.001</v>
      </c>
      <c r="Q256">
        <v>0.002</v>
      </c>
      <c r="R256">
        <v>0</v>
      </c>
      <c r="S256" t="s">
        <v>22</v>
      </c>
      <c r="T256" t="s">
        <v>22</v>
      </c>
      <c r="U256">
        <v>454.577</v>
      </c>
      <c r="V256">
        <v>450.331</v>
      </c>
    </row>
    <row r="257" spans="2:22">
      <c r="B257">
        <v>256</v>
      </c>
      <c r="C257" t="s">
        <v>277</v>
      </c>
      <c r="D257">
        <v>80</v>
      </c>
      <c r="E257">
        <v>29.285</v>
      </c>
      <c r="F257">
        <v>50387.066</v>
      </c>
      <c r="G257">
        <v>50407.508</v>
      </c>
      <c r="H257">
        <v>50427.953</v>
      </c>
      <c r="I257">
        <v>1</v>
      </c>
      <c r="J257">
        <v>2</v>
      </c>
      <c r="K257">
        <v>0</v>
      </c>
      <c r="L257">
        <v>0.021</v>
      </c>
      <c r="M257">
        <v>454.555</v>
      </c>
      <c r="N257">
        <v>0.017</v>
      </c>
      <c r="O257">
        <v>0</v>
      </c>
      <c r="P257">
        <v>0.001</v>
      </c>
      <c r="Q257">
        <v>0.002</v>
      </c>
      <c r="R257">
        <v>0</v>
      </c>
      <c r="S257" t="s">
        <v>22</v>
      </c>
      <c r="T257" t="s">
        <v>22</v>
      </c>
      <c r="U257">
        <v>454.556</v>
      </c>
      <c r="V257">
        <v>450.31</v>
      </c>
    </row>
    <row r="258" spans="2:22">
      <c r="B258">
        <v>257</v>
      </c>
      <c r="C258" t="s">
        <v>278</v>
      </c>
      <c r="D258">
        <v>0</v>
      </c>
      <c r="E258">
        <v>0</v>
      </c>
      <c r="F258">
        <v>50482.141</v>
      </c>
      <c r="G258">
        <v>50482.141</v>
      </c>
      <c r="H258">
        <v>50482.141</v>
      </c>
      <c r="I258">
        <v>3</v>
      </c>
      <c r="J258">
        <v>1</v>
      </c>
      <c r="K258">
        <v>1</v>
      </c>
      <c r="L258">
        <v>0.018</v>
      </c>
      <c r="M258">
        <v>454.538</v>
      </c>
      <c r="N258">
        <v>0.012</v>
      </c>
      <c r="O258">
        <v>0.005</v>
      </c>
      <c r="P258">
        <v>0</v>
      </c>
      <c r="Q258">
        <v>0.001</v>
      </c>
      <c r="R258">
        <v>0</v>
      </c>
      <c r="S258">
        <v>454.542</v>
      </c>
      <c r="T258">
        <v>450.296</v>
      </c>
      <c r="U258">
        <v>454.538</v>
      </c>
      <c r="V258">
        <v>450.313</v>
      </c>
    </row>
    <row r="259" spans="2:22">
      <c r="B259">
        <v>258</v>
      </c>
      <c r="C259" t="s">
        <v>279</v>
      </c>
      <c r="D259">
        <v>80</v>
      </c>
      <c r="E259">
        <v>55.895</v>
      </c>
      <c r="F259">
        <v>50733.406</v>
      </c>
      <c r="G259">
        <v>50772.43</v>
      </c>
      <c r="H259">
        <v>50811.449</v>
      </c>
      <c r="I259">
        <v>3</v>
      </c>
      <c r="J259">
        <v>1</v>
      </c>
      <c r="K259">
        <v>0</v>
      </c>
      <c r="L259">
        <v>0.055</v>
      </c>
      <c r="M259">
        <v>454.482</v>
      </c>
      <c r="N259">
        <v>0.053</v>
      </c>
      <c r="O259">
        <v>0</v>
      </c>
      <c r="P259">
        <v>0.003</v>
      </c>
      <c r="Q259">
        <v>0</v>
      </c>
      <c r="R259">
        <v>0</v>
      </c>
      <c r="S259" t="s">
        <v>22</v>
      </c>
      <c r="T259" t="s">
        <v>22</v>
      </c>
      <c r="U259">
        <v>454.484</v>
      </c>
      <c r="V259">
        <v>450.259</v>
      </c>
    </row>
    <row r="260" spans="2:22">
      <c r="B260">
        <v>259</v>
      </c>
      <c r="C260" t="s">
        <v>280</v>
      </c>
      <c r="D260">
        <v>80</v>
      </c>
      <c r="E260">
        <v>20.736</v>
      </c>
      <c r="F260">
        <v>51297.598</v>
      </c>
      <c r="G260">
        <v>51312.074</v>
      </c>
      <c r="H260">
        <v>51326.551</v>
      </c>
      <c r="I260">
        <v>3</v>
      </c>
      <c r="J260">
        <v>1</v>
      </c>
      <c r="K260">
        <v>0</v>
      </c>
      <c r="L260">
        <v>0.099</v>
      </c>
      <c r="M260">
        <v>454.383</v>
      </c>
      <c r="N260">
        <v>0.098</v>
      </c>
      <c r="O260">
        <v>0</v>
      </c>
      <c r="P260">
        <v>0.001</v>
      </c>
      <c r="Q260">
        <v>0</v>
      </c>
      <c r="R260">
        <v>0</v>
      </c>
      <c r="S260" t="s">
        <v>22</v>
      </c>
      <c r="T260" t="s">
        <v>22</v>
      </c>
      <c r="U260">
        <v>454.384</v>
      </c>
      <c r="V260">
        <v>450.159</v>
      </c>
    </row>
    <row r="261" spans="2:22">
      <c r="B261">
        <v>260</v>
      </c>
      <c r="C261" t="s">
        <v>281</v>
      </c>
      <c r="D261">
        <v>0</v>
      </c>
      <c r="E261">
        <v>0</v>
      </c>
      <c r="F261">
        <v>51747.551</v>
      </c>
      <c r="G261">
        <v>51747.551</v>
      </c>
      <c r="H261">
        <v>51747.551</v>
      </c>
      <c r="I261">
        <v>3</v>
      </c>
      <c r="J261">
        <v>1</v>
      </c>
      <c r="K261">
        <v>2</v>
      </c>
      <c r="L261">
        <v>0.077</v>
      </c>
      <c r="M261">
        <v>454.307</v>
      </c>
      <c r="N261">
        <v>0.079</v>
      </c>
      <c r="O261">
        <v>-0.002</v>
      </c>
      <c r="P261">
        <v>0</v>
      </c>
      <c r="Q261">
        <v>0</v>
      </c>
      <c r="R261">
        <v>0</v>
      </c>
      <c r="S261">
        <v>454.307</v>
      </c>
      <c r="T261">
        <v>450.061</v>
      </c>
      <c r="U261">
        <v>454.304</v>
      </c>
      <c r="V261">
        <v>450.079</v>
      </c>
    </row>
    <row r="262" spans="2:22">
      <c r="B262">
        <v>261</v>
      </c>
      <c r="C262" t="s">
        <v>282</v>
      </c>
      <c r="D262">
        <v>80</v>
      </c>
      <c r="E262">
        <v>6.388</v>
      </c>
      <c r="F262">
        <v>51869.215</v>
      </c>
      <c r="G262">
        <v>51873.676</v>
      </c>
      <c r="H262">
        <v>51878.133</v>
      </c>
      <c r="I262">
        <v>1</v>
      </c>
      <c r="J262">
        <v>2</v>
      </c>
      <c r="K262">
        <v>0</v>
      </c>
      <c r="L262">
        <v>0.023</v>
      </c>
      <c r="M262">
        <v>454.284</v>
      </c>
      <c r="N262">
        <v>0.02</v>
      </c>
      <c r="O262">
        <v>0</v>
      </c>
      <c r="P262">
        <v>0</v>
      </c>
      <c r="Q262">
        <v>0.002</v>
      </c>
      <c r="R262">
        <v>0</v>
      </c>
      <c r="S262" t="s">
        <v>22</v>
      </c>
      <c r="T262" t="s">
        <v>22</v>
      </c>
      <c r="U262">
        <v>454.284</v>
      </c>
      <c r="V262">
        <v>450.038</v>
      </c>
    </row>
    <row r="263" spans="2:22">
      <c r="B263">
        <v>262</v>
      </c>
      <c r="C263" t="s">
        <v>283</v>
      </c>
      <c r="D263">
        <v>0</v>
      </c>
      <c r="E263">
        <v>0</v>
      </c>
      <c r="F263">
        <v>51930.27</v>
      </c>
      <c r="G263">
        <v>51930.27</v>
      </c>
      <c r="H263">
        <v>51930.27</v>
      </c>
      <c r="I263">
        <v>3</v>
      </c>
      <c r="J263">
        <v>1</v>
      </c>
      <c r="K263">
        <v>1</v>
      </c>
      <c r="L263">
        <v>0.014</v>
      </c>
      <c r="M263">
        <v>454.27</v>
      </c>
      <c r="N263">
        <v>0.009</v>
      </c>
      <c r="O263">
        <v>0.005</v>
      </c>
      <c r="P263">
        <v>0</v>
      </c>
      <c r="Q263">
        <v>0.001</v>
      </c>
      <c r="R263">
        <v>0</v>
      </c>
      <c r="S263">
        <v>454.274</v>
      </c>
      <c r="T263">
        <v>450.028</v>
      </c>
      <c r="U263">
        <v>454.27</v>
      </c>
      <c r="V263">
        <v>450.045</v>
      </c>
    </row>
    <row r="264" spans="2:22">
      <c r="B264">
        <v>263</v>
      </c>
      <c r="C264" t="s">
        <v>284</v>
      </c>
      <c r="D264">
        <v>0</v>
      </c>
      <c r="E264">
        <v>0</v>
      </c>
      <c r="F264">
        <v>52059.469</v>
      </c>
      <c r="G264">
        <v>52059.469</v>
      </c>
      <c r="H264">
        <v>52059.469</v>
      </c>
      <c r="I264">
        <v>3</v>
      </c>
      <c r="J264">
        <v>1</v>
      </c>
      <c r="K264">
        <v>2</v>
      </c>
      <c r="L264">
        <v>0.021</v>
      </c>
      <c r="M264">
        <v>454.248</v>
      </c>
      <c r="N264">
        <v>0.023</v>
      </c>
      <c r="O264">
        <v>-0.002</v>
      </c>
      <c r="P264">
        <v>0</v>
      </c>
      <c r="Q264">
        <v>0</v>
      </c>
      <c r="R264">
        <v>0</v>
      </c>
      <c r="S264">
        <v>454.248</v>
      </c>
      <c r="T264">
        <v>450.002</v>
      </c>
      <c r="U264">
        <v>454.246</v>
      </c>
      <c r="V264">
        <v>450.021</v>
      </c>
    </row>
    <row r="265" spans="2:22">
      <c r="B265">
        <v>264</v>
      </c>
      <c r="C265" t="s">
        <v>285</v>
      </c>
      <c r="D265">
        <v>80</v>
      </c>
      <c r="E265">
        <v>5.582</v>
      </c>
      <c r="F265">
        <v>52085.258</v>
      </c>
      <c r="G265">
        <v>52089.156</v>
      </c>
      <c r="H265">
        <v>52093.051</v>
      </c>
      <c r="I265">
        <v>1</v>
      </c>
      <c r="J265">
        <v>2</v>
      </c>
      <c r="K265">
        <v>0</v>
      </c>
      <c r="L265">
        <v>0.005</v>
      </c>
      <c r="M265">
        <v>454.244</v>
      </c>
      <c r="N265">
        <v>0.004</v>
      </c>
      <c r="O265">
        <v>0</v>
      </c>
      <c r="P265">
        <v>0</v>
      </c>
      <c r="Q265">
        <v>0</v>
      </c>
      <c r="R265">
        <v>0</v>
      </c>
      <c r="S265" t="s">
        <v>22</v>
      </c>
      <c r="T265" t="s">
        <v>22</v>
      </c>
      <c r="U265">
        <v>454.244</v>
      </c>
      <c r="V265">
        <v>449.998</v>
      </c>
    </row>
    <row r="266" spans="2:22">
      <c r="B266">
        <v>265</v>
      </c>
      <c r="C266" t="s">
        <v>286</v>
      </c>
      <c r="D266">
        <v>0</v>
      </c>
      <c r="E266">
        <v>0</v>
      </c>
      <c r="F266">
        <v>52132.762</v>
      </c>
      <c r="G266">
        <v>52132.762</v>
      </c>
      <c r="H266">
        <v>52132.762</v>
      </c>
      <c r="I266">
        <v>3</v>
      </c>
      <c r="J266">
        <v>1</v>
      </c>
      <c r="K266">
        <v>1</v>
      </c>
      <c r="L266">
        <v>0.012</v>
      </c>
      <c r="M266">
        <v>454.232</v>
      </c>
      <c r="N266">
        <v>0.006</v>
      </c>
      <c r="O266">
        <v>0.005</v>
      </c>
      <c r="P266">
        <v>0</v>
      </c>
      <c r="Q266">
        <v>0.001</v>
      </c>
      <c r="R266">
        <v>0</v>
      </c>
      <c r="S266">
        <v>454.236</v>
      </c>
      <c r="T266">
        <v>449.99</v>
      </c>
      <c r="U266">
        <v>454.232</v>
      </c>
      <c r="V266">
        <v>450.007</v>
      </c>
    </row>
    <row r="267" spans="2:22">
      <c r="B267">
        <v>266</v>
      </c>
      <c r="C267" t="s">
        <v>287</v>
      </c>
      <c r="D267">
        <v>80</v>
      </c>
      <c r="E267">
        <v>28.517</v>
      </c>
      <c r="F267">
        <v>52279.152</v>
      </c>
      <c r="G267">
        <v>52299.059</v>
      </c>
      <c r="H267">
        <v>52318.969</v>
      </c>
      <c r="I267">
        <v>3</v>
      </c>
      <c r="J267">
        <v>1</v>
      </c>
      <c r="K267">
        <v>0</v>
      </c>
      <c r="L267">
        <v>0.032</v>
      </c>
      <c r="M267">
        <v>454.2</v>
      </c>
      <c r="N267">
        <v>0.03</v>
      </c>
      <c r="O267">
        <v>0</v>
      </c>
      <c r="P267">
        <v>0.001</v>
      </c>
      <c r="Q267">
        <v>0</v>
      </c>
      <c r="R267">
        <v>0</v>
      </c>
      <c r="S267" t="s">
        <v>22</v>
      </c>
      <c r="T267" t="s">
        <v>22</v>
      </c>
      <c r="U267">
        <v>454.201</v>
      </c>
      <c r="V267">
        <v>449.976</v>
      </c>
    </row>
    <row r="268" spans="2:22">
      <c r="B268">
        <v>267</v>
      </c>
      <c r="C268" t="s">
        <v>288</v>
      </c>
      <c r="D268">
        <v>0</v>
      </c>
      <c r="E268">
        <v>0</v>
      </c>
      <c r="F268">
        <v>52353.145</v>
      </c>
      <c r="G268">
        <v>52353.145</v>
      </c>
      <c r="H268">
        <v>52353.145</v>
      </c>
      <c r="I268">
        <v>3</v>
      </c>
      <c r="J268">
        <v>1</v>
      </c>
      <c r="K268">
        <v>2</v>
      </c>
      <c r="L268">
        <v>0.007</v>
      </c>
      <c r="M268">
        <v>454.193</v>
      </c>
      <c r="N268">
        <v>0.01</v>
      </c>
      <c r="O268">
        <v>-0.002</v>
      </c>
      <c r="P268">
        <v>0</v>
      </c>
      <c r="Q268">
        <v>0</v>
      </c>
      <c r="R268">
        <v>0</v>
      </c>
      <c r="S268">
        <v>454.193</v>
      </c>
      <c r="T268">
        <v>449.947</v>
      </c>
      <c r="U268">
        <v>454.19</v>
      </c>
      <c r="V268">
        <v>449.965</v>
      </c>
    </row>
    <row r="269" spans="2:22">
      <c r="B269">
        <v>268</v>
      </c>
      <c r="C269" t="s">
        <v>289</v>
      </c>
      <c r="D269">
        <v>0</v>
      </c>
      <c r="E269">
        <v>0</v>
      </c>
      <c r="F269">
        <v>52383.277</v>
      </c>
      <c r="G269">
        <v>52383.277</v>
      </c>
      <c r="H269">
        <v>52383.277</v>
      </c>
      <c r="I269">
        <v>2</v>
      </c>
      <c r="J269">
        <v>1</v>
      </c>
      <c r="K269">
        <v>1</v>
      </c>
      <c r="L269">
        <v>0.071</v>
      </c>
      <c r="M269">
        <v>454.122</v>
      </c>
      <c r="N269">
        <v>0.003</v>
      </c>
      <c r="O269">
        <v>0.067</v>
      </c>
      <c r="P269">
        <v>0</v>
      </c>
      <c r="Q269">
        <v>0</v>
      </c>
      <c r="R269">
        <v>0</v>
      </c>
      <c r="S269">
        <v>454.189</v>
      </c>
      <c r="T269">
        <v>449.943</v>
      </c>
      <c r="U269">
        <v>454.122</v>
      </c>
      <c r="V269">
        <v>450.368</v>
      </c>
    </row>
    <row r="270" spans="2:22">
      <c r="B270">
        <v>269</v>
      </c>
      <c r="C270" t="s">
        <v>290</v>
      </c>
      <c r="D270">
        <v>0</v>
      </c>
      <c r="E270">
        <v>0</v>
      </c>
      <c r="F270">
        <v>52533.691</v>
      </c>
      <c r="G270">
        <v>52533.691</v>
      </c>
      <c r="H270">
        <v>52533.691</v>
      </c>
      <c r="I270">
        <v>2</v>
      </c>
      <c r="J270">
        <v>1</v>
      </c>
      <c r="K270">
        <v>2</v>
      </c>
      <c r="L270">
        <v>0.015</v>
      </c>
      <c r="M270">
        <v>454.107</v>
      </c>
      <c r="N270">
        <v>0.05</v>
      </c>
      <c r="O270">
        <v>-0.035</v>
      </c>
      <c r="P270">
        <v>0</v>
      </c>
      <c r="Q270">
        <v>0</v>
      </c>
      <c r="R270">
        <v>0</v>
      </c>
      <c r="S270">
        <v>454.107</v>
      </c>
      <c r="T270">
        <v>449.861</v>
      </c>
      <c r="U270">
        <v>454.072</v>
      </c>
      <c r="V270">
        <v>450.318</v>
      </c>
    </row>
    <row r="271" spans="2:22">
      <c r="B271">
        <v>270</v>
      </c>
      <c r="C271" t="s">
        <v>291</v>
      </c>
      <c r="D271">
        <v>60</v>
      </c>
      <c r="E271">
        <v>20.855</v>
      </c>
      <c r="F271">
        <v>52540.023</v>
      </c>
      <c r="G271">
        <v>52550.941</v>
      </c>
      <c r="H271">
        <v>52561.863</v>
      </c>
      <c r="I271">
        <v>1</v>
      </c>
      <c r="J271">
        <v>2</v>
      </c>
      <c r="K271">
        <v>0</v>
      </c>
      <c r="L271">
        <v>0.003</v>
      </c>
      <c r="M271">
        <v>454.104</v>
      </c>
      <c r="N271">
        <v>0.002</v>
      </c>
      <c r="O271">
        <v>0</v>
      </c>
      <c r="P271">
        <v>0.001</v>
      </c>
      <c r="Q271">
        <v>0</v>
      </c>
      <c r="R271">
        <v>0</v>
      </c>
      <c r="S271" t="s">
        <v>22</v>
      </c>
      <c r="T271" t="s">
        <v>22</v>
      </c>
      <c r="U271">
        <v>454.104</v>
      </c>
      <c r="V271">
        <v>449.858</v>
      </c>
    </row>
    <row r="272" spans="2:22">
      <c r="B272">
        <v>271</v>
      </c>
      <c r="C272" t="s">
        <v>292</v>
      </c>
      <c r="D272">
        <v>60</v>
      </c>
      <c r="E272">
        <v>14.029</v>
      </c>
      <c r="F272">
        <v>52611.164</v>
      </c>
      <c r="G272">
        <v>52618.508</v>
      </c>
      <c r="H272">
        <v>52625.855</v>
      </c>
      <c r="I272">
        <v>1</v>
      </c>
      <c r="J272">
        <v>2</v>
      </c>
      <c r="K272">
        <v>0</v>
      </c>
      <c r="L272">
        <v>0.013</v>
      </c>
      <c r="M272">
        <v>454.091</v>
      </c>
      <c r="N272">
        <v>0.011</v>
      </c>
      <c r="O272">
        <v>0</v>
      </c>
      <c r="P272">
        <v>0.001</v>
      </c>
      <c r="Q272">
        <v>0.001</v>
      </c>
      <c r="R272">
        <v>0</v>
      </c>
      <c r="S272" t="s">
        <v>22</v>
      </c>
      <c r="T272" t="s">
        <v>22</v>
      </c>
      <c r="U272">
        <v>454.091</v>
      </c>
      <c r="V272">
        <v>449.845</v>
      </c>
    </row>
    <row r="273" spans="2:22">
      <c r="B273">
        <v>272</v>
      </c>
      <c r="C273" t="s">
        <v>293</v>
      </c>
      <c r="D273">
        <v>0</v>
      </c>
      <c r="E273">
        <v>0</v>
      </c>
      <c r="F273">
        <v>52627</v>
      </c>
      <c r="G273">
        <v>52627</v>
      </c>
      <c r="H273">
        <v>52627</v>
      </c>
      <c r="I273">
        <v>1</v>
      </c>
      <c r="J273">
        <v>4</v>
      </c>
      <c r="K273">
        <v>1</v>
      </c>
      <c r="L273">
        <v>0.002</v>
      </c>
      <c r="M273">
        <v>454.089</v>
      </c>
      <c r="N273">
        <v>0.001</v>
      </c>
      <c r="O273">
        <v>0</v>
      </c>
      <c r="P273">
        <v>0</v>
      </c>
      <c r="Q273">
        <v>0</v>
      </c>
      <c r="R273">
        <v>0</v>
      </c>
      <c r="S273">
        <v>454.089</v>
      </c>
      <c r="T273">
        <v>449.843</v>
      </c>
      <c r="U273">
        <v>454.089</v>
      </c>
      <c r="V273">
        <v>449.843</v>
      </c>
    </row>
    <row r="274" spans="2:22">
      <c r="B274">
        <v>273</v>
      </c>
      <c r="C274" t="s">
        <v>294</v>
      </c>
      <c r="D274">
        <v>0</v>
      </c>
      <c r="E274">
        <v>0</v>
      </c>
      <c r="F274">
        <v>52627</v>
      </c>
      <c r="G274">
        <v>52627</v>
      </c>
      <c r="H274">
        <v>52627</v>
      </c>
      <c r="I274">
        <v>1</v>
      </c>
      <c r="J274">
        <v>4</v>
      </c>
      <c r="K274">
        <v>2</v>
      </c>
      <c r="L274">
        <v>0.03</v>
      </c>
      <c r="M274">
        <v>454.059</v>
      </c>
      <c r="N274">
        <v>0</v>
      </c>
      <c r="O274">
        <v>0</v>
      </c>
      <c r="P274">
        <v>0</v>
      </c>
      <c r="Q274">
        <v>0</v>
      </c>
      <c r="R274">
        <v>0.03</v>
      </c>
      <c r="S274">
        <v>454.059</v>
      </c>
      <c r="T274">
        <v>449.813</v>
      </c>
      <c r="U274">
        <v>454.059</v>
      </c>
      <c r="V274">
        <v>449.813</v>
      </c>
    </row>
    <row r="275" spans="2:22">
      <c r="B275">
        <v>274</v>
      </c>
      <c r="C275" t="s">
        <v>295</v>
      </c>
      <c r="D275">
        <v>0</v>
      </c>
      <c r="E275">
        <v>0</v>
      </c>
      <c r="F275">
        <v>52630.855</v>
      </c>
      <c r="G275">
        <v>52630.855</v>
      </c>
      <c r="H275">
        <v>52630.855</v>
      </c>
      <c r="I275">
        <v>2</v>
      </c>
      <c r="J275">
        <v>1</v>
      </c>
      <c r="K275">
        <v>1</v>
      </c>
      <c r="L275">
        <v>0.067</v>
      </c>
      <c r="M275">
        <v>453.992</v>
      </c>
      <c r="N275">
        <v>0</v>
      </c>
      <c r="O275">
        <v>0.067</v>
      </c>
      <c r="P275">
        <v>0</v>
      </c>
      <c r="Q275">
        <v>0</v>
      </c>
      <c r="R275">
        <v>0</v>
      </c>
      <c r="S275">
        <v>454.059</v>
      </c>
      <c r="T275">
        <v>449.813</v>
      </c>
      <c r="U275">
        <v>453.992</v>
      </c>
      <c r="V275">
        <v>450.238</v>
      </c>
    </row>
    <row r="276" spans="2:22">
      <c r="B276">
        <v>275</v>
      </c>
      <c r="C276" t="s">
        <v>296</v>
      </c>
      <c r="D276">
        <v>60</v>
      </c>
      <c r="E276">
        <v>13.692</v>
      </c>
      <c r="F276">
        <v>53108.98</v>
      </c>
      <c r="G276">
        <v>53116.148</v>
      </c>
      <c r="H276">
        <v>53123.316</v>
      </c>
      <c r="I276">
        <v>2</v>
      </c>
      <c r="J276">
        <v>1</v>
      </c>
      <c r="K276">
        <v>0</v>
      </c>
      <c r="L276">
        <v>0.163</v>
      </c>
      <c r="M276">
        <v>453.829</v>
      </c>
      <c r="N276">
        <v>0.162</v>
      </c>
      <c r="O276">
        <v>0</v>
      </c>
      <c r="P276">
        <v>0.001</v>
      </c>
      <c r="Q276">
        <v>0</v>
      </c>
      <c r="R276">
        <v>0</v>
      </c>
      <c r="S276" t="s">
        <v>22</v>
      </c>
      <c r="T276" t="s">
        <v>22</v>
      </c>
      <c r="U276">
        <v>453.83</v>
      </c>
      <c r="V276">
        <v>450.076</v>
      </c>
    </row>
    <row r="277" spans="2:22">
      <c r="B277">
        <v>276</v>
      </c>
      <c r="C277" t="s">
        <v>297</v>
      </c>
      <c r="D277">
        <v>0</v>
      </c>
      <c r="E277">
        <v>0</v>
      </c>
      <c r="F277">
        <v>53593.637</v>
      </c>
      <c r="G277">
        <v>53593.637</v>
      </c>
      <c r="H277">
        <v>53593.637</v>
      </c>
      <c r="I277">
        <v>2</v>
      </c>
      <c r="J277">
        <v>1</v>
      </c>
      <c r="K277">
        <v>2</v>
      </c>
      <c r="L277">
        <v>0.124</v>
      </c>
      <c r="M277">
        <v>453.705</v>
      </c>
      <c r="N277">
        <v>0.159</v>
      </c>
      <c r="O277">
        <v>-0.035</v>
      </c>
      <c r="P277">
        <v>0</v>
      </c>
      <c r="Q277">
        <v>0</v>
      </c>
      <c r="R277">
        <v>0</v>
      </c>
      <c r="S277">
        <v>453.705</v>
      </c>
      <c r="T277">
        <v>449.459</v>
      </c>
      <c r="U277">
        <v>453.67</v>
      </c>
      <c r="V277">
        <v>449.916</v>
      </c>
    </row>
    <row r="278" spans="2:22">
      <c r="B278">
        <v>277</v>
      </c>
      <c r="C278" t="s">
        <v>298</v>
      </c>
      <c r="D278">
        <v>0</v>
      </c>
      <c r="E278">
        <v>0</v>
      </c>
      <c r="F278">
        <v>53620</v>
      </c>
      <c r="G278">
        <v>53620</v>
      </c>
      <c r="H278">
        <v>53620</v>
      </c>
      <c r="I278">
        <v>1</v>
      </c>
      <c r="J278">
        <v>4</v>
      </c>
      <c r="K278">
        <v>1</v>
      </c>
      <c r="L278">
        <v>0.004</v>
      </c>
      <c r="M278">
        <v>453.701</v>
      </c>
      <c r="N278">
        <v>0.004</v>
      </c>
      <c r="O278">
        <v>0</v>
      </c>
      <c r="P278">
        <v>0</v>
      </c>
      <c r="Q278">
        <v>0</v>
      </c>
      <c r="R278">
        <v>0</v>
      </c>
      <c r="S278">
        <v>453.701</v>
      </c>
      <c r="T278">
        <v>449.455</v>
      </c>
      <c r="U278">
        <v>453.701</v>
      </c>
      <c r="V278">
        <v>449.455</v>
      </c>
    </row>
    <row r="279" spans="2:22">
      <c r="B279">
        <v>278</v>
      </c>
      <c r="C279" t="s">
        <v>299</v>
      </c>
      <c r="D279">
        <v>0</v>
      </c>
      <c r="E279">
        <v>0</v>
      </c>
      <c r="F279">
        <v>53620</v>
      </c>
      <c r="G279">
        <v>53620</v>
      </c>
      <c r="H279">
        <v>53620</v>
      </c>
      <c r="I279">
        <v>1</v>
      </c>
      <c r="J279">
        <v>4</v>
      </c>
      <c r="K279">
        <v>2</v>
      </c>
      <c r="L279">
        <v>0.03</v>
      </c>
      <c r="M279">
        <v>453.671</v>
      </c>
      <c r="N279">
        <v>0</v>
      </c>
      <c r="O279">
        <v>0</v>
      </c>
      <c r="P279">
        <v>0</v>
      </c>
      <c r="Q279">
        <v>0</v>
      </c>
      <c r="R279">
        <v>0.03</v>
      </c>
      <c r="S279">
        <v>453.671</v>
      </c>
      <c r="T279">
        <v>449.425</v>
      </c>
      <c r="U279">
        <v>453.671</v>
      </c>
      <c r="V279">
        <v>449.425</v>
      </c>
    </row>
    <row r="280" spans="2:22">
      <c r="B280">
        <v>279</v>
      </c>
      <c r="C280" t="s">
        <v>300</v>
      </c>
      <c r="D280">
        <v>0</v>
      </c>
      <c r="E280">
        <v>0</v>
      </c>
      <c r="F280">
        <v>53629.426</v>
      </c>
      <c r="G280">
        <v>53629.426</v>
      </c>
      <c r="H280">
        <v>53629.426</v>
      </c>
      <c r="I280">
        <v>2</v>
      </c>
      <c r="J280">
        <v>1</v>
      </c>
      <c r="K280">
        <v>1</v>
      </c>
      <c r="L280">
        <v>0.068</v>
      </c>
      <c r="M280">
        <v>453.603</v>
      </c>
      <c r="N280">
        <v>0.001</v>
      </c>
      <c r="O280">
        <v>0.067</v>
      </c>
      <c r="P280">
        <v>0</v>
      </c>
      <c r="Q280">
        <v>0</v>
      </c>
      <c r="R280">
        <v>0</v>
      </c>
      <c r="S280">
        <v>453.67</v>
      </c>
      <c r="T280">
        <v>449.424</v>
      </c>
      <c r="U280">
        <v>453.603</v>
      </c>
      <c r="V280">
        <v>449.849</v>
      </c>
    </row>
    <row r="281" spans="2:22">
      <c r="B281">
        <v>280</v>
      </c>
      <c r="C281" t="s">
        <v>301</v>
      </c>
      <c r="D281">
        <v>80</v>
      </c>
      <c r="E281">
        <v>48.339</v>
      </c>
      <c r="F281">
        <v>53914.391</v>
      </c>
      <c r="G281">
        <v>53948.137</v>
      </c>
      <c r="H281">
        <v>53981.883</v>
      </c>
      <c r="I281">
        <v>2</v>
      </c>
      <c r="J281">
        <v>1</v>
      </c>
      <c r="K281">
        <v>0</v>
      </c>
      <c r="L281">
        <v>0.11</v>
      </c>
      <c r="M281">
        <v>453.493</v>
      </c>
      <c r="N281">
        <v>0.106</v>
      </c>
      <c r="O281">
        <v>0</v>
      </c>
      <c r="P281">
        <v>0.004</v>
      </c>
      <c r="Q281">
        <v>0</v>
      </c>
      <c r="R281">
        <v>0</v>
      </c>
      <c r="S281" t="s">
        <v>22</v>
      </c>
      <c r="T281" t="s">
        <v>22</v>
      </c>
      <c r="U281">
        <v>453.495</v>
      </c>
      <c r="V281">
        <v>449.741</v>
      </c>
    </row>
    <row r="282" spans="2:22">
      <c r="B282">
        <v>281</v>
      </c>
      <c r="C282" t="s">
        <v>302</v>
      </c>
      <c r="D282">
        <v>0</v>
      </c>
      <c r="E282">
        <v>0</v>
      </c>
      <c r="F282">
        <v>54403.945</v>
      </c>
      <c r="G282">
        <v>54403.945</v>
      </c>
      <c r="H282">
        <v>54403.945</v>
      </c>
      <c r="I282">
        <v>2</v>
      </c>
      <c r="J282">
        <v>1</v>
      </c>
      <c r="K282">
        <v>2</v>
      </c>
      <c r="L282">
        <v>0.117</v>
      </c>
      <c r="M282">
        <v>453.376</v>
      </c>
      <c r="N282">
        <v>0.152</v>
      </c>
      <c r="O282">
        <v>-0.035</v>
      </c>
      <c r="P282">
        <v>0</v>
      </c>
      <c r="Q282">
        <v>0</v>
      </c>
      <c r="R282">
        <v>0</v>
      </c>
      <c r="S282">
        <v>453.376</v>
      </c>
      <c r="T282">
        <v>449.13</v>
      </c>
      <c r="U282">
        <v>453.341</v>
      </c>
      <c r="V282">
        <v>449.587</v>
      </c>
    </row>
    <row r="283" spans="2:22">
      <c r="B283">
        <v>282</v>
      </c>
      <c r="C283" t="s">
        <v>303</v>
      </c>
      <c r="D283">
        <v>40</v>
      </c>
      <c r="E283">
        <v>55.687</v>
      </c>
      <c r="F283">
        <v>54413.133</v>
      </c>
      <c r="G283">
        <v>54432.57</v>
      </c>
      <c r="H283">
        <v>54452.008</v>
      </c>
      <c r="I283">
        <v>1</v>
      </c>
      <c r="J283">
        <v>2</v>
      </c>
      <c r="K283">
        <v>0</v>
      </c>
      <c r="L283">
        <v>0.006</v>
      </c>
      <c r="M283">
        <v>453.369</v>
      </c>
      <c r="N283">
        <v>0.004</v>
      </c>
      <c r="O283">
        <v>0</v>
      </c>
      <c r="P283">
        <v>0.002</v>
      </c>
      <c r="Q283">
        <v>0</v>
      </c>
      <c r="R283">
        <v>0</v>
      </c>
      <c r="S283" t="s">
        <v>22</v>
      </c>
      <c r="T283" t="s">
        <v>22</v>
      </c>
      <c r="U283">
        <v>453.37</v>
      </c>
      <c r="V283">
        <v>449.124</v>
      </c>
    </row>
    <row r="284" spans="2:22">
      <c r="B284">
        <v>283</v>
      </c>
      <c r="C284" t="s">
        <v>304</v>
      </c>
      <c r="D284">
        <v>40</v>
      </c>
      <c r="E284">
        <v>41.868</v>
      </c>
      <c r="F284">
        <v>54487.598</v>
      </c>
      <c r="G284">
        <v>54502.211</v>
      </c>
      <c r="H284">
        <v>54516.824</v>
      </c>
      <c r="I284">
        <v>1</v>
      </c>
      <c r="J284">
        <v>2</v>
      </c>
      <c r="K284">
        <v>0</v>
      </c>
      <c r="L284">
        <v>0.014</v>
      </c>
      <c r="M284">
        <v>453.355</v>
      </c>
      <c r="N284">
        <v>0.012</v>
      </c>
      <c r="O284">
        <v>0</v>
      </c>
      <c r="P284">
        <v>0.001</v>
      </c>
      <c r="Q284">
        <v>0.001</v>
      </c>
      <c r="R284">
        <v>0</v>
      </c>
      <c r="S284" t="s">
        <v>22</v>
      </c>
      <c r="T284" t="s">
        <v>22</v>
      </c>
      <c r="U284">
        <v>453.356</v>
      </c>
      <c r="V284">
        <v>449.11</v>
      </c>
    </row>
    <row r="285" spans="2:22">
      <c r="B285">
        <v>284</v>
      </c>
      <c r="C285" t="s">
        <v>305</v>
      </c>
      <c r="D285">
        <v>80</v>
      </c>
      <c r="E285">
        <v>52.961</v>
      </c>
      <c r="F285">
        <v>54575.5</v>
      </c>
      <c r="G285">
        <v>54612.473</v>
      </c>
      <c r="H285">
        <v>54649.445</v>
      </c>
      <c r="I285">
        <v>1</v>
      </c>
      <c r="J285">
        <v>2</v>
      </c>
      <c r="K285">
        <v>0</v>
      </c>
      <c r="L285">
        <v>0.023</v>
      </c>
      <c r="M285">
        <v>453.332</v>
      </c>
      <c r="N285">
        <v>0.018</v>
      </c>
      <c r="O285">
        <v>0</v>
      </c>
      <c r="P285">
        <v>0.002</v>
      </c>
      <c r="Q285">
        <v>0.002</v>
      </c>
      <c r="R285">
        <v>0</v>
      </c>
      <c r="S285" t="s">
        <v>22</v>
      </c>
      <c r="T285" t="s">
        <v>22</v>
      </c>
      <c r="U285">
        <v>453.333</v>
      </c>
      <c r="V285">
        <v>449.087</v>
      </c>
    </row>
    <row r="286" spans="2:22">
      <c r="B286">
        <v>285</v>
      </c>
      <c r="C286" t="s">
        <v>306</v>
      </c>
      <c r="D286">
        <v>80</v>
      </c>
      <c r="E286">
        <v>42.558</v>
      </c>
      <c r="F286">
        <v>54755.102</v>
      </c>
      <c r="G286">
        <v>54784.812</v>
      </c>
      <c r="H286">
        <v>54814.523</v>
      </c>
      <c r="I286">
        <v>1</v>
      </c>
      <c r="J286">
        <v>2</v>
      </c>
      <c r="K286">
        <v>0</v>
      </c>
      <c r="L286">
        <v>0.034</v>
      </c>
      <c r="M286">
        <v>453.298</v>
      </c>
      <c r="N286">
        <v>0.029</v>
      </c>
      <c r="O286">
        <v>0</v>
      </c>
      <c r="P286">
        <v>0.002</v>
      </c>
      <c r="Q286">
        <v>0.003</v>
      </c>
      <c r="R286">
        <v>0</v>
      </c>
      <c r="S286" t="s">
        <v>22</v>
      </c>
      <c r="T286" t="s">
        <v>22</v>
      </c>
      <c r="U286">
        <v>453.299</v>
      </c>
      <c r="V286">
        <v>449.053</v>
      </c>
    </row>
    <row r="287" spans="2:22">
      <c r="B287">
        <v>286</v>
      </c>
      <c r="C287" t="s">
        <v>307</v>
      </c>
      <c r="D287">
        <v>80</v>
      </c>
      <c r="E287">
        <v>41.163</v>
      </c>
      <c r="F287">
        <v>54830.074</v>
      </c>
      <c r="G287">
        <v>54858.812</v>
      </c>
      <c r="H287">
        <v>54887.547</v>
      </c>
      <c r="I287">
        <v>1</v>
      </c>
      <c r="J287">
        <v>2</v>
      </c>
      <c r="K287">
        <v>0</v>
      </c>
      <c r="L287">
        <v>0.016</v>
      </c>
      <c r="M287">
        <v>453.282</v>
      </c>
      <c r="N287">
        <v>0.012</v>
      </c>
      <c r="O287">
        <v>0</v>
      </c>
      <c r="P287">
        <v>0.002</v>
      </c>
      <c r="Q287">
        <v>0.001</v>
      </c>
      <c r="R287">
        <v>0</v>
      </c>
      <c r="S287" t="s">
        <v>22</v>
      </c>
      <c r="T287" t="s">
        <v>22</v>
      </c>
      <c r="U287">
        <v>453.283</v>
      </c>
      <c r="V287">
        <v>449.037</v>
      </c>
    </row>
    <row r="288" spans="2:22">
      <c r="B288">
        <v>287</v>
      </c>
      <c r="C288" t="s">
        <v>308</v>
      </c>
      <c r="D288">
        <v>80</v>
      </c>
      <c r="E288">
        <v>29.119</v>
      </c>
      <c r="F288">
        <v>54902.02</v>
      </c>
      <c r="G288">
        <v>54922.352</v>
      </c>
      <c r="H288">
        <v>54942.68</v>
      </c>
      <c r="I288">
        <v>1</v>
      </c>
      <c r="J288">
        <v>2</v>
      </c>
      <c r="K288">
        <v>0</v>
      </c>
      <c r="L288">
        <v>0.013</v>
      </c>
      <c r="M288">
        <v>453.269</v>
      </c>
      <c r="N288">
        <v>0.011</v>
      </c>
      <c r="O288">
        <v>0</v>
      </c>
      <c r="P288">
        <v>0.001</v>
      </c>
      <c r="Q288">
        <v>0.001</v>
      </c>
      <c r="R288">
        <v>0</v>
      </c>
      <c r="S288" t="s">
        <v>22</v>
      </c>
      <c r="T288" t="s">
        <v>22</v>
      </c>
      <c r="U288">
        <v>453.27</v>
      </c>
      <c r="V288">
        <v>449.024</v>
      </c>
    </row>
    <row r="289" spans="2:22">
      <c r="B289">
        <v>288</v>
      </c>
      <c r="C289" t="s">
        <v>309</v>
      </c>
      <c r="D289">
        <v>80</v>
      </c>
      <c r="E289">
        <v>32.139</v>
      </c>
      <c r="F289">
        <v>54976.02</v>
      </c>
      <c r="G289">
        <v>54998.457</v>
      </c>
      <c r="H289">
        <v>55020.895</v>
      </c>
      <c r="I289">
        <v>1</v>
      </c>
      <c r="J289">
        <v>2</v>
      </c>
      <c r="K289">
        <v>0</v>
      </c>
      <c r="L289">
        <v>0.016</v>
      </c>
      <c r="M289">
        <v>453.253</v>
      </c>
      <c r="N289">
        <v>0.013</v>
      </c>
      <c r="O289">
        <v>0</v>
      </c>
      <c r="P289">
        <v>0.001</v>
      </c>
      <c r="Q289">
        <v>0.002</v>
      </c>
      <c r="R289">
        <v>0</v>
      </c>
      <c r="S289" t="s">
        <v>22</v>
      </c>
      <c r="T289" t="s">
        <v>22</v>
      </c>
      <c r="U289">
        <v>453.254</v>
      </c>
      <c r="V289">
        <v>449.008</v>
      </c>
    </row>
    <row r="290" spans="2:22">
      <c r="B290">
        <v>289</v>
      </c>
      <c r="C290" t="s">
        <v>310</v>
      </c>
      <c r="D290">
        <v>0</v>
      </c>
      <c r="E290">
        <v>0</v>
      </c>
      <c r="F290">
        <v>55038.684</v>
      </c>
      <c r="G290">
        <v>55038.684</v>
      </c>
      <c r="H290">
        <v>55038.684</v>
      </c>
      <c r="I290">
        <v>3</v>
      </c>
      <c r="J290">
        <v>1</v>
      </c>
      <c r="K290">
        <v>1</v>
      </c>
      <c r="L290">
        <v>0.011</v>
      </c>
      <c r="M290">
        <v>453.242</v>
      </c>
      <c r="N290">
        <v>0.006</v>
      </c>
      <c r="O290">
        <v>0.005</v>
      </c>
      <c r="P290">
        <v>0</v>
      </c>
      <c r="Q290">
        <v>0.001</v>
      </c>
      <c r="R290">
        <v>0</v>
      </c>
      <c r="S290">
        <v>453.247</v>
      </c>
      <c r="T290">
        <v>449.001</v>
      </c>
      <c r="U290">
        <v>453.242</v>
      </c>
      <c r="V290">
        <v>449.017</v>
      </c>
    </row>
    <row r="291" spans="2:22">
      <c r="B291">
        <v>290</v>
      </c>
      <c r="C291" t="s">
        <v>311</v>
      </c>
      <c r="D291">
        <v>0</v>
      </c>
      <c r="E291">
        <v>0</v>
      </c>
      <c r="F291">
        <v>55557.695</v>
      </c>
      <c r="G291">
        <v>55557.695</v>
      </c>
      <c r="H291">
        <v>55557.695</v>
      </c>
      <c r="I291">
        <v>3</v>
      </c>
      <c r="J291">
        <v>1</v>
      </c>
      <c r="K291">
        <v>2</v>
      </c>
      <c r="L291">
        <v>0.092</v>
      </c>
      <c r="M291">
        <v>453.15</v>
      </c>
      <c r="N291">
        <v>0.094</v>
      </c>
      <c r="O291">
        <v>-0.002</v>
      </c>
      <c r="P291">
        <v>0</v>
      </c>
      <c r="Q291">
        <v>0</v>
      </c>
      <c r="R291">
        <v>0</v>
      </c>
      <c r="S291">
        <v>453.15</v>
      </c>
      <c r="T291">
        <v>448.904</v>
      </c>
      <c r="U291">
        <v>453.148</v>
      </c>
      <c r="V291">
        <v>448.923</v>
      </c>
    </row>
    <row r="292" spans="2:22">
      <c r="B292">
        <v>291</v>
      </c>
      <c r="C292" t="s">
        <v>312</v>
      </c>
      <c r="D292">
        <v>60</v>
      </c>
      <c r="E292">
        <v>32.027</v>
      </c>
      <c r="F292">
        <v>55577.695</v>
      </c>
      <c r="G292">
        <v>55594.465</v>
      </c>
      <c r="H292">
        <v>55611.234</v>
      </c>
      <c r="I292">
        <v>1</v>
      </c>
      <c r="J292">
        <v>2</v>
      </c>
      <c r="K292">
        <v>0</v>
      </c>
      <c r="L292">
        <v>0.007</v>
      </c>
      <c r="M292">
        <v>453.143</v>
      </c>
      <c r="N292">
        <v>0.005</v>
      </c>
      <c r="O292">
        <v>0</v>
      </c>
      <c r="P292">
        <v>0.001</v>
      </c>
      <c r="Q292">
        <v>0.001</v>
      </c>
      <c r="R292">
        <v>0</v>
      </c>
      <c r="S292" t="s">
        <v>22</v>
      </c>
      <c r="T292" t="s">
        <v>22</v>
      </c>
      <c r="U292">
        <v>453.144</v>
      </c>
      <c r="V292">
        <v>448.898</v>
      </c>
    </row>
    <row r="293" spans="2:22">
      <c r="B293">
        <v>292</v>
      </c>
      <c r="C293" t="s">
        <v>313</v>
      </c>
      <c r="D293">
        <v>80</v>
      </c>
      <c r="E293">
        <v>19.753</v>
      </c>
      <c r="F293">
        <v>55651.414</v>
      </c>
      <c r="G293">
        <v>55665.203</v>
      </c>
      <c r="H293">
        <v>55678.992</v>
      </c>
      <c r="I293">
        <v>1</v>
      </c>
      <c r="J293">
        <v>2</v>
      </c>
      <c r="K293">
        <v>0</v>
      </c>
      <c r="L293">
        <v>0.014</v>
      </c>
      <c r="M293">
        <v>453.129</v>
      </c>
      <c r="N293">
        <v>0.012</v>
      </c>
      <c r="O293">
        <v>0</v>
      </c>
      <c r="P293">
        <v>0.001</v>
      </c>
      <c r="Q293">
        <v>0.001</v>
      </c>
      <c r="R293">
        <v>0</v>
      </c>
      <c r="S293" t="s">
        <v>22</v>
      </c>
      <c r="T293" t="s">
        <v>22</v>
      </c>
      <c r="U293">
        <v>453.129</v>
      </c>
      <c r="V293">
        <v>448.883</v>
      </c>
    </row>
    <row r="294" spans="2:22">
      <c r="B294">
        <v>293</v>
      </c>
      <c r="C294" t="s">
        <v>314</v>
      </c>
      <c r="D294">
        <v>80</v>
      </c>
      <c r="E294">
        <v>11.671</v>
      </c>
      <c r="F294">
        <v>55721.23</v>
      </c>
      <c r="G294">
        <v>55729.379</v>
      </c>
      <c r="H294">
        <v>55737.527</v>
      </c>
      <c r="I294">
        <v>1</v>
      </c>
      <c r="J294">
        <v>2</v>
      </c>
      <c r="K294">
        <v>0</v>
      </c>
      <c r="L294">
        <v>0.013</v>
      </c>
      <c r="M294">
        <v>453.116</v>
      </c>
      <c r="N294">
        <v>0.011</v>
      </c>
      <c r="O294">
        <v>0</v>
      </c>
      <c r="P294">
        <v>0.001</v>
      </c>
      <c r="Q294">
        <v>0.001</v>
      </c>
      <c r="R294">
        <v>0</v>
      </c>
      <c r="S294" t="s">
        <v>22</v>
      </c>
      <c r="T294" t="s">
        <v>22</v>
      </c>
      <c r="U294">
        <v>453.117</v>
      </c>
      <c r="V294">
        <v>448.871</v>
      </c>
    </row>
    <row r="295" spans="2:22">
      <c r="B295">
        <v>294</v>
      </c>
      <c r="C295" t="s">
        <v>315</v>
      </c>
      <c r="D295">
        <v>80</v>
      </c>
      <c r="E295">
        <v>10.534</v>
      </c>
      <c r="F295">
        <v>55831.48</v>
      </c>
      <c r="G295">
        <v>55838.836</v>
      </c>
      <c r="H295">
        <v>55846.188</v>
      </c>
      <c r="I295">
        <v>1</v>
      </c>
      <c r="J295">
        <v>2</v>
      </c>
      <c r="K295">
        <v>0</v>
      </c>
      <c r="L295">
        <v>0.021</v>
      </c>
      <c r="M295">
        <v>453.096</v>
      </c>
      <c r="N295">
        <v>0.018</v>
      </c>
      <c r="O295">
        <v>0</v>
      </c>
      <c r="P295">
        <v>0</v>
      </c>
      <c r="Q295">
        <v>0.002</v>
      </c>
      <c r="R295">
        <v>0</v>
      </c>
      <c r="S295" t="s">
        <v>22</v>
      </c>
      <c r="T295" t="s">
        <v>22</v>
      </c>
      <c r="U295">
        <v>453.096</v>
      </c>
      <c r="V295">
        <v>448.85</v>
      </c>
    </row>
    <row r="296" spans="2:22">
      <c r="B296">
        <v>295</v>
      </c>
      <c r="C296" t="s">
        <v>316</v>
      </c>
      <c r="D296">
        <v>0</v>
      </c>
      <c r="E296">
        <v>0</v>
      </c>
      <c r="F296">
        <v>55868.891</v>
      </c>
      <c r="G296">
        <v>55868.891</v>
      </c>
      <c r="H296">
        <v>55868.891</v>
      </c>
      <c r="I296">
        <v>3</v>
      </c>
      <c r="J296">
        <v>1</v>
      </c>
      <c r="K296">
        <v>1</v>
      </c>
      <c r="L296">
        <v>0.009</v>
      </c>
      <c r="M296">
        <v>453.086</v>
      </c>
      <c r="N296">
        <v>0.004</v>
      </c>
      <c r="O296">
        <v>0.005</v>
      </c>
      <c r="P296">
        <v>0</v>
      </c>
      <c r="Q296">
        <v>0.001</v>
      </c>
      <c r="R296">
        <v>0</v>
      </c>
      <c r="S296">
        <v>453.091</v>
      </c>
      <c r="T296">
        <v>448.845</v>
      </c>
      <c r="U296">
        <v>453.086</v>
      </c>
      <c r="V296">
        <v>448.861</v>
      </c>
    </row>
    <row r="297" spans="2:22">
      <c r="B297">
        <v>296</v>
      </c>
      <c r="C297" t="s">
        <v>317</v>
      </c>
      <c r="D297">
        <v>0</v>
      </c>
      <c r="E297">
        <v>0</v>
      </c>
      <c r="F297">
        <v>56159.117</v>
      </c>
      <c r="G297">
        <v>56159.117</v>
      </c>
      <c r="H297">
        <v>56159.117</v>
      </c>
      <c r="I297">
        <v>3</v>
      </c>
      <c r="J297">
        <v>1</v>
      </c>
      <c r="K297">
        <v>2</v>
      </c>
      <c r="L297">
        <v>0.05</v>
      </c>
      <c r="M297">
        <v>453.036</v>
      </c>
      <c r="N297">
        <v>0.053</v>
      </c>
      <c r="O297">
        <v>-0.002</v>
      </c>
      <c r="P297">
        <v>0</v>
      </c>
      <c r="Q297">
        <v>0</v>
      </c>
      <c r="R297">
        <v>0</v>
      </c>
      <c r="S297">
        <v>453.036</v>
      </c>
      <c r="T297">
        <v>448.79</v>
      </c>
      <c r="U297">
        <v>453.034</v>
      </c>
      <c r="V297">
        <v>448.809</v>
      </c>
    </row>
    <row r="298" spans="2:22">
      <c r="B298">
        <v>297</v>
      </c>
      <c r="C298" t="s">
        <v>318</v>
      </c>
      <c r="D298">
        <v>60</v>
      </c>
      <c r="E298">
        <v>20.548</v>
      </c>
      <c r="F298">
        <v>56182.047</v>
      </c>
      <c r="G298">
        <v>56192.809</v>
      </c>
      <c r="H298">
        <v>56203.566</v>
      </c>
      <c r="I298">
        <v>1</v>
      </c>
      <c r="J298">
        <v>2</v>
      </c>
      <c r="K298">
        <v>0</v>
      </c>
      <c r="L298">
        <v>0.006</v>
      </c>
      <c r="M298">
        <v>453.03</v>
      </c>
      <c r="N298">
        <v>0.005</v>
      </c>
      <c r="O298">
        <v>0</v>
      </c>
      <c r="P298">
        <v>0.001</v>
      </c>
      <c r="Q298">
        <v>0.001</v>
      </c>
      <c r="R298">
        <v>0</v>
      </c>
      <c r="S298" t="s">
        <v>22</v>
      </c>
      <c r="T298" t="s">
        <v>22</v>
      </c>
      <c r="U298">
        <v>453.03</v>
      </c>
      <c r="V298">
        <v>448.784</v>
      </c>
    </row>
    <row r="299" spans="2:22">
      <c r="B299">
        <v>298</v>
      </c>
      <c r="C299" t="s">
        <v>319</v>
      </c>
      <c r="D299">
        <v>80</v>
      </c>
      <c r="E299">
        <v>21.72</v>
      </c>
      <c r="F299">
        <v>56280.82</v>
      </c>
      <c r="G299">
        <v>56295.984</v>
      </c>
      <c r="H299">
        <v>56311.148</v>
      </c>
      <c r="I299">
        <v>1</v>
      </c>
      <c r="J299">
        <v>2</v>
      </c>
      <c r="K299">
        <v>0</v>
      </c>
      <c r="L299">
        <v>0.02</v>
      </c>
      <c r="M299">
        <v>453.009</v>
      </c>
      <c r="N299">
        <v>0.017</v>
      </c>
      <c r="O299">
        <v>0</v>
      </c>
      <c r="P299">
        <v>0.001</v>
      </c>
      <c r="Q299">
        <v>0.002</v>
      </c>
      <c r="R299">
        <v>0</v>
      </c>
      <c r="S299" t="s">
        <v>22</v>
      </c>
      <c r="T299" t="s">
        <v>22</v>
      </c>
      <c r="U299">
        <v>453.01</v>
      </c>
      <c r="V299">
        <v>448.764</v>
      </c>
    </row>
    <row r="300" spans="2:22">
      <c r="B300">
        <v>299</v>
      </c>
      <c r="C300" t="s">
        <v>320</v>
      </c>
      <c r="D300">
        <v>80</v>
      </c>
      <c r="E300">
        <v>25.985</v>
      </c>
      <c r="F300">
        <v>56337.98</v>
      </c>
      <c r="G300">
        <v>56356.121</v>
      </c>
      <c r="H300">
        <v>56374.262</v>
      </c>
      <c r="I300">
        <v>1</v>
      </c>
      <c r="J300">
        <v>2</v>
      </c>
      <c r="K300">
        <v>0</v>
      </c>
      <c r="L300">
        <v>0.012</v>
      </c>
      <c r="M300">
        <v>452.997</v>
      </c>
      <c r="N300">
        <v>0.01</v>
      </c>
      <c r="O300">
        <v>0</v>
      </c>
      <c r="P300">
        <v>0.001</v>
      </c>
      <c r="Q300">
        <v>0.001</v>
      </c>
      <c r="R300">
        <v>0</v>
      </c>
      <c r="S300" t="s">
        <v>22</v>
      </c>
      <c r="T300" t="s">
        <v>22</v>
      </c>
      <c r="U300">
        <v>452.998</v>
      </c>
      <c r="V300">
        <v>448.752</v>
      </c>
    </row>
    <row r="301" spans="2:22">
      <c r="B301">
        <v>300</v>
      </c>
      <c r="C301" t="s">
        <v>321</v>
      </c>
      <c r="D301">
        <v>80</v>
      </c>
      <c r="E301">
        <v>7.519</v>
      </c>
      <c r="F301">
        <v>56403.52</v>
      </c>
      <c r="G301">
        <v>56408.77</v>
      </c>
      <c r="H301">
        <v>56414.02</v>
      </c>
      <c r="I301">
        <v>1</v>
      </c>
      <c r="J301">
        <v>2</v>
      </c>
      <c r="K301">
        <v>0</v>
      </c>
      <c r="L301">
        <v>0.01</v>
      </c>
      <c r="M301">
        <v>452.987</v>
      </c>
      <c r="N301">
        <v>0.009</v>
      </c>
      <c r="O301">
        <v>0</v>
      </c>
      <c r="P301">
        <v>0</v>
      </c>
      <c r="Q301">
        <v>0.001</v>
      </c>
      <c r="R301">
        <v>0</v>
      </c>
      <c r="S301" t="s">
        <v>22</v>
      </c>
      <c r="T301" t="s">
        <v>22</v>
      </c>
      <c r="U301">
        <v>452.987</v>
      </c>
      <c r="V301">
        <v>448.741</v>
      </c>
    </row>
    <row r="302" spans="2:22">
      <c r="B302">
        <v>301</v>
      </c>
      <c r="C302" t="s">
        <v>322</v>
      </c>
      <c r="D302">
        <v>0</v>
      </c>
      <c r="E302">
        <v>0</v>
      </c>
      <c r="F302">
        <v>56441.051</v>
      </c>
      <c r="G302">
        <v>56441.051</v>
      </c>
      <c r="H302">
        <v>56441.051</v>
      </c>
      <c r="I302">
        <v>3</v>
      </c>
      <c r="J302">
        <v>1</v>
      </c>
      <c r="K302">
        <v>1</v>
      </c>
      <c r="L302">
        <v>0.01</v>
      </c>
      <c r="M302">
        <v>452.977</v>
      </c>
      <c r="N302">
        <v>0.005</v>
      </c>
      <c r="O302">
        <v>0.005</v>
      </c>
      <c r="P302">
        <v>0</v>
      </c>
      <c r="Q302">
        <v>0.001</v>
      </c>
      <c r="R302">
        <v>0</v>
      </c>
      <c r="S302">
        <v>452.982</v>
      </c>
      <c r="T302">
        <v>448.736</v>
      </c>
      <c r="U302">
        <v>452.977</v>
      </c>
      <c r="V302">
        <v>448.752</v>
      </c>
    </row>
    <row r="303" spans="2:22">
      <c r="B303">
        <v>302</v>
      </c>
      <c r="C303" t="s">
        <v>323</v>
      </c>
      <c r="D303">
        <v>80</v>
      </c>
      <c r="E303">
        <v>10.23</v>
      </c>
      <c r="F303">
        <v>56757.898</v>
      </c>
      <c r="G303">
        <v>56765.039</v>
      </c>
      <c r="H303">
        <v>56772.18</v>
      </c>
      <c r="I303">
        <v>3</v>
      </c>
      <c r="J303">
        <v>1</v>
      </c>
      <c r="K303">
        <v>0</v>
      </c>
      <c r="L303">
        <v>0.059</v>
      </c>
      <c r="M303">
        <v>452.918</v>
      </c>
      <c r="N303">
        <v>0.059</v>
      </c>
      <c r="O303">
        <v>0</v>
      </c>
      <c r="P303">
        <v>0</v>
      </c>
      <c r="Q303">
        <v>0</v>
      </c>
      <c r="R303">
        <v>0</v>
      </c>
      <c r="S303" t="s">
        <v>22</v>
      </c>
      <c r="T303" t="s">
        <v>22</v>
      </c>
      <c r="U303">
        <v>452.918</v>
      </c>
      <c r="V303">
        <v>448.693</v>
      </c>
    </row>
    <row r="304" spans="2:22">
      <c r="B304">
        <v>303</v>
      </c>
      <c r="C304" t="s">
        <v>324</v>
      </c>
      <c r="D304">
        <v>0</v>
      </c>
      <c r="E304">
        <v>0</v>
      </c>
      <c r="F304">
        <v>56799.914</v>
      </c>
      <c r="G304">
        <v>56799.914</v>
      </c>
      <c r="H304">
        <v>56799.914</v>
      </c>
      <c r="I304">
        <v>3</v>
      </c>
      <c r="J304">
        <v>1</v>
      </c>
      <c r="K304">
        <v>2</v>
      </c>
      <c r="L304">
        <v>0.004</v>
      </c>
      <c r="M304">
        <v>452.914</v>
      </c>
      <c r="N304">
        <v>0.006</v>
      </c>
      <c r="O304">
        <v>-0.002</v>
      </c>
      <c r="P304">
        <v>0</v>
      </c>
      <c r="Q304">
        <v>0</v>
      </c>
      <c r="R304">
        <v>0</v>
      </c>
      <c r="S304">
        <v>452.914</v>
      </c>
      <c r="T304">
        <v>448.668</v>
      </c>
      <c r="U304">
        <v>452.911</v>
      </c>
      <c r="V304">
        <v>448.686</v>
      </c>
    </row>
    <row r="305" spans="2:22">
      <c r="B305">
        <v>304</v>
      </c>
      <c r="C305" t="s">
        <v>325</v>
      </c>
      <c r="D305">
        <v>80</v>
      </c>
      <c r="E305">
        <v>34.21</v>
      </c>
      <c r="F305">
        <v>56883.09</v>
      </c>
      <c r="G305">
        <v>56906.973</v>
      </c>
      <c r="H305">
        <v>56930.855</v>
      </c>
      <c r="I305">
        <v>1</v>
      </c>
      <c r="J305">
        <v>2</v>
      </c>
      <c r="K305">
        <v>0</v>
      </c>
      <c r="L305">
        <v>0.021</v>
      </c>
      <c r="M305">
        <v>452.893</v>
      </c>
      <c r="N305">
        <v>0.017</v>
      </c>
      <c r="O305">
        <v>0</v>
      </c>
      <c r="P305">
        <v>0.002</v>
      </c>
      <c r="Q305">
        <v>0.002</v>
      </c>
      <c r="R305">
        <v>0</v>
      </c>
      <c r="S305" t="s">
        <v>22</v>
      </c>
      <c r="T305" t="s">
        <v>22</v>
      </c>
      <c r="U305">
        <v>452.894</v>
      </c>
      <c r="V305">
        <v>448.648</v>
      </c>
    </row>
    <row r="306" spans="2:22">
      <c r="B306">
        <v>305</v>
      </c>
      <c r="C306" t="s">
        <v>326</v>
      </c>
      <c r="D306">
        <v>80</v>
      </c>
      <c r="E306">
        <v>46.742</v>
      </c>
      <c r="F306">
        <v>56956.613</v>
      </c>
      <c r="G306">
        <v>56989.246</v>
      </c>
      <c r="H306">
        <v>57021.879</v>
      </c>
      <c r="I306">
        <v>1</v>
      </c>
      <c r="J306">
        <v>2</v>
      </c>
      <c r="K306">
        <v>0</v>
      </c>
      <c r="L306">
        <v>0.017</v>
      </c>
      <c r="M306">
        <v>452.876</v>
      </c>
      <c r="N306">
        <v>0.014</v>
      </c>
      <c r="O306">
        <v>0</v>
      </c>
      <c r="P306">
        <v>0.002</v>
      </c>
      <c r="Q306">
        <v>0.002</v>
      </c>
      <c r="R306">
        <v>0</v>
      </c>
      <c r="S306" t="s">
        <v>22</v>
      </c>
      <c r="T306" t="s">
        <v>22</v>
      </c>
      <c r="U306">
        <v>452.877</v>
      </c>
      <c r="V306">
        <v>448.631</v>
      </c>
    </row>
    <row r="307" spans="2:22">
      <c r="B307">
        <v>306</v>
      </c>
      <c r="C307" t="s">
        <v>327</v>
      </c>
      <c r="D307">
        <v>80</v>
      </c>
      <c r="E307">
        <v>29.82</v>
      </c>
      <c r="F307">
        <v>57058.957</v>
      </c>
      <c r="G307">
        <v>57079.773</v>
      </c>
      <c r="H307">
        <v>57100.594</v>
      </c>
      <c r="I307">
        <v>1</v>
      </c>
      <c r="J307">
        <v>2</v>
      </c>
      <c r="K307">
        <v>0</v>
      </c>
      <c r="L307">
        <v>0.018</v>
      </c>
      <c r="M307">
        <v>452.858</v>
      </c>
      <c r="N307">
        <v>0.015</v>
      </c>
      <c r="O307">
        <v>0</v>
      </c>
      <c r="P307">
        <v>0.001</v>
      </c>
      <c r="Q307">
        <v>0.002</v>
      </c>
      <c r="R307">
        <v>0</v>
      </c>
      <c r="S307" t="s">
        <v>22</v>
      </c>
      <c r="T307" t="s">
        <v>22</v>
      </c>
      <c r="U307">
        <v>452.858</v>
      </c>
      <c r="V307">
        <v>448.612</v>
      </c>
    </row>
    <row r="308" spans="2:22">
      <c r="B308">
        <v>307</v>
      </c>
      <c r="C308" t="s">
        <v>328</v>
      </c>
      <c r="D308">
        <v>80</v>
      </c>
      <c r="E308">
        <v>12.349</v>
      </c>
      <c r="F308">
        <v>57167.504</v>
      </c>
      <c r="G308">
        <v>57176.125</v>
      </c>
      <c r="H308">
        <v>57184.746</v>
      </c>
      <c r="I308">
        <v>1</v>
      </c>
      <c r="J308">
        <v>2</v>
      </c>
      <c r="K308">
        <v>0</v>
      </c>
      <c r="L308">
        <v>0.019</v>
      </c>
      <c r="M308">
        <v>452.839</v>
      </c>
      <c r="N308">
        <v>0.016</v>
      </c>
      <c r="O308">
        <v>0</v>
      </c>
      <c r="P308">
        <v>0.001</v>
      </c>
      <c r="Q308">
        <v>0.002</v>
      </c>
      <c r="R308">
        <v>0</v>
      </c>
      <c r="S308" t="s">
        <v>22</v>
      </c>
      <c r="T308" t="s">
        <v>22</v>
      </c>
      <c r="U308">
        <v>452.839</v>
      </c>
      <c r="V308">
        <v>448.593</v>
      </c>
    </row>
    <row r="309" spans="2:22">
      <c r="B309">
        <v>308</v>
      </c>
      <c r="C309" t="s">
        <v>329</v>
      </c>
      <c r="D309">
        <v>0</v>
      </c>
      <c r="E309">
        <v>0</v>
      </c>
      <c r="F309">
        <v>57213.203</v>
      </c>
      <c r="G309">
        <v>57213.203</v>
      </c>
      <c r="H309">
        <v>57213.203</v>
      </c>
      <c r="I309">
        <v>3</v>
      </c>
      <c r="J309">
        <v>1</v>
      </c>
      <c r="K309">
        <v>1</v>
      </c>
      <c r="L309">
        <v>0.011</v>
      </c>
      <c r="M309">
        <v>452.828</v>
      </c>
      <c r="N309">
        <v>0.005</v>
      </c>
      <c r="O309">
        <v>0.005</v>
      </c>
      <c r="P309">
        <v>0</v>
      </c>
      <c r="Q309">
        <v>0.001</v>
      </c>
      <c r="R309">
        <v>0</v>
      </c>
      <c r="S309">
        <v>452.833</v>
      </c>
      <c r="T309">
        <v>448.587</v>
      </c>
      <c r="U309">
        <v>452.828</v>
      </c>
      <c r="V309">
        <v>448.603</v>
      </c>
    </row>
    <row r="310" spans="2:22">
      <c r="B310">
        <v>309</v>
      </c>
      <c r="C310" t="s">
        <v>330</v>
      </c>
      <c r="D310">
        <v>0</v>
      </c>
      <c r="E310">
        <v>0</v>
      </c>
      <c r="F310">
        <v>57621.184</v>
      </c>
      <c r="G310">
        <v>57621.184</v>
      </c>
      <c r="H310">
        <v>57621.184</v>
      </c>
      <c r="I310">
        <v>3</v>
      </c>
      <c r="J310">
        <v>1</v>
      </c>
      <c r="K310">
        <v>2</v>
      </c>
      <c r="L310">
        <v>0.072</v>
      </c>
      <c r="M310">
        <v>452.757</v>
      </c>
      <c r="N310">
        <v>0.074</v>
      </c>
      <c r="O310">
        <v>-0.002</v>
      </c>
      <c r="P310">
        <v>0</v>
      </c>
      <c r="Q310">
        <v>0</v>
      </c>
      <c r="R310">
        <v>0</v>
      </c>
      <c r="S310">
        <v>452.757</v>
      </c>
      <c r="T310">
        <v>448.511</v>
      </c>
      <c r="U310">
        <v>452.754</v>
      </c>
      <c r="V310">
        <v>448.529</v>
      </c>
    </row>
    <row r="311" spans="2:22">
      <c r="B311">
        <v>310</v>
      </c>
      <c r="C311" t="s">
        <v>331</v>
      </c>
      <c r="D311">
        <v>80</v>
      </c>
      <c r="E311">
        <v>10.971</v>
      </c>
      <c r="F311">
        <v>57706.004</v>
      </c>
      <c r="G311">
        <v>57713.664</v>
      </c>
      <c r="H311">
        <v>57721.324</v>
      </c>
      <c r="I311">
        <v>1</v>
      </c>
      <c r="J311">
        <v>2</v>
      </c>
      <c r="K311">
        <v>0</v>
      </c>
      <c r="L311">
        <v>0.017</v>
      </c>
      <c r="M311">
        <v>452.74</v>
      </c>
      <c r="N311">
        <v>0.015</v>
      </c>
      <c r="O311">
        <v>0</v>
      </c>
      <c r="P311">
        <v>0.001</v>
      </c>
      <c r="Q311">
        <v>0.002</v>
      </c>
      <c r="R311">
        <v>0</v>
      </c>
      <c r="S311" t="s">
        <v>22</v>
      </c>
      <c r="T311" t="s">
        <v>22</v>
      </c>
      <c r="U311">
        <v>452.74</v>
      </c>
      <c r="V311">
        <v>448.494</v>
      </c>
    </row>
    <row r="312" spans="2:22">
      <c r="B312">
        <v>311</v>
      </c>
      <c r="C312" t="s">
        <v>332</v>
      </c>
      <c r="D312">
        <v>80</v>
      </c>
      <c r="E312">
        <v>16.389</v>
      </c>
      <c r="F312">
        <v>57876.23</v>
      </c>
      <c r="G312">
        <v>57887.672</v>
      </c>
      <c r="H312">
        <v>57899.113</v>
      </c>
      <c r="I312">
        <v>1</v>
      </c>
      <c r="J312">
        <v>2</v>
      </c>
      <c r="K312">
        <v>0</v>
      </c>
      <c r="L312">
        <v>0.033</v>
      </c>
      <c r="M312">
        <v>452.707</v>
      </c>
      <c r="N312">
        <v>0.029</v>
      </c>
      <c r="O312">
        <v>0</v>
      </c>
      <c r="P312">
        <v>0.001</v>
      </c>
      <c r="Q312">
        <v>0.003</v>
      </c>
      <c r="R312">
        <v>0</v>
      </c>
      <c r="S312" t="s">
        <v>22</v>
      </c>
      <c r="T312" t="s">
        <v>22</v>
      </c>
      <c r="U312">
        <v>452.707</v>
      </c>
      <c r="V312">
        <v>448.461</v>
      </c>
    </row>
    <row r="313" spans="2:22">
      <c r="B313">
        <v>312</v>
      </c>
      <c r="C313" t="s">
        <v>333</v>
      </c>
      <c r="D313">
        <v>0</v>
      </c>
      <c r="E313">
        <v>0</v>
      </c>
      <c r="F313">
        <v>58005.824</v>
      </c>
      <c r="G313">
        <v>58005.824</v>
      </c>
      <c r="H313">
        <v>58005.824</v>
      </c>
      <c r="I313">
        <v>2</v>
      </c>
      <c r="J313">
        <v>1</v>
      </c>
      <c r="K313">
        <v>1</v>
      </c>
      <c r="L313">
        <v>0.088</v>
      </c>
      <c r="M313">
        <v>452.618</v>
      </c>
      <c r="N313">
        <v>0.019</v>
      </c>
      <c r="O313">
        <v>0.067</v>
      </c>
      <c r="P313">
        <v>0</v>
      </c>
      <c r="Q313">
        <v>0.002</v>
      </c>
      <c r="R313">
        <v>0</v>
      </c>
      <c r="S313">
        <v>452.685</v>
      </c>
      <c r="T313">
        <v>448.439</v>
      </c>
      <c r="U313">
        <v>452.618</v>
      </c>
      <c r="V313">
        <v>448.864</v>
      </c>
    </row>
    <row r="314" spans="2:22">
      <c r="B314">
        <v>313</v>
      </c>
      <c r="C314" t="s">
        <v>334</v>
      </c>
      <c r="D314">
        <v>0</v>
      </c>
      <c r="E314">
        <v>0</v>
      </c>
      <c r="F314">
        <v>58267.777</v>
      </c>
      <c r="G314">
        <v>58267.777</v>
      </c>
      <c r="H314">
        <v>58267.777</v>
      </c>
      <c r="I314">
        <v>2</v>
      </c>
      <c r="J314">
        <v>1</v>
      </c>
      <c r="K314">
        <v>2</v>
      </c>
      <c r="L314">
        <v>0.052</v>
      </c>
      <c r="M314">
        <v>452.566</v>
      </c>
      <c r="N314">
        <v>0.087</v>
      </c>
      <c r="O314">
        <v>-0.035</v>
      </c>
      <c r="P314">
        <v>0</v>
      </c>
      <c r="Q314">
        <v>0</v>
      </c>
      <c r="R314">
        <v>0</v>
      </c>
      <c r="S314">
        <v>452.566</v>
      </c>
      <c r="T314">
        <v>448.32</v>
      </c>
      <c r="U314">
        <v>452.531</v>
      </c>
      <c r="V314">
        <v>448.777</v>
      </c>
    </row>
    <row r="315" spans="2:22">
      <c r="B315">
        <v>314</v>
      </c>
      <c r="C315" t="s">
        <v>335</v>
      </c>
      <c r="D315">
        <v>80</v>
      </c>
      <c r="E315">
        <v>18.537</v>
      </c>
      <c r="F315">
        <v>58288.195</v>
      </c>
      <c r="G315">
        <v>58301.137</v>
      </c>
      <c r="H315">
        <v>58314.078</v>
      </c>
      <c r="I315">
        <v>1</v>
      </c>
      <c r="J315">
        <v>2</v>
      </c>
      <c r="K315">
        <v>0</v>
      </c>
      <c r="L315">
        <v>0.006</v>
      </c>
      <c r="M315">
        <v>452.56</v>
      </c>
      <c r="N315">
        <v>0.005</v>
      </c>
      <c r="O315">
        <v>0</v>
      </c>
      <c r="P315">
        <v>0.001</v>
      </c>
      <c r="Q315">
        <v>0.001</v>
      </c>
      <c r="R315">
        <v>0</v>
      </c>
      <c r="S315" t="s">
        <v>22</v>
      </c>
      <c r="T315" t="s">
        <v>22</v>
      </c>
      <c r="U315">
        <v>452.56</v>
      </c>
      <c r="V315">
        <v>448.314</v>
      </c>
    </row>
    <row r="316" spans="2:22">
      <c r="B316">
        <v>315</v>
      </c>
      <c r="C316" t="s">
        <v>336</v>
      </c>
      <c r="D316">
        <v>80</v>
      </c>
      <c r="E316">
        <v>19.845</v>
      </c>
      <c r="F316">
        <v>58373.977</v>
      </c>
      <c r="G316">
        <v>58387.832</v>
      </c>
      <c r="H316">
        <v>58401.688</v>
      </c>
      <c r="I316">
        <v>1</v>
      </c>
      <c r="J316">
        <v>2</v>
      </c>
      <c r="K316">
        <v>0</v>
      </c>
      <c r="L316">
        <v>0.017</v>
      </c>
      <c r="M316">
        <v>452.543</v>
      </c>
      <c r="N316">
        <v>0.014</v>
      </c>
      <c r="O316">
        <v>0</v>
      </c>
      <c r="P316">
        <v>0.001</v>
      </c>
      <c r="Q316">
        <v>0.002</v>
      </c>
      <c r="R316">
        <v>0</v>
      </c>
      <c r="S316" t="s">
        <v>22</v>
      </c>
      <c r="T316" t="s">
        <v>22</v>
      </c>
      <c r="U316">
        <v>452.543</v>
      </c>
      <c r="V316">
        <v>448.297</v>
      </c>
    </row>
    <row r="317" spans="2:22">
      <c r="B317">
        <v>316</v>
      </c>
      <c r="C317" t="s">
        <v>337</v>
      </c>
      <c r="D317">
        <v>0</v>
      </c>
      <c r="E317">
        <v>0</v>
      </c>
      <c r="F317">
        <v>58512.766</v>
      </c>
      <c r="G317">
        <v>58512.766</v>
      </c>
      <c r="H317">
        <v>58512.766</v>
      </c>
      <c r="I317">
        <v>3</v>
      </c>
      <c r="J317">
        <v>1</v>
      </c>
      <c r="K317">
        <v>1</v>
      </c>
      <c r="L317">
        <v>0.027</v>
      </c>
      <c r="M317">
        <v>452.516</v>
      </c>
      <c r="N317">
        <v>0.02</v>
      </c>
      <c r="O317">
        <v>0.005</v>
      </c>
      <c r="P317">
        <v>0</v>
      </c>
      <c r="Q317">
        <v>0.002</v>
      </c>
      <c r="R317">
        <v>0</v>
      </c>
      <c r="S317">
        <v>452.52</v>
      </c>
      <c r="T317">
        <v>448.274</v>
      </c>
      <c r="U317">
        <v>452.516</v>
      </c>
      <c r="V317">
        <v>448.291</v>
      </c>
    </row>
    <row r="318" spans="2:22">
      <c r="B318">
        <v>317</v>
      </c>
      <c r="C318" t="s">
        <v>338</v>
      </c>
      <c r="D318">
        <v>0</v>
      </c>
      <c r="E318">
        <v>0</v>
      </c>
      <c r="F318">
        <v>58941.203</v>
      </c>
      <c r="G318">
        <v>58941.203</v>
      </c>
      <c r="H318">
        <v>58941.203</v>
      </c>
      <c r="I318">
        <v>3</v>
      </c>
      <c r="J318">
        <v>1</v>
      </c>
      <c r="K318">
        <v>2</v>
      </c>
      <c r="L318">
        <v>0.076</v>
      </c>
      <c r="M318">
        <v>452.44</v>
      </c>
      <c r="N318">
        <v>0.078</v>
      </c>
      <c r="O318">
        <v>-0.002</v>
      </c>
      <c r="P318">
        <v>0</v>
      </c>
      <c r="Q318">
        <v>0</v>
      </c>
      <c r="R318">
        <v>0</v>
      </c>
      <c r="S318">
        <v>452.44</v>
      </c>
      <c r="T318">
        <v>448.194</v>
      </c>
      <c r="U318">
        <v>452.438</v>
      </c>
      <c r="V318">
        <v>448.213</v>
      </c>
    </row>
    <row r="319" spans="2:22">
      <c r="B319">
        <v>318</v>
      </c>
      <c r="C319" t="s">
        <v>339</v>
      </c>
      <c r="D319">
        <v>0</v>
      </c>
      <c r="E319">
        <v>0</v>
      </c>
      <c r="F319">
        <v>58973.609</v>
      </c>
      <c r="G319">
        <v>58973.609</v>
      </c>
      <c r="H319">
        <v>58973.609</v>
      </c>
      <c r="I319">
        <v>2</v>
      </c>
      <c r="J319">
        <v>1</v>
      </c>
      <c r="K319">
        <v>1</v>
      </c>
      <c r="L319">
        <v>0.071</v>
      </c>
      <c r="M319">
        <v>452.369</v>
      </c>
      <c r="N319">
        <v>0.004</v>
      </c>
      <c r="O319">
        <v>0.067</v>
      </c>
      <c r="P319">
        <v>0</v>
      </c>
      <c r="Q319">
        <v>0</v>
      </c>
      <c r="R319">
        <v>0</v>
      </c>
      <c r="S319">
        <v>452.436</v>
      </c>
      <c r="T319">
        <v>448.19</v>
      </c>
      <c r="U319">
        <v>452.369</v>
      </c>
      <c r="V319">
        <v>448.615</v>
      </c>
    </row>
    <row r="320" spans="2:22">
      <c r="B320">
        <v>319</v>
      </c>
      <c r="C320" t="s">
        <v>340</v>
      </c>
      <c r="D320">
        <v>0</v>
      </c>
      <c r="E320">
        <v>0</v>
      </c>
      <c r="F320">
        <v>59166.109</v>
      </c>
      <c r="G320">
        <v>59166.109</v>
      </c>
      <c r="H320">
        <v>59166.109</v>
      </c>
      <c r="I320">
        <v>2</v>
      </c>
      <c r="J320">
        <v>1</v>
      </c>
      <c r="K320">
        <v>2</v>
      </c>
      <c r="L320">
        <v>0.029</v>
      </c>
      <c r="M320">
        <v>452.34</v>
      </c>
      <c r="N320">
        <v>0.064</v>
      </c>
      <c r="O320">
        <v>-0.035</v>
      </c>
      <c r="P320">
        <v>0</v>
      </c>
      <c r="Q320">
        <v>0</v>
      </c>
      <c r="R320">
        <v>0</v>
      </c>
      <c r="S320">
        <v>452.34</v>
      </c>
      <c r="T320">
        <v>448.094</v>
      </c>
      <c r="U320">
        <v>452.305</v>
      </c>
      <c r="V320">
        <v>448.551</v>
      </c>
    </row>
    <row r="321" spans="2:22">
      <c r="B321">
        <v>320</v>
      </c>
      <c r="C321" t="s">
        <v>341</v>
      </c>
      <c r="D321">
        <v>0</v>
      </c>
      <c r="E321">
        <v>0</v>
      </c>
      <c r="F321">
        <v>59207.988</v>
      </c>
      <c r="G321">
        <v>59207.988</v>
      </c>
      <c r="H321">
        <v>59207.988</v>
      </c>
      <c r="I321">
        <v>3</v>
      </c>
      <c r="J321">
        <v>1</v>
      </c>
      <c r="K321">
        <v>1</v>
      </c>
      <c r="L321">
        <v>0.011</v>
      </c>
      <c r="M321">
        <v>452.329</v>
      </c>
      <c r="N321">
        <v>0.005</v>
      </c>
      <c r="O321">
        <v>0.005</v>
      </c>
      <c r="P321">
        <v>0</v>
      </c>
      <c r="Q321">
        <v>0.001</v>
      </c>
      <c r="R321">
        <v>0</v>
      </c>
      <c r="S321">
        <v>452.334</v>
      </c>
      <c r="T321">
        <v>448.088</v>
      </c>
      <c r="U321">
        <v>452.329</v>
      </c>
      <c r="V321">
        <v>448.104</v>
      </c>
    </row>
    <row r="322" spans="2:22">
      <c r="B322">
        <v>321</v>
      </c>
      <c r="C322" t="s">
        <v>342</v>
      </c>
      <c r="D322">
        <v>80</v>
      </c>
      <c r="E322">
        <v>19.56</v>
      </c>
      <c r="F322">
        <v>59288.418</v>
      </c>
      <c r="G322">
        <v>59302.074</v>
      </c>
      <c r="H322">
        <v>59315.73</v>
      </c>
      <c r="I322">
        <v>3</v>
      </c>
      <c r="J322">
        <v>1</v>
      </c>
      <c r="K322">
        <v>0</v>
      </c>
      <c r="L322">
        <v>0.018</v>
      </c>
      <c r="M322">
        <v>452.311</v>
      </c>
      <c r="N322">
        <v>0.017</v>
      </c>
      <c r="O322">
        <v>0</v>
      </c>
      <c r="P322">
        <v>0.001</v>
      </c>
      <c r="Q322">
        <v>0</v>
      </c>
      <c r="R322">
        <v>0</v>
      </c>
      <c r="S322" t="s">
        <v>22</v>
      </c>
      <c r="T322" t="s">
        <v>22</v>
      </c>
      <c r="U322">
        <v>452.312</v>
      </c>
      <c r="V322">
        <v>448.087</v>
      </c>
    </row>
    <row r="323" spans="2:22">
      <c r="B323">
        <v>322</v>
      </c>
      <c r="C323" t="s">
        <v>343</v>
      </c>
      <c r="D323">
        <v>0</v>
      </c>
      <c r="E323">
        <v>0</v>
      </c>
      <c r="F323">
        <v>59814.66</v>
      </c>
      <c r="G323">
        <v>59814.66</v>
      </c>
      <c r="H323">
        <v>59814.66</v>
      </c>
      <c r="I323">
        <v>3</v>
      </c>
      <c r="J323">
        <v>1</v>
      </c>
      <c r="K323">
        <v>2</v>
      </c>
      <c r="L323">
        <v>0.091</v>
      </c>
      <c r="M323">
        <v>452.22</v>
      </c>
      <c r="N323">
        <v>0.093</v>
      </c>
      <c r="O323">
        <v>-0.002</v>
      </c>
      <c r="P323">
        <v>0</v>
      </c>
      <c r="Q323">
        <v>0</v>
      </c>
      <c r="R323">
        <v>0</v>
      </c>
      <c r="S323">
        <v>452.22</v>
      </c>
      <c r="T323">
        <v>447.974</v>
      </c>
      <c r="U323">
        <v>452.218</v>
      </c>
      <c r="V323">
        <v>447.993</v>
      </c>
    </row>
    <row r="324" spans="2:22">
      <c r="B324">
        <v>323</v>
      </c>
      <c r="C324" t="s">
        <v>344</v>
      </c>
      <c r="D324">
        <v>0</v>
      </c>
      <c r="E324">
        <v>0</v>
      </c>
      <c r="F324">
        <v>59829.055</v>
      </c>
      <c r="G324">
        <v>59829.055</v>
      </c>
      <c r="H324">
        <v>59829.055</v>
      </c>
      <c r="I324">
        <v>2</v>
      </c>
      <c r="J324">
        <v>1</v>
      </c>
      <c r="K324">
        <v>1</v>
      </c>
      <c r="L324">
        <v>0.068</v>
      </c>
      <c r="M324">
        <v>452.153</v>
      </c>
      <c r="N324">
        <v>0.001</v>
      </c>
      <c r="O324">
        <v>0.067</v>
      </c>
      <c r="P324">
        <v>0</v>
      </c>
      <c r="Q324">
        <v>0</v>
      </c>
      <c r="R324">
        <v>0</v>
      </c>
      <c r="S324">
        <v>452.22</v>
      </c>
      <c r="T324">
        <v>447.974</v>
      </c>
      <c r="U324">
        <v>452.153</v>
      </c>
      <c r="V324">
        <v>448.399</v>
      </c>
    </row>
    <row r="325" spans="2:22">
      <c r="B325">
        <v>324</v>
      </c>
      <c r="C325" t="s">
        <v>345</v>
      </c>
      <c r="D325">
        <v>0</v>
      </c>
      <c r="E325">
        <v>0</v>
      </c>
      <c r="F325">
        <v>60099.484</v>
      </c>
      <c r="G325">
        <v>60099.484</v>
      </c>
      <c r="H325">
        <v>60099.484</v>
      </c>
      <c r="I325">
        <v>2</v>
      </c>
      <c r="J325">
        <v>1</v>
      </c>
      <c r="K325">
        <v>2</v>
      </c>
      <c r="L325">
        <v>0.055</v>
      </c>
      <c r="M325">
        <v>452.097</v>
      </c>
      <c r="N325">
        <v>0.09</v>
      </c>
      <c r="O325">
        <v>-0.035</v>
      </c>
      <c r="P325">
        <v>0</v>
      </c>
      <c r="Q325">
        <v>0</v>
      </c>
      <c r="R325">
        <v>0</v>
      </c>
      <c r="S325">
        <v>452.097</v>
      </c>
      <c r="T325">
        <v>447.851</v>
      </c>
      <c r="U325">
        <v>452.062</v>
      </c>
      <c r="V325">
        <v>448.308</v>
      </c>
    </row>
    <row r="326" spans="2:22">
      <c r="B326">
        <v>325</v>
      </c>
      <c r="C326" t="s">
        <v>346</v>
      </c>
      <c r="D326">
        <v>0</v>
      </c>
      <c r="E326">
        <v>0</v>
      </c>
      <c r="F326">
        <v>60124.156</v>
      </c>
      <c r="G326">
        <v>60124.156</v>
      </c>
      <c r="H326">
        <v>60124.156</v>
      </c>
      <c r="I326">
        <v>3</v>
      </c>
      <c r="J326">
        <v>1</v>
      </c>
      <c r="K326">
        <v>1</v>
      </c>
      <c r="L326">
        <v>0.007</v>
      </c>
      <c r="M326">
        <v>452.09</v>
      </c>
      <c r="N326">
        <v>0.002</v>
      </c>
      <c r="O326">
        <v>0.005</v>
      </c>
      <c r="P326">
        <v>0</v>
      </c>
      <c r="Q326">
        <v>0</v>
      </c>
      <c r="R326">
        <v>0</v>
      </c>
      <c r="S326">
        <v>452.095</v>
      </c>
      <c r="T326">
        <v>447.849</v>
      </c>
      <c r="U326">
        <v>452.09</v>
      </c>
      <c r="V326">
        <v>447.865</v>
      </c>
    </row>
    <row r="327" spans="2:22">
      <c r="B327">
        <v>326</v>
      </c>
      <c r="C327" t="s">
        <v>347</v>
      </c>
      <c r="D327">
        <v>0</v>
      </c>
      <c r="E327">
        <v>0</v>
      </c>
      <c r="F327">
        <v>60662.145</v>
      </c>
      <c r="G327">
        <v>60662.145</v>
      </c>
      <c r="H327">
        <v>60662.145</v>
      </c>
      <c r="I327">
        <v>3</v>
      </c>
      <c r="J327">
        <v>1</v>
      </c>
      <c r="K327">
        <v>2</v>
      </c>
      <c r="L327">
        <v>0.095</v>
      </c>
      <c r="M327">
        <v>451.995</v>
      </c>
      <c r="N327">
        <v>0.098</v>
      </c>
      <c r="O327">
        <v>-0.002</v>
      </c>
      <c r="P327">
        <v>0</v>
      </c>
      <c r="Q327">
        <v>0</v>
      </c>
      <c r="R327">
        <v>0</v>
      </c>
      <c r="S327">
        <v>451.995</v>
      </c>
      <c r="T327">
        <v>447.749</v>
      </c>
      <c r="U327">
        <v>451.992</v>
      </c>
      <c r="V327">
        <v>447.767</v>
      </c>
    </row>
    <row r="328" spans="2:22">
      <c r="B328">
        <v>327</v>
      </c>
      <c r="C328" t="s">
        <v>348</v>
      </c>
      <c r="D328">
        <v>60</v>
      </c>
      <c r="E328">
        <v>19.423</v>
      </c>
      <c r="F328">
        <v>60744.113</v>
      </c>
      <c r="G328">
        <v>60754.285</v>
      </c>
      <c r="H328">
        <v>60764.453</v>
      </c>
      <c r="I328">
        <v>1</v>
      </c>
      <c r="J328">
        <v>2</v>
      </c>
      <c r="K328">
        <v>0</v>
      </c>
      <c r="L328">
        <v>0.017</v>
      </c>
      <c r="M328">
        <v>451.978</v>
      </c>
      <c r="N328">
        <v>0.015</v>
      </c>
      <c r="O328">
        <v>0</v>
      </c>
      <c r="P328">
        <v>0.001</v>
      </c>
      <c r="Q328">
        <v>0.002</v>
      </c>
      <c r="R328">
        <v>0</v>
      </c>
      <c r="S328" t="s">
        <v>22</v>
      </c>
      <c r="T328" t="s">
        <v>22</v>
      </c>
      <c r="U328">
        <v>451.978</v>
      </c>
      <c r="V328">
        <v>447.732</v>
      </c>
    </row>
    <row r="329" spans="2:22">
      <c r="B329">
        <v>328</v>
      </c>
      <c r="C329" t="s">
        <v>349</v>
      </c>
      <c r="D329">
        <v>0</v>
      </c>
      <c r="E329">
        <v>0</v>
      </c>
      <c r="F329">
        <v>60770.242</v>
      </c>
      <c r="G329">
        <v>60770.242</v>
      </c>
      <c r="H329">
        <v>60770.242</v>
      </c>
      <c r="I329">
        <v>2</v>
      </c>
      <c r="J329">
        <v>1</v>
      </c>
      <c r="K329">
        <v>1</v>
      </c>
      <c r="L329">
        <v>0.069</v>
      </c>
      <c r="M329">
        <v>451.909</v>
      </c>
      <c r="N329">
        <v>0.002</v>
      </c>
      <c r="O329">
        <v>0.067</v>
      </c>
      <c r="P329">
        <v>0</v>
      </c>
      <c r="Q329">
        <v>0</v>
      </c>
      <c r="R329">
        <v>0</v>
      </c>
      <c r="S329">
        <v>451.976</v>
      </c>
      <c r="T329">
        <v>447.73</v>
      </c>
      <c r="U329">
        <v>451.909</v>
      </c>
      <c r="V329">
        <v>448.155</v>
      </c>
    </row>
    <row r="330" spans="2:22">
      <c r="B330">
        <v>329</v>
      </c>
      <c r="C330" t="s">
        <v>350</v>
      </c>
      <c r="D330">
        <v>0</v>
      </c>
      <c r="E330">
        <v>0</v>
      </c>
      <c r="F330">
        <v>61007.5</v>
      </c>
      <c r="G330">
        <v>61007.5</v>
      </c>
      <c r="H330">
        <v>61007.5</v>
      </c>
      <c r="I330">
        <v>2</v>
      </c>
      <c r="J330">
        <v>1</v>
      </c>
      <c r="K330">
        <v>2</v>
      </c>
      <c r="L330">
        <v>0.044</v>
      </c>
      <c r="M330">
        <v>451.864</v>
      </c>
      <c r="N330">
        <v>0.079</v>
      </c>
      <c r="O330">
        <v>-0.035</v>
      </c>
      <c r="P330">
        <v>0</v>
      </c>
      <c r="Q330">
        <v>0</v>
      </c>
      <c r="R330">
        <v>0</v>
      </c>
      <c r="S330">
        <v>451.864</v>
      </c>
      <c r="T330">
        <v>447.618</v>
      </c>
      <c r="U330">
        <v>451.829</v>
      </c>
      <c r="V330">
        <v>448.075</v>
      </c>
    </row>
    <row r="331" spans="2:22">
      <c r="B331">
        <v>330</v>
      </c>
      <c r="C331" t="s">
        <v>351</v>
      </c>
      <c r="D331">
        <v>0</v>
      </c>
      <c r="E331">
        <v>0</v>
      </c>
      <c r="F331">
        <v>61054.961</v>
      </c>
      <c r="G331">
        <v>61054.961</v>
      </c>
      <c r="H331">
        <v>61054.961</v>
      </c>
      <c r="I331">
        <v>3</v>
      </c>
      <c r="J331">
        <v>1</v>
      </c>
      <c r="K331">
        <v>1</v>
      </c>
      <c r="L331">
        <v>0.012</v>
      </c>
      <c r="M331">
        <v>451.853</v>
      </c>
      <c r="N331">
        <v>0.006</v>
      </c>
      <c r="O331">
        <v>0.005</v>
      </c>
      <c r="P331">
        <v>0</v>
      </c>
      <c r="Q331">
        <v>0.001</v>
      </c>
      <c r="R331">
        <v>0</v>
      </c>
      <c r="S331">
        <v>451.857</v>
      </c>
      <c r="T331">
        <v>447.611</v>
      </c>
      <c r="U331">
        <v>451.853</v>
      </c>
      <c r="V331">
        <v>447.628</v>
      </c>
    </row>
    <row r="332" spans="2:22">
      <c r="B332">
        <v>331</v>
      </c>
      <c r="C332" t="s">
        <v>352</v>
      </c>
      <c r="D332">
        <v>0</v>
      </c>
      <c r="E332">
        <v>0</v>
      </c>
      <c r="F332">
        <v>61484.578</v>
      </c>
      <c r="G332">
        <v>61484.578</v>
      </c>
      <c r="H332">
        <v>61484.578</v>
      </c>
      <c r="I332">
        <v>3</v>
      </c>
      <c r="J332">
        <v>1</v>
      </c>
      <c r="K332">
        <v>2</v>
      </c>
      <c r="L332">
        <v>0.076</v>
      </c>
      <c r="M332">
        <v>451.777</v>
      </c>
      <c r="N332">
        <v>0.078</v>
      </c>
      <c r="O332">
        <v>-0.002</v>
      </c>
      <c r="P332">
        <v>0</v>
      </c>
      <c r="Q332">
        <v>0</v>
      </c>
      <c r="R332">
        <v>0</v>
      </c>
      <c r="S332">
        <v>451.777</v>
      </c>
      <c r="T332">
        <v>447.531</v>
      </c>
      <c r="U332">
        <v>451.775</v>
      </c>
      <c r="V332">
        <v>447.55</v>
      </c>
    </row>
    <row r="333" spans="2:22">
      <c r="B333">
        <v>332</v>
      </c>
      <c r="C333" t="s">
        <v>353</v>
      </c>
      <c r="D333">
        <v>0</v>
      </c>
      <c r="E333">
        <v>0</v>
      </c>
      <c r="F333">
        <v>61516.723</v>
      </c>
      <c r="G333">
        <v>61516.723</v>
      </c>
      <c r="H333">
        <v>61516.723</v>
      </c>
      <c r="I333">
        <v>2</v>
      </c>
      <c r="J333">
        <v>1</v>
      </c>
      <c r="K333">
        <v>1</v>
      </c>
      <c r="L333">
        <v>0.071</v>
      </c>
      <c r="M333">
        <v>451.706</v>
      </c>
      <c r="N333">
        <v>0.004</v>
      </c>
      <c r="O333">
        <v>0.067</v>
      </c>
      <c r="P333">
        <v>0</v>
      </c>
      <c r="Q333">
        <v>0</v>
      </c>
      <c r="R333">
        <v>0</v>
      </c>
      <c r="S333">
        <v>451.773</v>
      </c>
      <c r="T333">
        <v>447.527</v>
      </c>
      <c r="U333">
        <v>451.706</v>
      </c>
      <c r="V333">
        <v>447.952</v>
      </c>
    </row>
    <row r="334" spans="2:22">
      <c r="B334">
        <v>333</v>
      </c>
      <c r="C334" t="s">
        <v>354</v>
      </c>
      <c r="D334">
        <v>0</v>
      </c>
      <c r="E334">
        <v>0</v>
      </c>
      <c r="F334">
        <v>61647.707</v>
      </c>
      <c r="G334">
        <v>61647.707</v>
      </c>
      <c r="H334">
        <v>61647.707</v>
      </c>
      <c r="I334">
        <v>2</v>
      </c>
      <c r="J334">
        <v>1</v>
      </c>
      <c r="K334">
        <v>2</v>
      </c>
      <c r="L334">
        <v>0.009</v>
      </c>
      <c r="M334">
        <v>451.697</v>
      </c>
      <c r="N334">
        <v>0.044</v>
      </c>
      <c r="O334">
        <v>-0.035</v>
      </c>
      <c r="P334">
        <v>0</v>
      </c>
      <c r="Q334">
        <v>0</v>
      </c>
      <c r="R334">
        <v>0</v>
      </c>
      <c r="S334">
        <v>451.697</v>
      </c>
      <c r="T334">
        <v>447.451</v>
      </c>
      <c r="U334">
        <v>451.662</v>
      </c>
      <c r="V334">
        <v>447.908</v>
      </c>
    </row>
    <row r="335" spans="2:22">
      <c r="B335">
        <v>334</v>
      </c>
      <c r="C335" t="s">
        <v>355</v>
      </c>
      <c r="D335">
        <v>0</v>
      </c>
      <c r="E335">
        <v>0</v>
      </c>
      <c r="F335">
        <v>61656.98</v>
      </c>
      <c r="G335">
        <v>61656.98</v>
      </c>
      <c r="H335">
        <v>61656.98</v>
      </c>
      <c r="I335">
        <v>3</v>
      </c>
      <c r="J335">
        <v>1</v>
      </c>
      <c r="K335">
        <v>1</v>
      </c>
      <c r="L335">
        <v>0.005</v>
      </c>
      <c r="M335">
        <v>451.693</v>
      </c>
      <c r="N335">
        <v>0</v>
      </c>
      <c r="O335">
        <v>0.005</v>
      </c>
      <c r="P335">
        <v>0</v>
      </c>
      <c r="Q335">
        <v>0</v>
      </c>
      <c r="R335">
        <v>0</v>
      </c>
      <c r="S335">
        <v>451.697</v>
      </c>
      <c r="T335">
        <v>447.451</v>
      </c>
      <c r="U335">
        <v>451.693</v>
      </c>
      <c r="V335">
        <v>447.468</v>
      </c>
    </row>
    <row r="336" spans="2:22">
      <c r="B336">
        <v>335</v>
      </c>
      <c r="C336" t="s">
        <v>356</v>
      </c>
      <c r="D336">
        <v>80</v>
      </c>
      <c r="E336">
        <v>19.984</v>
      </c>
      <c r="F336">
        <v>61735.902</v>
      </c>
      <c r="G336">
        <v>61749.855</v>
      </c>
      <c r="H336">
        <v>61763.805</v>
      </c>
      <c r="I336">
        <v>3</v>
      </c>
      <c r="J336">
        <v>1</v>
      </c>
      <c r="K336">
        <v>0</v>
      </c>
      <c r="L336">
        <v>0.018</v>
      </c>
      <c r="M336">
        <v>451.675</v>
      </c>
      <c r="N336">
        <v>0.017</v>
      </c>
      <c r="O336">
        <v>0</v>
      </c>
      <c r="P336">
        <v>0.001</v>
      </c>
      <c r="Q336">
        <v>0</v>
      </c>
      <c r="R336">
        <v>0</v>
      </c>
      <c r="S336" t="s">
        <v>22</v>
      </c>
      <c r="T336" t="s">
        <v>22</v>
      </c>
      <c r="U336">
        <v>451.675</v>
      </c>
      <c r="V336">
        <v>447.45</v>
      </c>
    </row>
    <row r="337" spans="2:22">
      <c r="B337">
        <v>336</v>
      </c>
      <c r="C337" t="s">
        <v>357</v>
      </c>
      <c r="D337">
        <v>0</v>
      </c>
      <c r="E337">
        <v>0</v>
      </c>
      <c r="F337">
        <v>62106.434</v>
      </c>
      <c r="G337">
        <v>62106.434</v>
      </c>
      <c r="H337">
        <v>62106.434</v>
      </c>
      <c r="I337">
        <v>3</v>
      </c>
      <c r="J337">
        <v>1</v>
      </c>
      <c r="K337">
        <v>2</v>
      </c>
      <c r="L337">
        <v>0.062</v>
      </c>
      <c r="M337">
        <v>451.613</v>
      </c>
      <c r="N337">
        <v>0.065</v>
      </c>
      <c r="O337">
        <v>-0.002</v>
      </c>
      <c r="P337">
        <v>0</v>
      </c>
      <c r="Q337">
        <v>0</v>
      </c>
      <c r="R337">
        <v>0</v>
      </c>
      <c r="S337">
        <v>451.613</v>
      </c>
      <c r="T337">
        <v>447.367</v>
      </c>
      <c r="U337">
        <v>451.61</v>
      </c>
      <c r="V337">
        <v>447.385</v>
      </c>
    </row>
    <row r="338" spans="2:22">
      <c r="B338">
        <v>337</v>
      </c>
      <c r="C338" t="s">
        <v>358</v>
      </c>
      <c r="D338">
        <v>0</v>
      </c>
      <c r="E338">
        <v>0</v>
      </c>
      <c r="F338">
        <v>62270.098</v>
      </c>
      <c r="G338">
        <v>62270.098</v>
      </c>
      <c r="H338">
        <v>62270.098</v>
      </c>
      <c r="I338">
        <v>3</v>
      </c>
      <c r="J338">
        <v>1</v>
      </c>
      <c r="K338">
        <v>1</v>
      </c>
      <c r="L338">
        <v>0.033</v>
      </c>
      <c r="M338">
        <v>451.579</v>
      </c>
      <c r="N338">
        <v>0.026</v>
      </c>
      <c r="O338">
        <v>0.005</v>
      </c>
      <c r="P338">
        <v>0</v>
      </c>
      <c r="Q338">
        <v>0.003</v>
      </c>
      <c r="R338">
        <v>0</v>
      </c>
      <c r="S338">
        <v>451.584</v>
      </c>
      <c r="T338">
        <v>447.338</v>
      </c>
      <c r="U338">
        <v>451.579</v>
      </c>
      <c r="V338">
        <v>447.354</v>
      </c>
    </row>
    <row r="339" spans="2:22">
      <c r="B339">
        <v>338</v>
      </c>
      <c r="C339" t="s">
        <v>359</v>
      </c>
      <c r="D339">
        <v>80</v>
      </c>
      <c r="E339">
        <v>54.291</v>
      </c>
      <c r="F339">
        <v>62314.902</v>
      </c>
      <c r="G339">
        <v>62352.805</v>
      </c>
      <c r="H339">
        <v>62390.707</v>
      </c>
      <c r="I339">
        <v>3</v>
      </c>
      <c r="J339">
        <v>1</v>
      </c>
      <c r="K339">
        <v>0</v>
      </c>
      <c r="L339">
        <v>0.018</v>
      </c>
      <c r="M339">
        <v>451.562</v>
      </c>
      <c r="N339">
        <v>0.015</v>
      </c>
      <c r="O339">
        <v>0</v>
      </c>
      <c r="P339">
        <v>0.002</v>
      </c>
      <c r="Q339">
        <v>0</v>
      </c>
      <c r="R339">
        <v>0</v>
      </c>
      <c r="S339" t="s">
        <v>22</v>
      </c>
      <c r="T339" t="s">
        <v>22</v>
      </c>
      <c r="U339">
        <v>451.563</v>
      </c>
      <c r="V339">
        <v>447.338</v>
      </c>
    </row>
    <row r="340" spans="2:22">
      <c r="B340">
        <v>339</v>
      </c>
      <c r="C340" t="s">
        <v>360</v>
      </c>
      <c r="D340">
        <v>0</v>
      </c>
      <c r="E340">
        <v>0</v>
      </c>
      <c r="F340">
        <v>64173.781</v>
      </c>
      <c r="G340">
        <v>64173.781</v>
      </c>
      <c r="H340">
        <v>64173.781</v>
      </c>
      <c r="I340">
        <v>3</v>
      </c>
      <c r="J340">
        <v>1</v>
      </c>
      <c r="K340">
        <v>2</v>
      </c>
      <c r="L340">
        <v>0.329</v>
      </c>
      <c r="M340">
        <v>451.233</v>
      </c>
      <c r="N340">
        <v>0.331</v>
      </c>
      <c r="O340">
        <v>-0.002</v>
      </c>
      <c r="P340">
        <v>0</v>
      </c>
      <c r="Q340">
        <v>0</v>
      </c>
      <c r="R340">
        <v>0</v>
      </c>
      <c r="S340">
        <v>451.233</v>
      </c>
      <c r="T340">
        <v>446.987</v>
      </c>
      <c r="U340">
        <v>451.231</v>
      </c>
      <c r="V340">
        <v>447.006</v>
      </c>
    </row>
    <row r="341" spans="2:22">
      <c r="B341">
        <v>340</v>
      </c>
      <c r="C341" t="s">
        <v>361</v>
      </c>
      <c r="D341">
        <v>80</v>
      </c>
      <c r="E341">
        <v>9.536</v>
      </c>
      <c r="F341">
        <v>64183.359</v>
      </c>
      <c r="G341">
        <v>64190.02</v>
      </c>
      <c r="H341">
        <v>64196.676</v>
      </c>
      <c r="I341">
        <v>1</v>
      </c>
      <c r="J341">
        <v>2</v>
      </c>
      <c r="K341">
        <v>0</v>
      </c>
      <c r="L341">
        <v>0.003</v>
      </c>
      <c r="M341">
        <v>451.23</v>
      </c>
      <c r="N341">
        <v>0.002</v>
      </c>
      <c r="O341">
        <v>0</v>
      </c>
      <c r="P341">
        <v>0</v>
      </c>
      <c r="Q341">
        <v>0</v>
      </c>
      <c r="R341">
        <v>0</v>
      </c>
      <c r="S341" t="s">
        <v>22</v>
      </c>
      <c r="T341" t="s">
        <v>22</v>
      </c>
      <c r="U341">
        <v>451.231</v>
      </c>
      <c r="V341">
        <v>446.985</v>
      </c>
    </row>
    <row r="342" spans="2:22">
      <c r="B342">
        <v>341</v>
      </c>
      <c r="C342" t="s">
        <v>362</v>
      </c>
      <c r="D342">
        <v>0</v>
      </c>
      <c r="E342">
        <v>0</v>
      </c>
      <c r="F342">
        <v>64327.703</v>
      </c>
      <c r="G342">
        <v>64327.703</v>
      </c>
      <c r="H342">
        <v>64327.703</v>
      </c>
      <c r="I342">
        <v>1</v>
      </c>
      <c r="J342">
        <v>4</v>
      </c>
      <c r="K342">
        <v>1</v>
      </c>
      <c r="L342">
        <v>0.025</v>
      </c>
      <c r="M342">
        <v>451.206</v>
      </c>
      <c r="N342">
        <v>0.022</v>
      </c>
      <c r="O342">
        <v>0</v>
      </c>
      <c r="P342">
        <v>0</v>
      </c>
      <c r="Q342">
        <v>0.003</v>
      </c>
      <c r="R342">
        <v>0</v>
      </c>
      <c r="S342">
        <v>451.206</v>
      </c>
      <c r="T342">
        <v>446.96</v>
      </c>
      <c r="U342">
        <v>451.206</v>
      </c>
      <c r="V342">
        <v>446.96</v>
      </c>
    </row>
    <row r="343" spans="2:22">
      <c r="B343">
        <v>342</v>
      </c>
      <c r="C343" t="s">
        <v>363</v>
      </c>
      <c r="D343">
        <v>0</v>
      </c>
      <c r="E343">
        <v>0</v>
      </c>
      <c r="F343">
        <v>64327.703</v>
      </c>
      <c r="G343">
        <v>64327.703</v>
      </c>
      <c r="H343">
        <v>64327.703</v>
      </c>
      <c r="I343">
        <v>1</v>
      </c>
      <c r="J343">
        <v>4</v>
      </c>
      <c r="K343">
        <v>2</v>
      </c>
      <c r="L343">
        <v>0.03</v>
      </c>
      <c r="M343">
        <v>451.176</v>
      </c>
      <c r="N343">
        <v>0</v>
      </c>
      <c r="O343">
        <v>0</v>
      </c>
      <c r="P343">
        <v>0</v>
      </c>
      <c r="Q343">
        <v>0</v>
      </c>
      <c r="R343">
        <v>0.03</v>
      </c>
      <c r="S343">
        <v>451.176</v>
      </c>
      <c r="T343">
        <v>447.261</v>
      </c>
      <c r="U343">
        <v>451.176</v>
      </c>
      <c r="V343">
        <v>447.261</v>
      </c>
    </row>
    <row r="344" spans="2:22">
      <c r="B344">
        <v>343</v>
      </c>
      <c r="C344" t="s">
        <v>364</v>
      </c>
      <c r="D344">
        <v>0</v>
      </c>
      <c r="E344">
        <v>0</v>
      </c>
      <c r="F344">
        <v>64371.801</v>
      </c>
      <c r="G344">
        <v>64371.801</v>
      </c>
      <c r="H344">
        <v>64371.801</v>
      </c>
      <c r="I344">
        <v>3</v>
      </c>
      <c r="J344">
        <v>1</v>
      </c>
      <c r="K344">
        <v>1</v>
      </c>
      <c r="L344">
        <v>0.011</v>
      </c>
      <c r="M344">
        <v>451.165</v>
      </c>
      <c r="N344">
        <v>0.006</v>
      </c>
      <c r="O344">
        <v>0.004</v>
      </c>
      <c r="P344">
        <v>0</v>
      </c>
      <c r="Q344">
        <v>0.001</v>
      </c>
      <c r="R344">
        <v>0</v>
      </c>
      <c r="S344">
        <v>451.169</v>
      </c>
      <c r="T344">
        <v>447.254</v>
      </c>
      <c r="U344">
        <v>451.165</v>
      </c>
      <c r="V344">
        <v>447.276</v>
      </c>
    </row>
    <row r="345" spans="2:22">
      <c r="B345">
        <v>344</v>
      </c>
      <c r="C345" t="s">
        <v>365</v>
      </c>
      <c r="D345">
        <v>80</v>
      </c>
      <c r="E345">
        <v>7.413</v>
      </c>
      <c r="F345">
        <v>64545.672</v>
      </c>
      <c r="G345">
        <v>64550.848</v>
      </c>
      <c r="H345">
        <v>64556.023</v>
      </c>
      <c r="I345">
        <v>3</v>
      </c>
      <c r="J345">
        <v>1</v>
      </c>
      <c r="K345">
        <v>0</v>
      </c>
      <c r="L345">
        <v>0.033</v>
      </c>
      <c r="M345">
        <v>451.132</v>
      </c>
      <c r="N345">
        <v>0.033</v>
      </c>
      <c r="O345">
        <v>0</v>
      </c>
      <c r="P345">
        <v>0</v>
      </c>
      <c r="Q345">
        <v>0</v>
      </c>
      <c r="R345">
        <v>0</v>
      </c>
      <c r="S345" t="s">
        <v>22</v>
      </c>
      <c r="T345" t="s">
        <v>22</v>
      </c>
      <c r="U345">
        <v>451.132</v>
      </c>
      <c r="V345">
        <v>447.243</v>
      </c>
    </row>
    <row r="346" spans="2:22">
      <c r="B346">
        <v>345</v>
      </c>
      <c r="C346" t="s">
        <v>366</v>
      </c>
      <c r="D346">
        <v>0</v>
      </c>
      <c r="E346">
        <v>0</v>
      </c>
      <c r="F346">
        <v>64729.184</v>
      </c>
      <c r="G346">
        <v>64729.184</v>
      </c>
      <c r="H346">
        <v>64729.184</v>
      </c>
      <c r="I346">
        <v>3</v>
      </c>
      <c r="J346">
        <v>1</v>
      </c>
      <c r="K346">
        <v>2</v>
      </c>
      <c r="L346">
        <v>0.03</v>
      </c>
      <c r="M346">
        <v>451.102</v>
      </c>
      <c r="N346">
        <v>0.032</v>
      </c>
      <c r="O346">
        <v>-0.002</v>
      </c>
      <c r="P346">
        <v>0</v>
      </c>
      <c r="Q346">
        <v>0</v>
      </c>
      <c r="R346">
        <v>0</v>
      </c>
      <c r="S346">
        <v>451.102</v>
      </c>
      <c r="T346">
        <v>447.187</v>
      </c>
      <c r="U346">
        <v>451.1</v>
      </c>
      <c r="V346">
        <v>447.211</v>
      </c>
    </row>
    <row r="347" spans="2:22">
      <c r="B347">
        <v>346</v>
      </c>
      <c r="C347" t="s">
        <v>367</v>
      </c>
      <c r="D347">
        <v>0</v>
      </c>
      <c r="E347">
        <v>0</v>
      </c>
      <c r="F347">
        <v>64833.719</v>
      </c>
      <c r="G347">
        <v>64833.719</v>
      </c>
      <c r="H347">
        <v>64833.719</v>
      </c>
      <c r="I347">
        <v>3</v>
      </c>
      <c r="J347">
        <v>1</v>
      </c>
      <c r="K347">
        <v>1</v>
      </c>
      <c r="L347">
        <v>0.022</v>
      </c>
      <c r="M347">
        <v>451.08</v>
      </c>
      <c r="N347">
        <v>0.016</v>
      </c>
      <c r="O347">
        <v>0.004</v>
      </c>
      <c r="P347">
        <v>0</v>
      </c>
      <c r="Q347">
        <v>0.002</v>
      </c>
      <c r="R347">
        <v>0</v>
      </c>
      <c r="S347">
        <v>451.084</v>
      </c>
      <c r="T347">
        <v>447.169</v>
      </c>
      <c r="U347">
        <v>451.08</v>
      </c>
      <c r="V347">
        <v>447.191</v>
      </c>
    </row>
    <row r="348" spans="2:22">
      <c r="B348">
        <v>347</v>
      </c>
      <c r="C348" t="s">
        <v>368</v>
      </c>
      <c r="D348">
        <v>80</v>
      </c>
      <c r="E348">
        <v>5.526</v>
      </c>
      <c r="F348">
        <v>65097.945</v>
      </c>
      <c r="G348">
        <v>65101.805</v>
      </c>
      <c r="H348">
        <v>65105.664</v>
      </c>
      <c r="I348">
        <v>3</v>
      </c>
      <c r="J348">
        <v>1</v>
      </c>
      <c r="K348">
        <v>0</v>
      </c>
      <c r="L348">
        <v>0.049</v>
      </c>
      <c r="M348">
        <v>451.031</v>
      </c>
      <c r="N348">
        <v>0.049</v>
      </c>
      <c r="O348">
        <v>0</v>
      </c>
      <c r="P348">
        <v>0</v>
      </c>
      <c r="Q348">
        <v>0</v>
      </c>
      <c r="R348">
        <v>0</v>
      </c>
      <c r="S348" t="s">
        <v>22</v>
      </c>
      <c r="T348" t="s">
        <v>22</v>
      </c>
      <c r="U348">
        <v>451.031</v>
      </c>
      <c r="V348">
        <v>447.142</v>
      </c>
    </row>
    <row r="349" spans="2:22">
      <c r="B349">
        <v>348</v>
      </c>
      <c r="C349" t="s">
        <v>369</v>
      </c>
      <c r="D349">
        <v>0</v>
      </c>
      <c r="E349">
        <v>0</v>
      </c>
      <c r="F349">
        <v>65216.27</v>
      </c>
      <c r="G349">
        <v>65216.27</v>
      </c>
      <c r="H349">
        <v>65216.27</v>
      </c>
      <c r="I349">
        <v>3</v>
      </c>
      <c r="J349">
        <v>1</v>
      </c>
      <c r="K349">
        <v>2</v>
      </c>
      <c r="L349">
        <v>0.019</v>
      </c>
      <c r="M349">
        <v>451.012</v>
      </c>
      <c r="N349">
        <v>0.021</v>
      </c>
      <c r="O349">
        <v>-0.002</v>
      </c>
      <c r="P349">
        <v>0</v>
      </c>
      <c r="Q349">
        <v>0</v>
      </c>
      <c r="R349">
        <v>0</v>
      </c>
      <c r="S349">
        <v>451.012</v>
      </c>
      <c r="T349">
        <v>447.097</v>
      </c>
      <c r="U349">
        <v>451.01</v>
      </c>
      <c r="V349">
        <v>447.121</v>
      </c>
    </row>
    <row r="350" spans="2:22">
      <c r="B350">
        <v>349</v>
      </c>
      <c r="C350" t="s">
        <v>370</v>
      </c>
      <c r="D350">
        <v>80</v>
      </c>
      <c r="E350">
        <v>40.035</v>
      </c>
      <c r="F350">
        <v>65300.734</v>
      </c>
      <c r="G350">
        <v>65328.688</v>
      </c>
      <c r="H350">
        <v>65356.637</v>
      </c>
      <c r="I350">
        <v>1</v>
      </c>
      <c r="J350">
        <v>2</v>
      </c>
      <c r="K350">
        <v>0</v>
      </c>
      <c r="L350">
        <v>0.022</v>
      </c>
      <c r="M350">
        <v>450.991</v>
      </c>
      <c r="N350">
        <v>0.018</v>
      </c>
      <c r="O350">
        <v>0</v>
      </c>
      <c r="P350">
        <v>0.002</v>
      </c>
      <c r="Q350">
        <v>0.002</v>
      </c>
      <c r="R350">
        <v>0</v>
      </c>
      <c r="S350" t="s">
        <v>22</v>
      </c>
      <c r="T350" t="s">
        <v>22</v>
      </c>
      <c r="U350">
        <v>450.992</v>
      </c>
      <c r="V350">
        <v>447.077</v>
      </c>
    </row>
    <row r="351" spans="2:22">
      <c r="B351">
        <v>350</v>
      </c>
      <c r="C351" t="s">
        <v>371</v>
      </c>
      <c r="D351">
        <v>80</v>
      </c>
      <c r="E351">
        <v>40.499</v>
      </c>
      <c r="F351">
        <v>65388.871</v>
      </c>
      <c r="G351">
        <v>65417.145</v>
      </c>
      <c r="H351">
        <v>65445.418</v>
      </c>
      <c r="I351">
        <v>1</v>
      </c>
      <c r="J351">
        <v>2</v>
      </c>
      <c r="K351">
        <v>0</v>
      </c>
      <c r="L351">
        <v>0.018</v>
      </c>
      <c r="M351">
        <v>450.972</v>
      </c>
      <c r="N351">
        <v>0.015</v>
      </c>
      <c r="O351">
        <v>0</v>
      </c>
      <c r="P351">
        <v>0.002</v>
      </c>
      <c r="Q351">
        <v>0.002</v>
      </c>
      <c r="R351">
        <v>0</v>
      </c>
      <c r="S351" t="s">
        <v>22</v>
      </c>
      <c r="T351" t="s">
        <v>22</v>
      </c>
      <c r="U351">
        <v>450.973</v>
      </c>
      <c r="V351">
        <v>447.058</v>
      </c>
    </row>
    <row r="352" spans="2:22">
      <c r="B352">
        <v>351</v>
      </c>
      <c r="C352" t="s">
        <v>372</v>
      </c>
      <c r="D352">
        <v>80</v>
      </c>
      <c r="E352">
        <v>7.989</v>
      </c>
      <c r="F352">
        <v>65495.922</v>
      </c>
      <c r="G352">
        <v>65501.5</v>
      </c>
      <c r="H352">
        <v>65507.078</v>
      </c>
      <c r="I352">
        <v>1</v>
      </c>
      <c r="J352">
        <v>2</v>
      </c>
      <c r="K352">
        <v>0</v>
      </c>
      <c r="L352">
        <v>0.016</v>
      </c>
      <c r="M352">
        <v>450.956</v>
      </c>
      <c r="N352">
        <v>0.014</v>
      </c>
      <c r="O352">
        <v>0</v>
      </c>
      <c r="P352">
        <v>0</v>
      </c>
      <c r="Q352">
        <v>0.002</v>
      </c>
      <c r="R352">
        <v>0</v>
      </c>
      <c r="S352" t="s">
        <v>22</v>
      </c>
      <c r="T352" t="s">
        <v>22</v>
      </c>
      <c r="U352">
        <v>450.956</v>
      </c>
      <c r="V352">
        <v>447.041</v>
      </c>
    </row>
    <row r="353" spans="2:22">
      <c r="B353">
        <v>352</v>
      </c>
      <c r="C353" t="s">
        <v>373</v>
      </c>
      <c r="D353">
        <v>80</v>
      </c>
      <c r="E353">
        <v>28.802</v>
      </c>
      <c r="F353">
        <v>65573.898</v>
      </c>
      <c r="G353">
        <v>65594.008</v>
      </c>
      <c r="H353">
        <v>65614.109</v>
      </c>
      <c r="I353">
        <v>1</v>
      </c>
      <c r="J353">
        <v>2</v>
      </c>
      <c r="K353">
        <v>0</v>
      </c>
      <c r="L353">
        <v>0.019</v>
      </c>
      <c r="M353">
        <v>450.938</v>
      </c>
      <c r="N353">
        <v>0.015</v>
      </c>
      <c r="O353">
        <v>0</v>
      </c>
      <c r="P353">
        <v>0.001</v>
      </c>
      <c r="Q353">
        <v>0.002</v>
      </c>
      <c r="R353">
        <v>0</v>
      </c>
      <c r="S353" t="s">
        <v>22</v>
      </c>
      <c r="T353" t="s">
        <v>22</v>
      </c>
      <c r="U353">
        <v>450.938</v>
      </c>
      <c r="V353">
        <v>447.023</v>
      </c>
    </row>
    <row r="354" spans="2:22">
      <c r="B354">
        <v>353</v>
      </c>
      <c r="C354" t="s">
        <v>374</v>
      </c>
      <c r="D354">
        <v>80</v>
      </c>
      <c r="E354">
        <v>33.997</v>
      </c>
      <c r="F354">
        <v>65614.367</v>
      </c>
      <c r="G354">
        <v>65638.102</v>
      </c>
      <c r="H354">
        <v>65661.836</v>
      </c>
      <c r="I354">
        <v>1</v>
      </c>
      <c r="J354">
        <v>2</v>
      </c>
      <c r="K354">
        <v>0</v>
      </c>
      <c r="L354">
        <v>0.01</v>
      </c>
      <c r="M354">
        <v>450.928</v>
      </c>
      <c r="N354">
        <v>0.007</v>
      </c>
      <c r="O354">
        <v>0</v>
      </c>
      <c r="P354">
        <v>0.001</v>
      </c>
      <c r="Q354">
        <v>0.001</v>
      </c>
      <c r="R354">
        <v>0</v>
      </c>
      <c r="S354" t="s">
        <v>22</v>
      </c>
      <c r="T354" t="s">
        <v>22</v>
      </c>
      <c r="U354">
        <v>450.929</v>
      </c>
      <c r="V354">
        <v>447.014</v>
      </c>
    </row>
    <row r="355" spans="2:22">
      <c r="B355">
        <v>354</v>
      </c>
      <c r="C355" t="s">
        <v>375</v>
      </c>
      <c r="D355">
        <v>0</v>
      </c>
      <c r="E355">
        <v>0</v>
      </c>
      <c r="F355">
        <v>65676.836</v>
      </c>
      <c r="G355">
        <v>65676.836</v>
      </c>
      <c r="H355">
        <v>65676.836</v>
      </c>
      <c r="I355">
        <v>3</v>
      </c>
      <c r="J355">
        <v>1</v>
      </c>
      <c r="K355">
        <v>1</v>
      </c>
      <c r="L355">
        <v>0.011</v>
      </c>
      <c r="M355">
        <v>450.917</v>
      </c>
      <c r="N355">
        <v>0.006</v>
      </c>
      <c r="O355">
        <v>0.004</v>
      </c>
      <c r="P355">
        <v>0</v>
      </c>
      <c r="Q355">
        <v>0.001</v>
      </c>
      <c r="R355">
        <v>0</v>
      </c>
      <c r="S355">
        <v>450.922</v>
      </c>
      <c r="T355">
        <v>447.007</v>
      </c>
      <c r="U355">
        <v>450.917</v>
      </c>
      <c r="V355">
        <v>447.028</v>
      </c>
    </row>
    <row r="356" spans="2:22">
      <c r="B356">
        <v>355</v>
      </c>
      <c r="C356" t="s">
        <v>376</v>
      </c>
      <c r="D356">
        <v>0</v>
      </c>
      <c r="E356">
        <v>0</v>
      </c>
      <c r="F356">
        <v>66356.172</v>
      </c>
      <c r="G356">
        <v>66356.172</v>
      </c>
      <c r="H356">
        <v>66356.172</v>
      </c>
      <c r="I356">
        <v>3</v>
      </c>
      <c r="J356">
        <v>1</v>
      </c>
      <c r="K356">
        <v>2</v>
      </c>
      <c r="L356">
        <v>0.121</v>
      </c>
      <c r="M356">
        <v>450.796</v>
      </c>
      <c r="N356">
        <v>0.124</v>
      </c>
      <c r="O356">
        <v>-0.002</v>
      </c>
      <c r="P356">
        <v>0</v>
      </c>
      <c r="Q356">
        <v>0</v>
      </c>
      <c r="R356">
        <v>0</v>
      </c>
      <c r="S356">
        <v>450.796</v>
      </c>
      <c r="T356">
        <v>446.881</v>
      </c>
      <c r="U356">
        <v>450.794</v>
      </c>
      <c r="V356">
        <v>446.905</v>
      </c>
    </row>
    <row r="357" spans="2:22">
      <c r="B357">
        <v>356</v>
      </c>
      <c r="C357" t="s">
        <v>377</v>
      </c>
      <c r="D357">
        <v>80</v>
      </c>
      <c r="E357">
        <v>42.144</v>
      </c>
      <c r="F357">
        <v>66404.242</v>
      </c>
      <c r="G357">
        <v>66433.664</v>
      </c>
      <c r="H357">
        <v>66463.086</v>
      </c>
      <c r="I357">
        <v>1</v>
      </c>
      <c r="J357">
        <v>2</v>
      </c>
      <c r="K357">
        <v>0</v>
      </c>
      <c r="L357">
        <v>0.015</v>
      </c>
      <c r="M357">
        <v>450.781</v>
      </c>
      <c r="N357">
        <v>0.012</v>
      </c>
      <c r="O357">
        <v>0</v>
      </c>
      <c r="P357">
        <v>0.002</v>
      </c>
      <c r="Q357">
        <v>0.001</v>
      </c>
      <c r="R357">
        <v>0</v>
      </c>
      <c r="S357" t="s">
        <v>22</v>
      </c>
      <c r="T357" t="s">
        <v>22</v>
      </c>
      <c r="U357">
        <v>450.782</v>
      </c>
      <c r="V357">
        <v>446.867</v>
      </c>
    </row>
    <row r="358" spans="2:22">
      <c r="B358">
        <v>357</v>
      </c>
      <c r="C358" t="s">
        <v>378</v>
      </c>
      <c r="D358">
        <v>80</v>
      </c>
      <c r="E358">
        <v>32.791</v>
      </c>
      <c r="F358">
        <v>66531.156</v>
      </c>
      <c r="G358">
        <v>66554.055</v>
      </c>
      <c r="H358">
        <v>66576.945</v>
      </c>
      <c r="I358">
        <v>1</v>
      </c>
      <c r="J358">
        <v>2</v>
      </c>
      <c r="K358">
        <v>0</v>
      </c>
      <c r="L358">
        <v>0.024</v>
      </c>
      <c r="M358">
        <v>450.757</v>
      </c>
      <c r="N358">
        <v>0.02</v>
      </c>
      <c r="O358">
        <v>0</v>
      </c>
      <c r="P358">
        <v>0.001</v>
      </c>
      <c r="Q358">
        <v>0.002</v>
      </c>
      <c r="R358">
        <v>0</v>
      </c>
      <c r="S358" t="s">
        <v>22</v>
      </c>
      <c r="T358" t="s">
        <v>22</v>
      </c>
      <c r="U358">
        <v>450.758</v>
      </c>
      <c r="V358">
        <v>446.842</v>
      </c>
    </row>
    <row r="359" spans="2:22">
      <c r="B359">
        <v>358</v>
      </c>
      <c r="C359" t="s">
        <v>379</v>
      </c>
      <c r="D359">
        <v>80</v>
      </c>
      <c r="E359">
        <v>16.053</v>
      </c>
      <c r="F359">
        <v>66679.414</v>
      </c>
      <c r="G359">
        <v>66690.617</v>
      </c>
      <c r="H359">
        <v>66701.828</v>
      </c>
      <c r="I359">
        <v>1</v>
      </c>
      <c r="J359">
        <v>2</v>
      </c>
      <c r="K359">
        <v>0</v>
      </c>
      <c r="L359">
        <v>0.026</v>
      </c>
      <c r="M359">
        <v>450.731</v>
      </c>
      <c r="N359">
        <v>0.023</v>
      </c>
      <c r="O359">
        <v>0</v>
      </c>
      <c r="P359">
        <v>0.001</v>
      </c>
      <c r="Q359">
        <v>0.003</v>
      </c>
      <c r="R359">
        <v>0</v>
      </c>
      <c r="S359" t="s">
        <v>22</v>
      </c>
      <c r="T359" t="s">
        <v>22</v>
      </c>
      <c r="U359">
        <v>450.731</v>
      </c>
      <c r="V359">
        <v>446.816</v>
      </c>
    </row>
    <row r="360" spans="2:22">
      <c r="B360">
        <v>359</v>
      </c>
      <c r="C360" t="s">
        <v>380</v>
      </c>
      <c r="D360">
        <v>0</v>
      </c>
      <c r="E360">
        <v>0</v>
      </c>
      <c r="F360">
        <v>66772.969</v>
      </c>
      <c r="G360">
        <v>66772.969</v>
      </c>
      <c r="H360">
        <v>66772.969</v>
      </c>
      <c r="I360">
        <v>3</v>
      </c>
      <c r="J360">
        <v>1</v>
      </c>
      <c r="K360">
        <v>1</v>
      </c>
      <c r="L360">
        <v>0.019</v>
      </c>
      <c r="M360">
        <v>450.712</v>
      </c>
      <c r="N360">
        <v>0.013</v>
      </c>
      <c r="O360">
        <v>0.004</v>
      </c>
      <c r="P360">
        <v>0</v>
      </c>
      <c r="Q360">
        <v>0.002</v>
      </c>
      <c r="R360">
        <v>0</v>
      </c>
      <c r="S360">
        <v>450.716</v>
      </c>
      <c r="T360">
        <v>446.801</v>
      </c>
      <c r="U360">
        <v>450.712</v>
      </c>
      <c r="V360">
        <v>446.823</v>
      </c>
    </row>
    <row r="361" spans="2:22">
      <c r="B361">
        <v>360</v>
      </c>
      <c r="C361" t="s">
        <v>381</v>
      </c>
      <c r="D361">
        <v>0</v>
      </c>
      <c r="E361">
        <v>0</v>
      </c>
      <c r="F361">
        <v>67240.516</v>
      </c>
      <c r="G361">
        <v>67240.516</v>
      </c>
      <c r="H361">
        <v>67240.516</v>
      </c>
      <c r="I361">
        <v>3</v>
      </c>
      <c r="J361">
        <v>1</v>
      </c>
      <c r="K361">
        <v>2</v>
      </c>
      <c r="L361">
        <v>0.083</v>
      </c>
      <c r="M361">
        <v>450.629</v>
      </c>
      <c r="N361">
        <v>0.085</v>
      </c>
      <c r="O361">
        <v>-0.002</v>
      </c>
      <c r="P361">
        <v>0</v>
      </c>
      <c r="Q361">
        <v>0</v>
      </c>
      <c r="R361">
        <v>0</v>
      </c>
      <c r="S361">
        <v>450.629</v>
      </c>
      <c r="T361">
        <v>446.714</v>
      </c>
      <c r="U361">
        <v>450.627</v>
      </c>
      <c r="V361">
        <v>446.738</v>
      </c>
    </row>
    <row r="362" spans="2:22">
      <c r="B362">
        <v>361</v>
      </c>
      <c r="C362" t="s">
        <v>382</v>
      </c>
      <c r="D362">
        <v>80</v>
      </c>
      <c r="E362">
        <v>15.575</v>
      </c>
      <c r="F362">
        <v>67271.328</v>
      </c>
      <c r="G362">
        <v>67282.203</v>
      </c>
      <c r="H362">
        <v>67293.07</v>
      </c>
      <c r="I362">
        <v>1</v>
      </c>
      <c r="J362">
        <v>2</v>
      </c>
      <c r="K362">
        <v>0</v>
      </c>
      <c r="L362">
        <v>0.008</v>
      </c>
      <c r="M362">
        <v>450.622</v>
      </c>
      <c r="N362">
        <v>0.006</v>
      </c>
      <c r="O362">
        <v>0</v>
      </c>
      <c r="P362">
        <v>0.001</v>
      </c>
      <c r="Q362">
        <v>0.001</v>
      </c>
      <c r="R362">
        <v>0</v>
      </c>
      <c r="S362" t="s">
        <v>22</v>
      </c>
      <c r="T362" t="s">
        <v>22</v>
      </c>
      <c r="U362">
        <v>450.622</v>
      </c>
      <c r="V362">
        <v>446.707</v>
      </c>
    </row>
    <row r="363" spans="2:22">
      <c r="B363">
        <v>362</v>
      </c>
      <c r="C363" t="s">
        <v>383</v>
      </c>
      <c r="D363">
        <v>80</v>
      </c>
      <c r="E363">
        <v>12.083</v>
      </c>
      <c r="F363">
        <v>67374.461</v>
      </c>
      <c r="G363">
        <v>67382.891</v>
      </c>
      <c r="H363">
        <v>67391.328</v>
      </c>
      <c r="I363">
        <v>1</v>
      </c>
      <c r="J363">
        <v>2</v>
      </c>
      <c r="K363">
        <v>0</v>
      </c>
      <c r="L363">
        <v>0.019</v>
      </c>
      <c r="M363">
        <v>450.602</v>
      </c>
      <c r="N363">
        <v>0.017</v>
      </c>
      <c r="O363">
        <v>0</v>
      </c>
      <c r="P363">
        <v>0.001</v>
      </c>
      <c r="Q363">
        <v>0.002</v>
      </c>
      <c r="R363">
        <v>0</v>
      </c>
      <c r="S363" t="s">
        <v>22</v>
      </c>
      <c r="T363" t="s">
        <v>22</v>
      </c>
      <c r="U363">
        <v>450.602</v>
      </c>
      <c r="V363">
        <v>446.687</v>
      </c>
    </row>
    <row r="364" spans="2:22">
      <c r="B364">
        <v>363</v>
      </c>
      <c r="C364" t="s">
        <v>384</v>
      </c>
      <c r="D364">
        <v>80</v>
      </c>
      <c r="E364">
        <v>31.645</v>
      </c>
      <c r="F364">
        <v>67483.406</v>
      </c>
      <c r="G364">
        <v>67505.5</v>
      </c>
      <c r="H364">
        <v>67527.594</v>
      </c>
      <c r="I364">
        <v>1</v>
      </c>
      <c r="J364">
        <v>2</v>
      </c>
      <c r="K364">
        <v>0</v>
      </c>
      <c r="L364">
        <v>0.024</v>
      </c>
      <c r="M364">
        <v>450.578</v>
      </c>
      <c r="N364">
        <v>0.02</v>
      </c>
      <c r="O364">
        <v>0</v>
      </c>
      <c r="P364">
        <v>0.001</v>
      </c>
      <c r="Q364">
        <v>0.002</v>
      </c>
      <c r="R364">
        <v>0</v>
      </c>
      <c r="S364" t="s">
        <v>22</v>
      </c>
      <c r="T364" t="s">
        <v>22</v>
      </c>
      <c r="U364">
        <v>450.579</v>
      </c>
      <c r="V364">
        <v>446.664</v>
      </c>
    </row>
    <row r="365" spans="2:22">
      <c r="B365">
        <v>364</v>
      </c>
      <c r="C365" t="s">
        <v>385</v>
      </c>
      <c r="D365">
        <v>80</v>
      </c>
      <c r="E365">
        <v>28.954</v>
      </c>
      <c r="F365">
        <v>67587.75</v>
      </c>
      <c r="G365">
        <v>67607.961</v>
      </c>
      <c r="H365">
        <v>67628.172</v>
      </c>
      <c r="I365">
        <v>1</v>
      </c>
      <c r="J365">
        <v>2</v>
      </c>
      <c r="K365">
        <v>0</v>
      </c>
      <c r="L365">
        <v>0.02</v>
      </c>
      <c r="M365">
        <v>450.557</v>
      </c>
      <c r="N365">
        <v>0.017</v>
      </c>
      <c r="O365">
        <v>0</v>
      </c>
      <c r="P365">
        <v>0.001</v>
      </c>
      <c r="Q365">
        <v>0.002</v>
      </c>
      <c r="R365">
        <v>0</v>
      </c>
      <c r="S365" t="s">
        <v>22</v>
      </c>
      <c r="T365" t="s">
        <v>22</v>
      </c>
      <c r="U365">
        <v>450.558</v>
      </c>
      <c r="V365">
        <v>446.643</v>
      </c>
    </row>
    <row r="366" spans="2:22">
      <c r="B366">
        <v>365</v>
      </c>
      <c r="C366" t="s">
        <v>386</v>
      </c>
      <c r="D366">
        <v>60</v>
      </c>
      <c r="E366">
        <v>35.932</v>
      </c>
      <c r="F366">
        <v>67699.164</v>
      </c>
      <c r="G366">
        <v>67717.977</v>
      </c>
      <c r="H366">
        <v>67736.797</v>
      </c>
      <c r="I366">
        <v>1</v>
      </c>
      <c r="J366">
        <v>2</v>
      </c>
      <c r="K366">
        <v>0</v>
      </c>
      <c r="L366">
        <v>0.022</v>
      </c>
      <c r="M366">
        <v>450.536</v>
      </c>
      <c r="N366">
        <v>0.018</v>
      </c>
      <c r="O366">
        <v>0</v>
      </c>
      <c r="P366">
        <v>0.001</v>
      </c>
      <c r="Q366">
        <v>0.002</v>
      </c>
      <c r="R366">
        <v>0</v>
      </c>
      <c r="S366" t="s">
        <v>22</v>
      </c>
      <c r="T366" t="s">
        <v>22</v>
      </c>
      <c r="U366">
        <v>450.536</v>
      </c>
      <c r="V366">
        <v>446.621</v>
      </c>
    </row>
    <row r="367" spans="2:22">
      <c r="B367">
        <v>366</v>
      </c>
      <c r="C367" t="s">
        <v>387</v>
      </c>
      <c r="D367">
        <v>40</v>
      </c>
      <c r="E367">
        <v>77.646</v>
      </c>
      <c r="F367">
        <v>67745.469</v>
      </c>
      <c r="G367">
        <v>67772.57</v>
      </c>
      <c r="H367">
        <v>67799.672</v>
      </c>
      <c r="I367">
        <v>1</v>
      </c>
      <c r="J367">
        <v>2</v>
      </c>
      <c r="K367">
        <v>0</v>
      </c>
      <c r="L367">
        <v>0.013</v>
      </c>
      <c r="M367">
        <v>450.523</v>
      </c>
      <c r="N367">
        <v>0.009</v>
      </c>
      <c r="O367">
        <v>0</v>
      </c>
      <c r="P367">
        <v>0.002</v>
      </c>
      <c r="Q367">
        <v>0.001</v>
      </c>
      <c r="R367">
        <v>0</v>
      </c>
      <c r="S367" t="s">
        <v>22</v>
      </c>
      <c r="T367" t="s">
        <v>22</v>
      </c>
      <c r="U367">
        <v>450.524</v>
      </c>
      <c r="V367">
        <v>446.609</v>
      </c>
    </row>
    <row r="368" spans="2:22">
      <c r="B368">
        <v>367</v>
      </c>
      <c r="C368" t="s">
        <v>388</v>
      </c>
      <c r="D368">
        <v>80</v>
      </c>
      <c r="E368">
        <v>27.463</v>
      </c>
      <c r="F368">
        <v>67870.203</v>
      </c>
      <c r="G368">
        <v>67889.375</v>
      </c>
      <c r="H368">
        <v>67908.555</v>
      </c>
      <c r="I368">
        <v>1</v>
      </c>
      <c r="J368">
        <v>2</v>
      </c>
      <c r="K368">
        <v>0</v>
      </c>
      <c r="L368">
        <v>0.023</v>
      </c>
      <c r="M368">
        <v>450.5</v>
      </c>
      <c r="N368">
        <v>0.019</v>
      </c>
      <c r="O368">
        <v>0</v>
      </c>
      <c r="P368">
        <v>0.001</v>
      </c>
      <c r="Q368">
        <v>0.002</v>
      </c>
      <c r="R368">
        <v>0</v>
      </c>
      <c r="S368" t="s">
        <v>22</v>
      </c>
      <c r="T368" t="s">
        <v>22</v>
      </c>
      <c r="U368">
        <v>450.501</v>
      </c>
      <c r="V368">
        <v>446.586</v>
      </c>
    </row>
    <row r="369" spans="2:22">
      <c r="B369">
        <v>368</v>
      </c>
      <c r="C369" t="s">
        <v>389</v>
      </c>
      <c r="D369">
        <v>80</v>
      </c>
      <c r="E369">
        <v>12.415</v>
      </c>
      <c r="F369">
        <v>68003.109</v>
      </c>
      <c r="G369">
        <v>68011.781</v>
      </c>
      <c r="H369">
        <v>68020.445</v>
      </c>
      <c r="I369">
        <v>1</v>
      </c>
      <c r="J369">
        <v>2</v>
      </c>
      <c r="K369">
        <v>0</v>
      </c>
      <c r="L369">
        <v>0.023</v>
      </c>
      <c r="M369">
        <v>450.477</v>
      </c>
      <c r="N369">
        <v>0.02</v>
      </c>
      <c r="O369">
        <v>0</v>
      </c>
      <c r="P369">
        <v>0.001</v>
      </c>
      <c r="Q369">
        <v>0.002</v>
      </c>
      <c r="R369">
        <v>0</v>
      </c>
      <c r="S369" t="s">
        <v>22</v>
      </c>
      <c r="T369" t="s">
        <v>22</v>
      </c>
      <c r="U369">
        <v>450.477</v>
      </c>
      <c r="V369">
        <v>446.562</v>
      </c>
    </row>
    <row r="370" spans="2:22">
      <c r="B370">
        <v>369</v>
      </c>
      <c r="C370" t="s">
        <v>390</v>
      </c>
      <c r="D370">
        <v>0</v>
      </c>
      <c r="E370">
        <v>0</v>
      </c>
      <c r="F370">
        <v>68106.641</v>
      </c>
      <c r="G370">
        <v>68106.641</v>
      </c>
      <c r="H370">
        <v>68106.641</v>
      </c>
      <c r="I370">
        <v>3</v>
      </c>
      <c r="J370">
        <v>1</v>
      </c>
      <c r="K370">
        <v>1</v>
      </c>
      <c r="L370">
        <v>0.021</v>
      </c>
      <c r="M370">
        <v>450.456</v>
      </c>
      <c r="N370">
        <v>0.015</v>
      </c>
      <c r="O370">
        <v>0.004</v>
      </c>
      <c r="P370">
        <v>0</v>
      </c>
      <c r="Q370">
        <v>0.002</v>
      </c>
      <c r="R370">
        <v>0</v>
      </c>
      <c r="S370">
        <v>450.46</v>
      </c>
      <c r="T370">
        <v>446.545</v>
      </c>
      <c r="U370">
        <v>450.456</v>
      </c>
      <c r="V370">
        <v>446.567</v>
      </c>
    </row>
    <row r="371" spans="2:22">
      <c r="B371">
        <v>370</v>
      </c>
      <c r="C371" t="s">
        <v>391</v>
      </c>
      <c r="D371">
        <v>80</v>
      </c>
      <c r="E371">
        <v>23.222</v>
      </c>
      <c r="F371">
        <v>68992.914</v>
      </c>
      <c r="G371">
        <v>69009.125</v>
      </c>
      <c r="H371">
        <v>69025.336</v>
      </c>
      <c r="I371">
        <v>3</v>
      </c>
      <c r="J371">
        <v>1</v>
      </c>
      <c r="K371">
        <v>0</v>
      </c>
      <c r="L371">
        <v>0.165</v>
      </c>
      <c r="M371">
        <v>450.29</v>
      </c>
      <c r="N371">
        <v>0.164</v>
      </c>
      <c r="O371">
        <v>0</v>
      </c>
      <c r="P371">
        <v>0.001</v>
      </c>
      <c r="Q371">
        <v>0</v>
      </c>
      <c r="R371">
        <v>0</v>
      </c>
      <c r="S371" t="s">
        <v>22</v>
      </c>
      <c r="T371" t="s">
        <v>22</v>
      </c>
      <c r="U371">
        <v>450.291</v>
      </c>
      <c r="V371">
        <v>446.402</v>
      </c>
    </row>
    <row r="372" spans="2:22">
      <c r="B372">
        <v>371</v>
      </c>
      <c r="C372" t="s">
        <v>392</v>
      </c>
      <c r="D372">
        <v>0</v>
      </c>
      <c r="E372">
        <v>0</v>
      </c>
      <c r="F372">
        <v>69228.047</v>
      </c>
      <c r="G372">
        <v>69228.047</v>
      </c>
      <c r="H372">
        <v>69228.047</v>
      </c>
      <c r="I372">
        <v>3</v>
      </c>
      <c r="J372">
        <v>1</v>
      </c>
      <c r="K372">
        <v>2</v>
      </c>
      <c r="L372">
        <v>0.038</v>
      </c>
      <c r="M372">
        <v>450.253</v>
      </c>
      <c r="N372">
        <v>0.04</v>
      </c>
      <c r="O372">
        <v>-0.002</v>
      </c>
      <c r="P372">
        <v>0</v>
      </c>
      <c r="Q372">
        <v>0</v>
      </c>
      <c r="R372">
        <v>0</v>
      </c>
      <c r="S372">
        <v>450.253</v>
      </c>
      <c r="T372">
        <v>446.338</v>
      </c>
      <c r="U372">
        <v>450.251</v>
      </c>
      <c r="V372">
        <v>446.362</v>
      </c>
    </row>
    <row r="373" spans="2:22">
      <c r="B373">
        <v>372</v>
      </c>
      <c r="C373" t="s">
        <v>393</v>
      </c>
      <c r="D373">
        <v>80</v>
      </c>
      <c r="E373">
        <v>31.051</v>
      </c>
      <c r="F373">
        <v>69253.688</v>
      </c>
      <c r="G373">
        <v>69275.359</v>
      </c>
      <c r="H373">
        <v>69297.039</v>
      </c>
      <c r="I373">
        <v>1</v>
      </c>
      <c r="J373">
        <v>2</v>
      </c>
      <c r="K373">
        <v>0</v>
      </c>
      <c r="L373">
        <v>0.009</v>
      </c>
      <c r="M373">
        <v>450.243</v>
      </c>
      <c r="N373">
        <v>0.007</v>
      </c>
      <c r="O373">
        <v>0</v>
      </c>
      <c r="P373">
        <v>0.001</v>
      </c>
      <c r="Q373">
        <v>0.001</v>
      </c>
      <c r="R373">
        <v>0</v>
      </c>
      <c r="S373" t="s">
        <v>22</v>
      </c>
      <c r="T373" t="s">
        <v>22</v>
      </c>
      <c r="U373">
        <v>450.244</v>
      </c>
      <c r="V373">
        <v>446.329</v>
      </c>
    </row>
    <row r="374" spans="2:22">
      <c r="B374">
        <v>373</v>
      </c>
      <c r="C374" t="s">
        <v>394</v>
      </c>
      <c r="D374">
        <v>0</v>
      </c>
      <c r="E374">
        <v>0</v>
      </c>
      <c r="F374">
        <v>69308.273</v>
      </c>
      <c r="G374">
        <v>69308.273</v>
      </c>
      <c r="H374">
        <v>69308.273</v>
      </c>
      <c r="I374">
        <v>2</v>
      </c>
      <c r="J374">
        <v>1</v>
      </c>
      <c r="K374">
        <v>1</v>
      </c>
      <c r="L374">
        <v>0.049</v>
      </c>
      <c r="M374">
        <v>450.194</v>
      </c>
      <c r="N374">
        <v>0.005</v>
      </c>
      <c r="O374">
        <v>0.044</v>
      </c>
      <c r="P374">
        <v>0</v>
      </c>
      <c r="Q374">
        <v>0.001</v>
      </c>
      <c r="R374">
        <v>0</v>
      </c>
      <c r="S374">
        <v>450.238</v>
      </c>
      <c r="T374">
        <v>446.323</v>
      </c>
      <c r="U374">
        <v>450.194</v>
      </c>
      <c r="V374">
        <v>446.647</v>
      </c>
    </row>
    <row r="375" spans="2:22">
      <c r="B375">
        <v>374</v>
      </c>
      <c r="C375" t="s">
        <v>395</v>
      </c>
      <c r="D375">
        <v>0</v>
      </c>
      <c r="E375">
        <v>0</v>
      </c>
      <c r="F375">
        <v>69429.062</v>
      </c>
      <c r="G375">
        <v>69429.062</v>
      </c>
      <c r="H375">
        <v>69429.062</v>
      </c>
      <c r="I375">
        <v>2</v>
      </c>
      <c r="J375">
        <v>1</v>
      </c>
      <c r="K375">
        <v>2</v>
      </c>
      <c r="L375">
        <v>0.011</v>
      </c>
      <c r="M375">
        <v>450.183</v>
      </c>
      <c r="N375">
        <v>0.035</v>
      </c>
      <c r="O375">
        <v>-0.023</v>
      </c>
      <c r="P375">
        <v>0</v>
      </c>
      <c r="Q375">
        <v>0</v>
      </c>
      <c r="R375">
        <v>0</v>
      </c>
      <c r="S375">
        <v>450.183</v>
      </c>
      <c r="T375">
        <v>446.268</v>
      </c>
      <c r="U375">
        <v>450.16</v>
      </c>
      <c r="V375">
        <v>446.613</v>
      </c>
    </row>
    <row r="376" spans="2:22">
      <c r="B376">
        <v>375</v>
      </c>
      <c r="C376" t="s">
        <v>396</v>
      </c>
      <c r="D376">
        <v>60</v>
      </c>
      <c r="E376">
        <v>16.838</v>
      </c>
      <c r="F376">
        <v>69461.406</v>
      </c>
      <c r="G376">
        <v>69470.227</v>
      </c>
      <c r="H376">
        <v>69479.039</v>
      </c>
      <c r="I376">
        <v>1</v>
      </c>
      <c r="J376">
        <v>2</v>
      </c>
      <c r="K376">
        <v>0</v>
      </c>
      <c r="L376">
        <v>0.007</v>
      </c>
      <c r="M376">
        <v>450.175</v>
      </c>
      <c r="N376">
        <v>0.006</v>
      </c>
      <c r="O376">
        <v>0</v>
      </c>
      <c r="P376">
        <v>0.001</v>
      </c>
      <c r="Q376">
        <v>0.001</v>
      </c>
      <c r="R376">
        <v>0</v>
      </c>
      <c r="S376" t="s">
        <v>22</v>
      </c>
      <c r="T376" t="s">
        <v>22</v>
      </c>
      <c r="U376">
        <v>450.176</v>
      </c>
      <c r="V376">
        <v>446.261</v>
      </c>
    </row>
    <row r="377" spans="2:22">
      <c r="B377">
        <v>376</v>
      </c>
      <c r="C377" t="s">
        <v>397</v>
      </c>
      <c r="D377">
        <v>60</v>
      </c>
      <c r="E377">
        <v>19.713</v>
      </c>
      <c r="F377">
        <v>69562.18</v>
      </c>
      <c r="G377">
        <v>69572.508</v>
      </c>
      <c r="H377">
        <v>69582.828</v>
      </c>
      <c r="I377">
        <v>1</v>
      </c>
      <c r="J377">
        <v>2</v>
      </c>
      <c r="K377">
        <v>0</v>
      </c>
      <c r="L377">
        <v>0.02</v>
      </c>
      <c r="M377">
        <v>450.155</v>
      </c>
      <c r="N377">
        <v>0.017</v>
      </c>
      <c r="O377">
        <v>0</v>
      </c>
      <c r="P377">
        <v>0.001</v>
      </c>
      <c r="Q377">
        <v>0.002</v>
      </c>
      <c r="R377">
        <v>0</v>
      </c>
      <c r="S377" t="s">
        <v>22</v>
      </c>
      <c r="T377" t="s">
        <v>22</v>
      </c>
      <c r="U377">
        <v>450.156</v>
      </c>
      <c r="V377">
        <v>446.241</v>
      </c>
    </row>
    <row r="378" spans="2:22">
      <c r="B378">
        <v>377</v>
      </c>
      <c r="C378" t="s">
        <v>398</v>
      </c>
      <c r="D378">
        <v>60</v>
      </c>
      <c r="E378">
        <v>43.429</v>
      </c>
      <c r="F378">
        <v>69587.875</v>
      </c>
      <c r="G378">
        <v>69610.617</v>
      </c>
      <c r="H378">
        <v>69633.352</v>
      </c>
      <c r="I378">
        <v>1</v>
      </c>
      <c r="J378">
        <v>2</v>
      </c>
      <c r="K378">
        <v>0</v>
      </c>
      <c r="L378">
        <v>0.009</v>
      </c>
      <c r="M378">
        <v>450.147</v>
      </c>
      <c r="N378">
        <v>0.006</v>
      </c>
      <c r="O378">
        <v>0</v>
      </c>
      <c r="P378">
        <v>0.002</v>
      </c>
      <c r="Q378">
        <v>0.001</v>
      </c>
      <c r="R378">
        <v>0</v>
      </c>
      <c r="S378" t="s">
        <v>22</v>
      </c>
      <c r="T378" t="s">
        <v>22</v>
      </c>
      <c r="U378">
        <v>450.147</v>
      </c>
      <c r="V378">
        <v>446.232</v>
      </c>
    </row>
    <row r="379" spans="2:22">
      <c r="B379">
        <v>378</v>
      </c>
      <c r="C379" t="s">
        <v>399</v>
      </c>
      <c r="D379">
        <v>60</v>
      </c>
      <c r="E379">
        <v>23.074</v>
      </c>
      <c r="F379">
        <v>69652.852</v>
      </c>
      <c r="G379">
        <v>69664.93</v>
      </c>
      <c r="H379">
        <v>69677.016</v>
      </c>
      <c r="I379">
        <v>1</v>
      </c>
      <c r="J379">
        <v>2</v>
      </c>
      <c r="K379">
        <v>0</v>
      </c>
      <c r="L379">
        <v>0.011</v>
      </c>
      <c r="M379">
        <v>450.136</v>
      </c>
      <c r="N379">
        <v>0.009</v>
      </c>
      <c r="O379">
        <v>0</v>
      </c>
      <c r="P379">
        <v>0.001</v>
      </c>
      <c r="Q379">
        <v>0.001</v>
      </c>
      <c r="R379">
        <v>0</v>
      </c>
      <c r="S379" t="s">
        <v>22</v>
      </c>
      <c r="T379" t="s">
        <v>22</v>
      </c>
      <c r="U379">
        <v>450.136</v>
      </c>
      <c r="V379">
        <v>446.221</v>
      </c>
    </row>
    <row r="380" spans="2:22">
      <c r="B380">
        <v>379</v>
      </c>
      <c r="C380" t="s">
        <v>400</v>
      </c>
      <c r="D380">
        <v>0</v>
      </c>
      <c r="E380">
        <v>0</v>
      </c>
      <c r="F380">
        <v>69806.039</v>
      </c>
      <c r="G380">
        <v>69806.039</v>
      </c>
      <c r="H380">
        <v>69806.039</v>
      </c>
      <c r="I380">
        <v>3</v>
      </c>
      <c r="J380">
        <v>1</v>
      </c>
      <c r="K380">
        <v>1</v>
      </c>
      <c r="L380">
        <v>0.03</v>
      </c>
      <c r="M380">
        <v>450.106</v>
      </c>
      <c r="N380">
        <v>0.023</v>
      </c>
      <c r="O380">
        <v>0.004</v>
      </c>
      <c r="P380">
        <v>0</v>
      </c>
      <c r="Q380">
        <v>0.003</v>
      </c>
      <c r="R380">
        <v>0</v>
      </c>
      <c r="S380">
        <v>450.11</v>
      </c>
      <c r="T380">
        <v>446.195</v>
      </c>
      <c r="U380">
        <v>450.106</v>
      </c>
      <c r="V380">
        <v>446.217</v>
      </c>
    </row>
    <row r="381" spans="2:22">
      <c r="B381">
        <v>380</v>
      </c>
      <c r="C381" t="s">
        <v>401</v>
      </c>
      <c r="D381">
        <v>80</v>
      </c>
      <c r="E381">
        <v>12.005</v>
      </c>
      <c r="F381">
        <v>70110.031</v>
      </c>
      <c r="G381">
        <v>70118.414</v>
      </c>
      <c r="H381">
        <v>70126.797</v>
      </c>
      <c r="I381">
        <v>3</v>
      </c>
      <c r="J381">
        <v>1</v>
      </c>
      <c r="K381">
        <v>0</v>
      </c>
      <c r="L381">
        <v>0.057</v>
      </c>
      <c r="M381">
        <v>450.049</v>
      </c>
      <c r="N381">
        <v>0.057</v>
      </c>
      <c r="O381">
        <v>0</v>
      </c>
      <c r="P381">
        <v>0.001</v>
      </c>
      <c r="Q381">
        <v>0</v>
      </c>
      <c r="R381">
        <v>0</v>
      </c>
      <c r="S381" t="s">
        <v>22</v>
      </c>
      <c r="T381" t="s">
        <v>22</v>
      </c>
      <c r="U381">
        <v>450.049</v>
      </c>
      <c r="V381">
        <v>446.16</v>
      </c>
    </row>
    <row r="382" spans="2:22">
      <c r="B382">
        <v>381</v>
      </c>
      <c r="C382" t="s">
        <v>402</v>
      </c>
      <c r="D382">
        <v>0</v>
      </c>
      <c r="E382">
        <v>0</v>
      </c>
      <c r="F382">
        <v>70153.781</v>
      </c>
      <c r="G382">
        <v>70153.781</v>
      </c>
      <c r="H382">
        <v>70153.781</v>
      </c>
      <c r="I382">
        <v>3</v>
      </c>
      <c r="J382">
        <v>1</v>
      </c>
      <c r="K382">
        <v>2</v>
      </c>
      <c r="L382">
        <v>0.004</v>
      </c>
      <c r="M382">
        <v>450.044</v>
      </c>
      <c r="N382">
        <v>0.006</v>
      </c>
      <c r="O382">
        <v>-0.002</v>
      </c>
      <c r="P382">
        <v>0</v>
      </c>
      <c r="Q382">
        <v>0</v>
      </c>
      <c r="R382">
        <v>0</v>
      </c>
      <c r="S382">
        <v>450.044</v>
      </c>
      <c r="T382">
        <v>446.129</v>
      </c>
      <c r="U382">
        <v>450.042</v>
      </c>
      <c r="V382">
        <v>446.153</v>
      </c>
    </row>
    <row r="383" spans="2:22">
      <c r="B383">
        <v>382</v>
      </c>
      <c r="C383" t="s">
        <v>403</v>
      </c>
      <c r="D383">
        <v>0</v>
      </c>
      <c r="E383">
        <v>0</v>
      </c>
      <c r="F383">
        <v>70190.688</v>
      </c>
      <c r="G383">
        <v>70190.688</v>
      </c>
      <c r="H383">
        <v>70190.688</v>
      </c>
      <c r="I383">
        <v>3</v>
      </c>
      <c r="J383">
        <v>1</v>
      </c>
      <c r="K383">
        <v>1</v>
      </c>
      <c r="L383">
        <v>0.009</v>
      </c>
      <c r="M383">
        <v>450.035</v>
      </c>
      <c r="N383">
        <v>0.004</v>
      </c>
      <c r="O383">
        <v>0.004</v>
      </c>
      <c r="P383">
        <v>0</v>
      </c>
      <c r="Q383">
        <v>0.001</v>
      </c>
      <c r="R383">
        <v>0</v>
      </c>
      <c r="S383">
        <v>450.039</v>
      </c>
      <c r="T383">
        <v>446.124</v>
      </c>
      <c r="U383">
        <v>450.035</v>
      </c>
      <c r="V383">
        <v>446.146</v>
      </c>
    </row>
    <row r="384" spans="2:22">
      <c r="B384">
        <v>383</v>
      </c>
      <c r="C384" t="s">
        <v>404</v>
      </c>
      <c r="D384">
        <v>80</v>
      </c>
      <c r="E384">
        <v>18.869</v>
      </c>
      <c r="F384">
        <v>70297.484</v>
      </c>
      <c r="G384">
        <v>70310.664</v>
      </c>
      <c r="H384">
        <v>70323.836</v>
      </c>
      <c r="I384">
        <v>3</v>
      </c>
      <c r="J384">
        <v>1</v>
      </c>
      <c r="K384">
        <v>0</v>
      </c>
      <c r="L384">
        <v>0.023</v>
      </c>
      <c r="M384">
        <v>450.012</v>
      </c>
      <c r="N384">
        <v>0.022</v>
      </c>
      <c r="O384">
        <v>0</v>
      </c>
      <c r="P384">
        <v>0.001</v>
      </c>
      <c r="Q384">
        <v>0</v>
      </c>
      <c r="R384">
        <v>0</v>
      </c>
      <c r="S384" t="s">
        <v>22</v>
      </c>
      <c r="T384" t="s">
        <v>22</v>
      </c>
      <c r="U384">
        <v>450.013</v>
      </c>
      <c r="V384">
        <v>446.124</v>
      </c>
    </row>
    <row r="385" spans="2:22">
      <c r="B385">
        <v>384</v>
      </c>
      <c r="C385" t="s">
        <v>405</v>
      </c>
      <c r="D385">
        <v>0</v>
      </c>
      <c r="E385">
        <v>0</v>
      </c>
      <c r="F385">
        <v>70416.43</v>
      </c>
      <c r="G385">
        <v>70416.43</v>
      </c>
      <c r="H385">
        <v>70416.43</v>
      </c>
      <c r="I385">
        <v>3</v>
      </c>
      <c r="J385">
        <v>1</v>
      </c>
      <c r="K385">
        <v>2</v>
      </c>
      <c r="L385">
        <v>0.017</v>
      </c>
      <c r="M385">
        <v>449.995</v>
      </c>
      <c r="N385">
        <v>0.019</v>
      </c>
      <c r="O385">
        <v>-0.002</v>
      </c>
      <c r="P385">
        <v>0</v>
      </c>
      <c r="Q385">
        <v>0</v>
      </c>
      <c r="R385">
        <v>0</v>
      </c>
      <c r="S385">
        <v>449.995</v>
      </c>
      <c r="T385">
        <v>446.08</v>
      </c>
      <c r="U385">
        <v>449.993</v>
      </c>
      <c r="V385">
        <v>446.104</v>
      </c>
    </row>
    <row r="386" spans="2:22">
      <c r="B386">
        <v>385</v>
      </c>
      <c r="C386" t="s">
        <v>406</v>
      </c>
      <c r="D386">
        <v>0</v>
      </c>
      <c r="E386">
        <v>0</v>
      </c>
      <c r="F386">
        <v>70446.828</v>
      </c>
      <c r="G386">
        <v>70446.828</v>
      </c>
      <c r="H386">
        <v>70446.828</v>
      </c>
      <c r="I386">
        <v>2</v>
      </c>
      <c r="J386">
        <v>1</v>
      </c>
      <c r="K386">
        <v>1</v>
      </c>
      <c r="L386">
        <v>0.048</v>
      </c>
      <c r="M386">
        <v>449.947</v>
      </c>
      <c r="N386">
        <v>0.003</v>
      </c>
      <c r="O386">
        <v>0.044</v>
      </c>
      <c r="P386">
        <v>0</v>
      </c>
      <c r="Q386">
        <v>0</v>
      </c>
      <c r="R386">
        <v>0</v>
      </c>
      <c r="S386">
        <v>449.992</v>
      </c>
      <c r="T386">
        <v>446.077</v>
      </c>
      <c r="U386">
        <v>449.947</v>
      </c>
      <c r="V386">
        <v>446.4</v>
      </c>
    </row>
    <row r="387" spans="2:22">
      <c r="B387">
        <v>386</v>
      </c>
      <c r="C387" t="s">
        <v>407</v>
      </c>
      <c r="D387">
        <v>0</v>
      </c>
      <c r="E387">
        <v>0</v>
      </c>
      <c r="F387">
        <v>70486.305</v>
      </c>
      <c r="G387">
        <v>70486.305</v>
      </c>
      <c r="H387">
        <v>70486.305</v>
      </c>
      <c r="I387">
        <v>2</v>
      </c>
      <c r="J387">
        <v>1</v>
      </c>
      <c r="K387">
        <v>2</v>
      </c>
      <c r="L387">
        <v>-0.012</v>
      </c>
      <c r="M387">
        <v>449.959</v>
      </c>
      <c r="N387">
        <v>0.011</v>
      </c>
      <c r="O387">
        <v>-0.023</v>
      </c>
      <c r="P387">
        <v>0</v>
      </c>
      <c r="Q387">
        <v>0</v>
      </c>
      <c r="R387">
        <v>0</v>
      </c>
      <c r="S387">
        <v>449.959</v>
      </c>
      <c r="T387">
        <v>446.044</v>
      </c>
      <c r="U387">
        <v>449.936</v>
      </c>
      <c r="V387">
        <v>446.389</v>
      </c>
    </row>
    <row r="388" spans="2:22">
      <c r="B388">
        <v>387</v>
      </c>
      <c r="C388" t="s">
        <v>408</v>
      </c>
      <c r="D388">
        <v>0</v>
      </c>
      <c r="E388">
        <v>0</v>
      </c>
      <c r="F388">
        <v>70506.031</v>
      </c>
      <c r="G388">
        <v>70506.031</v>
      </c>
      <c r="H388">
        <v>70506.031</v>
      </c>
      <c r="I388">
        <v>3</v>
      </c>
      <c r="J388">
        <v>1</v>
      </c>
      <c r="K388">
        <v>1</v>
      </c>
      <c r="L388">
        <v>0.006</v>
      </c>
      <c r="M388">
        <v>449.953</v>
      </c>
      <c r="N388">
        <v>0.002</v>
      </c>
      <c r="O388">
        <v>0.004</v>
      </c>
      <c r="P388">
        <v>0</v>
      </c>
      <c r="Q388">
        <v>0</v>
      </c>
      <c r="R388">
        <v>0</v>
      </c>
      <c r="S388">
        <v>449.957</v>
      </c>
      <c r="T388">
        <v>446.042</v>
      </c>
      <c r="U388">
        <v>449.953</v>
      </c>
      <c r="V388">
        <v>446.064</v>
      </c>
    </row>
    <row r="389" spans="2:22">
      <c r="B389">
        <v>388</v>
      </c>
      <c r="C389" t="s">
        <v>409</v>
      </c>
      <c r="D389">
        <v>80</v>
      </c>
      <c r="E389">
        <v>58.265</v>
      </c>
      <c r="F389">
        <v>70634.922</v>
      </c>
      <c r="G389">
        <v>70675.602</v>
      </c>
      <c r="H389">
        <v>70716.273</v>
      </c>
      <c r="I389">
        <v>3</v>
      </c>
      <c r="J389">
        <v>1</v>
      </c>
      <c r="K389">
        <v>0</v>
      </c>
      <c r="L389">
        <v>0.033</v>
      </c>
      <c r="M389">
        <v>449.92</v>
      </c>
      <c r="N389">
        <v>0.031</v>
      </c>
      <c r="O389">
        <v>0</v>
      </c>
      <c r="P389">
        <v>0.003</v>
      </c>
      <c r="Q389">
        <v>0</v>
      </c>
      <c r="R389">
        <v>0</v>
      </c>
      <c r="S389" t="s">
        <v>22</v>
      </c>
      <c r="T389" t="s">
        <v>22</v>
      </c>
      <c r="U389">
        <v>449.921</v>
      </c>
      <c r="V389">
        <v>446.032</v>
      </c>
    </row>
    <row r="390" spans="2:22">
      <c r="B390">
        <v>389</v>
      </c>
      <c r="C390" t="s">
        <v>410</v>
      </c>
      <c r="D390">
        <v>0</v>
      </c>
      <c r="E390">
        <v>0</v>
      </c>
      <c r="F390">
        <v>70844.688</v>
      </c>
      <c r="G390">
        <v>70844.688</v>
      </c>
      <c r="H390">
        <v>70844.688</v>
      </c>
      <c r="I390">
        <v>3</v>
      </c>
      <c r="J390">
        <v>1</v>
      </c>
      <c r="K390">
        <v>2</v>
      </c>
      <c r="L390">
        <v>0.031</v>
      </c>
      <c r="M390">
        <v>449.889</v>
      </c>
      <c r="N390">
        <v>0.031</v>
      </c>
      <c r="O390">
        <v>0</v>
      </c>
      <c r="P390">
        <v>0</v>
      </c>
      <c r="Q390">
        <v>0</v>
      </c>
      <c r="R390">
        <v>0</v>
      </c>
      <c r="S390">
        <v>449.889</v>
      </c>
      <c r="T390">
        <v>446</v>
      </c>
      <c r="U390">
        <v>449.889</v>
      </c>
      <c r="V390">
        <v>446</v>
      </c>
    </row>
    <row r="391" spans="2:22">
      <c r="B391">
        <v>390</v>
      </c>
      <c r="C391" t="s">
        <v>411</v>
      </c>
      <c r="D391">
        <v>0</v>
      </c>
      <c r="E391">
        <v>0</v>
      </c>
      <c r="F391">
        <v>70844.688</v>
      </c>
      <c r="G391">
        <v>70844.688</v>
      </c>
      <c r="H391">
        <v>70844.688</v>
      </c>
      <c r="I391">
        <v>1</v>
      </c>
      <c r="J391">
        <v>5</v>
      </c>
      <c r="K391">
        <v>1</v>
      </c>
      <c r="L391">
        <v>0</v>
      </c>
      <c r="M391">
        <v>449.889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449.889</v>
      </c>
      <c r="T391">
        <v>446.281</v>
      </c>
      <c r="U391">
        <v>449.889</v>
      </c>
      <c r="V391">
        <v>446.281</v>
      </c>
    </row>
    <row r="392" spans="2:22">
      <c r="B392">
        <v>391</v>
      </c>
      <c r="C392" t="s">
        <v>412</v>
      </c>
      <c r="D392">
        <v>0</v>
      </c>
      <c r="E392">
        <v>0</v>
      </c>
      <c r="F392">
        <v>74743.617</v>
      </c>
      <c r="G392">
        <v>74743.617</v>
      </c>
      <c r="H392">
        <v>74743.617</v>
      </c>
      <c r="I392">
        <v>1</v>
      </c>
      <c r="J392">
        <v>5</v>
      </c>
      <c r="K392">
        <v>2</v>
      </c>
      <c r="L392">
        <v>3.9</v>
      </c>
      <c r="M392">
        <v>445.989</v>
      </c>
      <c r="N392">
        <v>0</v>
      </c>
      <c r="O392">
        <v>0</v>
      </c>
      <c r="P392">
        <v>0</v>
      </c>
      <c r="Q392">
        <v>0</v>
      </c>
      <c r="R392">
        <v>3.9</v>
      </c>
      <c r="S392">
        <v>445.989</v>
      </c>
      <c r="T392">
        <v>442.381</v>
      </c>
      <c r="U392">
        <v>445.989</v>
      </c>
      <c r="V392">
        <v>442.381</v>
      </c>
    </row>
    <row r="393" spans="2:22">
      <c r="B393">
        <v>392</v>
      </c>
      <c r="C393" t="s">
        <v>413</v>
      </c>
      <c r="D393">
        <v>80</v>
      </c>
      <c r="E393">
        <v>11.45</v>
      </c>
      <c r="F393">
        <v>74839.836</v>
      </c>
      <c r="G393">
        <v>74847.828</v>
      </c>
      <c r="H393">
        <v>74855.82</v>
      </c>
      <c r="I393">
        <v>1</v>
      </c>
      <c r="J393">
        <v>2</v>
      </c>
      <c r="K393">
        <v>0</v>
      </c>
      <c r="L393">
        <v>0.02</v>
      </c>
      <c r="M393">
        <v>445.969</v>
      </c>
      <c r="N393">
        <v>0.017</v>
      </c>
      <c r="O393">
        <v>0</v>
      </c>
      <c r="P393">
        <v>0.001</v>
      </c>
      <c r="Q393">
        <v>0.002</v>
      </c>
      <c r="R393">
        <v>0</v>
      </c>
      <c r="S393" t="s">
        <v>22</v>
      </c>
      <c r="T393" t="s">
        <v>22</v>
      </c>
      <c r="U393">
        <v>445.969</v>
      </c>
      <c r="V393">
        <v>442.054</v>
      </c>
    </row>
    <row r="394" spans="2:22">
      <c r="B394">
        <v>393</v>
      </c>
      <c r="C394" t="s">
        <v>414</v>
      </c>
      <c r="D394">
        <v>80</v>
      </c>
      <c r="E394">
        <v>11.361</v>
      </c>
      <c r="F394">
        <v>75022.836</v>
      </c>
      <c r="G394">
        <v>75030.766</v>
      </c>
      <c r="H394">
        <v>75038.703</v>
      </c>
      <c r="I394">
        <v>1</v>
      </c>
      <c r="J394">
        <v>2</v>
      </c>
      <c r="K394">
        <v>0</v>
      </c>
      <c r="L394">
        <v>0.035</v>
      </c>
      <c r="M394">
        <v>445.934</v>
      </c>
      <c r="N394">
        <v>0.03</v>
      </c>
      <c r="O394">
        <v>0</v>
      </c>
      <c r="P394">
        <v>0.001</v>
      </c>
      <c r="Q394">
        <v>0.004</v>
      </c>
      <c r="R394">
        <v>0</v>
      </c>
      <c r="S394" t="s">
        <v>22</v>
      </c>
      <c r="T394" t="s">
        <v>22</v>
      </c>
      <c r="U394">
        <v>445.935</v>
      </c>
      <c r="V394">
        <v>442.02</v>
      </c>
    </row>
    <row r="395" spans="2:22">
      <c r="B395">
        <v>394</v>
      </c>
      <c r="C395" t="s">
        <v>415</v>
      </c>
      <c r="D395">
        <v>0</v>
      </c>
      <c r="E395">
        <v>0</v>
      </c>
      <c r="F395">
        <v>75055</v>
      </c>
      <c r="G395">
        <v>75055</v>
      </c>
      <c r="H395">
        <v>75055</v>
      </c>
      <c r="I395">
        <v>1</v>
      </c>
      <c r="J395">
        <v>4</v>
      </c>
      <c r="K395">
        <v>1</v>
      </c>
      <c r="L395">
        <v>0.005</v>
      </c>
      <c r="M395">
        <v>445.93</v>
      </c>
      <c r="N395">
        <v>0.004</v>
      </c>
      <c r="O395">
        <v>0</v>
      </c>
      <c r="P395">
        <v>0</v>
      </c>
      <c r="Q395">
        <v>0</v>
      </c>
      <c r="R395">
        <v>0</v>
      </c>
      <c r="S395">
        <v>445.93</v>
      </c>
      <c r="T395">
        <v>442.015</v>
      </c>
      <c r="U395">
        <v>445.93</v>
      </c>
      <c r="V395">
        <v>442.015</v>
      </c>
    </row>
    <row r="396" spans="2:22">
      <c r="B396">
        <v>395</v>
      </c>
      <c r="C396" t="s">
        <v>416</v>
      </c>
      <c r="D396">
        <v>0</v>
      </c>
      <c r="E396">
        <v>0</v>
      </c>
      <c r="F396">
        <v>75055</v>
      </c>
      <c r="G396">
        <v>75055</v>
      </c>
      <c r="H396">
        <v>75055</v>
      </c>
      <c r="I396">
        <v>1</v>
      </c>
      <c r="J396">
        <v>4</v>
      </c>
      <c r="K396">
        <v>2</v>
      </c>
      <c r="L396">
        <v>0.03</v>
      </c>
      <c r="M396">
        <v>445.9</v>
      </c>
      <c r="N396">
        <v>0</v>
      </c>
      <c r="O396">
        <v>0</v>
      </c>
      <c r="P396">
        <v>0</v>
      </c>
      <c r="Q396">
        <v>0</v>
      </c>
      <c r="R396">
        <v>0.03</v>
      </c>
      <c r="S396">
        <v>445.9</v>
      </c>
      <c r="T396">
        <v>441.985</v>
      </c>
      <c r="U396">
        <v>445.9</v>
      </c>
      <c r="V396">
        <v>441.985</v>
      </c>
    </row>
    <row r="397" spans="2:22">
      <c r="B397">
        <v>396</v>
      </c>
      <c r="C397" t="s">
        <v>417</v>
      </c>
      <c r="D397">
        <v>0</v>
      </c>
      <c r="E397">
        <v>0</v>
      </c>
      <c r="F397">
        <v>75068.07</v>
      </c>
      <c r="G397">
        <v>75068.07</v>
      </c>
      <c r="H397">
        <v>75068.07</v>
      </c>
      <c r="I397">
        <v>2</v>
      </c>
      <c r="J397">
        <v>1</v>
      </c>
      <c r="K397">
        <v>1</v>
      </c>
      <c r="L397">
        <v>0.046</v>
      </c>
      <c r="M397">
        <v>445.854</v>
      </c>
      <c r="N397">
        <v>0.001</v>
      </c>
      <c r="O397">
        <v>0.044</v>
      </c>
      <c r="P397">
        <v>0</v>
      </c>
      <c r="Q397">
        <v>0</v>
      </c>
      <c r="R397">
        <v>0</v>
      </c>
      <c r="S397">
        <v>445.898</v>
      </c>
      <c r="T397">
        <v>441.983</v>
      </c>
      <c r="U397">
        <v>445.854</v>
      </c>
      <c r="V397">
        <v>442.307</v>
      </c>
    </row>
    <row r="398" spans="2:22">
      <c r="B398">
        <v>397</v>
      </c>
      <c r="C398" t="s">
        <v>418</v>
      </c>
      <c r="D398">
        <v>80</v>
      </c>
      <c r="E398">
        <v>7.818</v>
      </c>
      <c r="F398">
        <v>75381.141</v>
      </c>
      <c r="G398">
        <v>75386.602</v>
      </c>
      <c r="H398">
        <v>75392.055</v>
      </c>
      <c r="I398">
        <v>2</v>
      </c>
      <c r="J398">
        <v>1</v>
      </c>
      <c r="K398">
        <v>0</v>
      </c>
      <c r="L398">
        <v>0.092</v>
      </c>
      <c r="M398">
        <v>445.762</v>
      </c>
      <c r="N398">
        <v>0.091</v>
      </c>
      <c r="O398">
        <v>0</v>
      </c>
      <c r="P398">
        <v>0.001</v>
      </c>
      <c r="Q398">
        <v>0</v>
      </c>
      <c r="R398">
        <v>0</v>
      </c>
      <c r="S398" t="s">
        <v>22</v>
      </c>
      <c r="T398" t="s">
        <v>22</v>
      </c>
      <c r="U398">
        <v>445.763</v>
      </c>
      <c r="V398">
        <v>442.216</v>
      </c>
    </row>
    <row r="399" spans="2:22">
      <c r="B399">
        <v>398</v>
      </c>
      <c r="C399" t="s">
        <v>419</v>
      </c>
      <c r="D399">
        <v>80</v>
      </c>
      <c r="E399">
        <v>24.919</v>
      </c>
      <c r="F399">
        <v>75503.266</v>
      </c>
      <c r="G399">
        <v>75520.664</v>
      </c>
      <c r="H399">
        <v>75538.055</v>
      </c>
      <c r="I399">
        <v>2</v>
      </c>
      <c r="J399">
        <v>1</v>
      </c>
      <c r="K399">
        <v>0</v>
      </c>
      <c r="L399">
        <v>0.04</v>
      </c>
      <c r="M399">
        <v>445.722</v>
      </c>
      <c r="N399">
        <v>0.038</v>
      </c>
      <c r="O399">
        <v>0</v>
      </c>
      <c r="P399">
        <v>0.002</v>
      </c>
      <c r="Q399">
        <v>0</v>
      </c>
      <c r="R399">
        <v>0</v>
      </c>
      <c r="S399" t="s">
        <v>22</v>
      </c>
      <c r="T399" t="s">
        <v>22</v>
      </c>
      <c r="U399">
        <v>445.723</v>
      </c>
      <c r="V399">
        <v>442.176</v>
      </c>
    </row>
    <row r="400" spans="2:22">
      <c r="B400">
        <v>399</v>
      </c>
      <c r="C400" t="s">
        <v>420</v>
      </c>
      <c r="D400">
        <v>0</v>
      </c>
      <c r="E400">
        <v>0</v>
      </c>
      <c r="F400">
        <v>75603.461</v>
      </c>
      <c r="G400">
        <v>75603.461</v>
      </c>
      <c r="H400">
        <v>75603.461</v>
      </c>
      <c r="I400">
        <v>2</v>
      </c>
      <c r="J400">
        <v>1</v>
      </c>
      <c r="K400">
        <v>2</v>
      </c>
      <c r="L400">
        <v>0.001</v>
      </c>
      <c r="M400">
        <v>445.722</v>
      </c>
      <c r="N400">
        <v>0.024</v>
      </c>
      <c r="O400">
        <v>-0.023</v>
      </c>
      <c r="P400">
        <v>0</v>
      </c>
      <c r="Q400">
        <v>0</v>
      </c>
      <c r="R400">
        <v>0</v>
      </c>
      <c r="S400">
        <v>445.722</v>
      </c>
      <c r="T400">
        <v>441.807</v>
      </c>
      <c r="U400">
        <v>445.699</v>
      </c>
      <c r="V400">
        <v>442.152</v>
      </c>
    </row>
    <row r="401" spans="2:22">
      <c r="B401">
        <v>400</v>
      </c>
      <c r="C401" t="s">
        <v>421</v>
      </c>
      <c r="D401">
        <v>80</v>
      </c>
      <c r="E401">
        <v>23.753</v>
      </c>
      <c r="F401">
        <v>75625.648</v>
      </c>
      <c r="G401">
        <v>75642.234</v>
      </c>
      <c r="H401">
        <v>75658.812</v>
      </c>
      <c r="I401">
        <v>1</v>
      </c>
      <c r="J401">
        <v>2</v>
      </c>
      <c r="K401">
        <v>0</v>
      </c>
      <c r="L401">
        <v>0.007</v>
      </c>
      <c r="M401">
        <v>445.714</v>
      </c>
      <c r="N401">
        <v>0.006</v>
      </c>
      <c r="O401">
        <v>0</v>
      </c>
      <c r="P401">
        <v>0.001</v>
      </c>
      <c r="Q401">
        <v>0.001</v>
      </c>
      <c r="R401">
        <v>0</v>
      </c>
      <c r="S401" t="s">
        <v>22</v>
      </c>
      <c r="T401" t="s">
        <v>22</v>
      </c>
      <c r="U401">
        <v>445.715</v>
      </c>
      <c r="V401">
        <v>441.8</v>
      </c>
    </row>
    <row r="402" spans="2:22">
      <c r="B402">
        <v>401</v>
      </c>
      <c r="C402" t="s">
        <v>422</v>
      </c>
      <c r="D402">
        <v>0</v>
      </c>
      <c r="E402">
        <v>0</v>
      </c>
      <c r="F402">
        <v>75807.891</v>
      </c>
      <c r="G402">
        <v>75807.891</v>
      </c>
      <c r="H402">
        <v>75807.891</v>
      </c>
      <c r="I402">
        <v>2</v>
      </c>
      <c r="J402">
        <v>1</v>
      </c>
      <c r="K402">
        <v>1</v>
      </c>
      <c r="L402">
        <v>0.074</v>
      </c>
      <c r="M402">
        <v>445.64</v>
      </c>
      <c r="N402">
        <v>0.027</v>
      </c>
      <c r="O402">
        <v>0.044</v>
      </c>
      <c r="P402">
        <v>0</v>
      </c>
      <c r="Q402">
        <v>0.003</v>
      </c>
      <c r="R402">
        <v>0</v>
      </c>
      <c r="S402">
        <v>445.684</v>
      </c>
      <c r="T402">
        <v>441.769</v>
      </c>
      <c r="U402">
        <v>445.64</v>
      </c>
      <c r="V402">
        <v>442.093</v>
      </c>
    </row>
    <row r="403" spans="2:22">
      <c r="B403">
        <v>402</v>
      </c>
      <c r="C403" t="s">
        <v>423</v>
      </c>
      <c r="D403">
        <v>0</v>
      </c>
      <c r="E403">
        <v>0</v>
      </c>
      <c r="F403">
        <v>75960.758</v>
      </c>
      <c r="G403">
        <v>75960.758</v>
      </c>
      <c r="H403">
        <v>75960.758</v>
      </c>
      <c r="I403">
        <v>2</v>
      </c>
      <c r="J403">
        <v>1</v>
      </c>
      <c r="K403">
        <v>2</v>
      </c>
      <c r="L403">
        <v>0.021</v>
      </c>
      <c r="M403">
        <v>445.62</v>
      </c>
      <c r="N403">
        <v>0.044</v>
      </c>
      <c r="O403">
        <v>-0.023</v>
      </c>
      <c r="P403">
        <v>0</v>
      </c>
      <c r="Q403">
        <v>0</v>
      </c>
      <c r="R403">
        <v>0</v>
      </c>
      <c r="S403">
        <v>445.62</v>
      </c>
      <c r="T403">
        <v>441.705</v>
      </c>
      <c r="U403">
        <v>445.596</v>
      </c>
      <c r="V403">
        <v>442.049</v>
      </c>
    </row>
    <row r="404" spans="2:22">
      <c r="B404">
        <v>403</v>
      </c>
      <c r="C404" t="s">
        <v>424</v>
      </c>
      <c r="D404">
        <v>60</v>
      </c>
      <c r="E404">
        <v>41.787</v>
      </c>
      <c r="F404">
        <v>75969.789</v>
      </c>
      <c r="G404">
        <v>75991.672</v>
      </c>
      <c r="H404">
        <v>76013.547</v>
      </c>
      <c r="I404">
        <v>1</v>
      </c>
      <c r="J404">
        <v>2</v>
      </c>
      <c r="K404">
        <v>0</v>
      </c>
      <c r="L404">
        <v>0.006</v>
      </c>
      <c r="M404">
        <v>445.613</v>
      </c>
      <c r="N404">
        <v>0.004</v>
      </c>
      <c r="O404">
        <v>0</v>
      </c>
      <c r="P404">
        <v>0.002</v>
      </c>
      <c r="Q404">
        <v>0.001</v>
      </c>
      <c r="R404">
        <v>0</v>
      </c>
      <c r="S404" t="s">
        <v>22</v>
      </c>
      <c r="T404" t="s">
        <v>22</v>
      </c>
      <c r="U404">
        <v>445.614</v>
      </c>
      <c r="V404">
        <v>441.699</v>
      </c>
    </row>
    <row r="405" spans="2:22">
      <c r="B405">
        <v>404</v>
      </c>
      <c r="C405" t="s">
        <v>425</v>
      </c>
      <c r="D405">
        <v>80</v>
      </c>
      <c r="E405">
        <v>23.882</v>
      </c>
      <c r="F405">
        <v>76101.102</v>
      </c>
      <c r="G405">
        <v>76117.781</v>
      </c>
      <c r="H405">
        <v>76134.453</v>
      </c>
      <c r="I405">
        <v>1</v>
      </c>
      <c r="J405">
        <v>2</v>
      </c>
      <c r="K405">
        <v>0</v>
      </c>
      <c r="L405">
        <v>0.025</v>
      </c>
      <c r="M405">
        <v>445.589</v>
      </c>
      <c r="N405">
        <v>0.021</v>
      </c>
      <c r="O405">
        <v>0</v>
      </c>
      <c r="P405">
        <v>0.001</v>
      </c>
      <c r="Q405">
        <v>0.003</v>
      </c>
      <c r="R405">
        <v>0</v>
      </c>
      <c r="S405" t="s">
        <v>22</v>
      </c>
      <c r="T405" t="s">
        <v>22</v>
      </c>
      <c r="U405">
        <v>445.589</v>
      </c>
      <c r="V405">
        <v>441.674</v>
      </c>
    </row>
    <row r="406" spans="2:22">
      <c r="B406">
        <v>405</v>
      </c>
      <c r="C406" t="s">
        <v>426</v>
      </c>
      <c r="D406">
        <v>0</v>
      </c>
      <c r="E406">
        <v>0</v>
      </c>
      <c r="F406">
        <v>76147.5</v>
      </c>
      <c r="G406">
        <v>76147.5</v>
      </c>
      <c r="H406">
        <v>76147.5</v>
      </c>
      <c r="I406">
        <v>2</v>
      </c>
      <c r="J406">
        <v>1</v>
      </c>
      <c r="K406">
        <v>1</v>
      </c>
      <c r="L406">
        <v>0.049</v>
      </c>
      <c r="M406">
        <v>445.54</v>
      </c>
      <c r="N406">
        <v>0.004</v>
      </c>
      <c r="O406">
        <v>0.044</v>
      </c>
      <c r="P406">
        <v>0</v>
      </c>
      <c r="Q406">
        <v>0</v>
      </c>
      <c r="R406">
        <v>0</v>
      </c>
      <c r="S406">
        <v>445.584</v>
      </c>
      <c r="T406">
        <v>441.669</v>
      </c>
      <c r="U406">
        <v>445.54</v>
      </c>
      <c r="V406">
        <v>441.993</v>
      </c>
    </row>
    <row r="407" spans="2:22">
      <c r="B407">
        <v>406</v>
      </c>
      <c r="C407" t="s">
        <v>427</v>
      </c>
      <c r="D407">
        <v>0</v>
      </c>
      <c r="E407">
        <v>0</v>
      </c>
      <c r="F407">
        <v>76219.133</v>
      </c>
      <c r="G407">
        <v>76219.133</v>
      </c>
      <c r="H407">
        <v>76219.133</v>
      </c>
      <c r="I407">
        <v>2</v>
      </c>
      <c r="J407">
        <v>1</v>
      </c>
      <c r="K407">
        <v>2</v>
      </c>
      <c r="L407">
        <v>-0.003</v>
      </c>
      <c r="M407">
        <v>445.542</v>
      </c>
      <c r="N407">
        <v>0.02</v>
      </c>
      <c r="O407">
        <v>-0.023</v>
      </c>
      <c r="P407">
        <v>0</v>
      </c>
      <c r="Q407">
        <v>0</v>
      </c>
      <c r="R407">
        <v>0</v>
      </c>
      <c r="S407">
        <v>445.542</v>
      </c>
      <c r="T407">
        <v>441.627</v>
      </c>
      <c r="U407">
        <v>445.519</v>
      </c>
      <c r="V407">
        <v>441.972</v>
      </c>
    </row>
    <row r="408" spans="2:22">
      <c r="B408">
        <v>407</v>
      </c>
      <c r="C408" t="s">
        <v>428</v>
      </c>
      <c r="D408">
        <v>60</v>
      </c>
      <c r="E408">
        <v>13.917</v>
      </c>
      <c r="F408">
        <v>76242.703</v>
      </c>
      <c r="G408">
        <v>76249.984</v>
      </c>
      <c r="H408">
        <v>76257.273</v>
      </c>
      <c r="I408">
        <v>1</v>
      </c>
      <c r="J408">
        <v>2</v>
      </c>
      <c r="K408">
        <v>0</v>
      </c>
      <c r="L408">
        <v>0.005</v>
      </c>
      <c r="M408">
        <v>445.537</v>
      </c>
      <c r="N408">
        <v>0.004</v>
      </c>
      <c r="O408">
        <v>0</v>
      </c>
      <c r="P408">
        <v>0.001</v>
      </c>
      <c r="Q408">
        <v>0.001</v>
      </c>
      <c r="R408">
        <v>0</v>
      </c>
      <c r="S408" t="s">
        <v>22</v>
      </c>
      <c r="T408" t="s">
        <v>22</v>
      </c>
      <c r="U408">
        <v>445.537</v>
      </c>
      <c r="V408">
        <v>441.622</v>
      </c>
    </row>
    <row r="409" spans="2:22">
      <c r="B409">
        <v>408</v>
      </c>
      <c r="C409" t="s">
        <v>429</v>
      </c>
      <c r="D409">
        <v>0</v>
      </c>
      <c r="E409">
        <v>0</v>
      </c>
      <c r="F409">
        <v>76401.172</v>
      </c>
      <c r="G409">
        <v>76401.172</v>
      </c>
      <c r="H409">
        <v>76401.172</v>
      </c>
      <c r="I409">
        <v>2</v>
      </c>
      <c r="J409">
        <v>1</v>
      </c>
      <c r="K409">
        <v>1</v>
      </c>
      <c r="L409">
        <v>0.072</v>
      </c>
      <c r="M409">
        <v>445.465</v>
      </c>
      <c r="N409">
        <v>0.024</v>
      </c>
      <c r="O409">
        <v>0.044</v>
      </c>
      <c r="P409">
        <v>0</v>
      </c>
      <c r="Q409">
        <v>0.003</v>
      </c>
      <c r="R409">
        <v>0</v>
      </c>
      <c r="S409">
        <v>445.51</v>
      </c>
      <c r="T409">
        <v>441.595</v>
      </c>
      <c r="U409">
        <v>445.465</v>
      </c>
      <c r="V409">
        <v>441.918</v>
      </c>
    </row>
    <row r="410" spans="2:22">
      <c r="B410">
        <v>409</v>
      </c>
      <c r="C410" t="s">
        <v>430</v>
      </c>
      <c r="D410">
        <v>0</v>
      </c>
      <c r="E410">
        <v>0</v>
      </c>
      <c r="F410">
        <v>76570.039</v>
      </c>
      <c r="G410">
        <v>76570.039</v>
      </c>
      <c r="H410">
        <v>76570.039</v>
      </c>
      <c r="I410">
        <v>2</v>
      </c>
      <c r="J410">
        <v>1</v>
      </c>
      <c r="K410">
        <v>2</v>
      </c>
      <c r="L410">
        <v>0.025</v>
      </c>
      <c r="M410">
        <v>445.44</v>
      </c>
      <c r="N410">
        <v>0.048</v>
      </c>
      <c r="O410">
        <v>-0.023</v>
      </c>
      <c r="P410">
        <v>0</v>
      </c>
      <c r="Q410">
        <v>0</v>
      </c>
      <c r="R410">
        <v>0</v>
      </c>
      <c r="S410">
        <v>445.44</v>
      </c>
      <c r="T410">
        <v>441.525</v>
      </c>
      <c r="U410">
        <v>445.417</v>
      </c>
      <c r="V410">
        <v>441.87</v>
      </c>
    </row>
    <row r="411" spans="2:22">
      <c r="B411">
        <v>410</v>
      </c>
      <c r="C411" t="s">
        <v>431</v>
      </c>
      <c r="D411">
        <v>80</v>
      </c>
      <c r="E411">
        <v>22.963</v>
      </c>
      <c r="F411">
        <v>76578.148</v>
      </c>
      <c r="G411">
        <v>76594.18</v>
      </c>
      <c r="H411">
        <v>76610.211</v>
      </c>
      <c r="I411">
        <v>1</v>
      </c>
      <c r="J411">
        <v>2</v>
      </c>
      <c r="K411">
        <v>0</v>
      </c>
      <c r="L411">
        <v>0.005</v>
      </c>
      <c r="M411">
        <v>445.436</v>
      </c>
      <c r="N411">
        <v>0.003</v>
      </c>
      <c r="O411">
        <v>0</v>
      </c>
      <c r="P411">
        <v>0.001</v>
      </c>
      <c r="Q411">
        <v>0</v>
      </c>
      <c r="R411">
        <v>0</v>
      </c>
      <c r="S411" t="s">
        <v>22</v>
      </c>
      <c r="T411" t="s">
        <v>22</v>
      </c>
      <c r="U411">
        <v>445.436</v>
      </c>
      <c r="V411">
        <v>441.521</v>
      </c>
    </row>
    <row r="412" spans="2:22">
      <c r="B412">
        <v>411</v>
      </c>
      <c r="C412" t="s">
        <v>432</v>
      </c>
      <c r="D412">
        <v>80</v>
      </c>
      <c r="E412">
        <v>41.319</v>
      </c>
      <c r="F412">
        <v>76793.477</v>
      </c>
      <c r="G412">
        <v>76822.32</v>
      </c>
      <c r="H412">
        <v>76851.164</v>
      </c>
      <c r="I412">
        <v>1</v>
      </c>
      <c r="J412">
        <v>2</v>
      </c>
      <c r="K412">
        <v>0</v>
      </c>
      <c r="L412">
        <v>0.044</v>
      </c>
      <c r="M412">
        <v>445.391</v>
      </c>
      <c r="N412">
        <v>0.038</v>
      </c>
      <c r="O412">
        <v>0</v>
      </c>
      <c r="P412">
        <v>0.002</v>
      </c>
      <c r="Q412">
        <v>0.005</v>
      </c>
      <c r="R412">
        <v>0</v>
      </c>
      <c r="S412" t="s">
        <v>22</v>
      </c>
      <c r="T412" t="s">
        <v>22</v>
      </c>
      <c r="U412">
        <v>445.392</v>
      </c>
      <c r="V412">
        <v>441.477</v>
      </c>
    </row>
    <row r="413" spans="2:22">
      <c r="B413">
        <v>412</v>
      </c>
      <c r="C413" t="s">
        <v>433</v>
      </c>
      <c r="D413">
        <v>80</v>
      </c>
      <c r="E413">
        <v>12.381</v>
      </c>
      <c r="F413">
        <v>76946.312</v>
      </c>
      <c r="G413">
        <v>76954.953</v>
      </c>
      <c r="H413">
        <v>76963.602</v>
      </c>
      <c r="I413">
        <v>1</v>
      </c>
      <c r="J413">
        <v>2</v>
      </c>
      <c r="K413">
        <v>0</v>
      </c>
      <c r="L413">
        <v>0.025</v>
      </c>
      <c r="M413">
        <v>445.366</v>
      </c>
      <c r="N413">
        <v>0.022</v>
      </c>
      <c r="O413">
        <v>0</v>
      </c>
      <c r="P413">
        <v>0.001</v>
      </c>
      <c r="Q413">
        <v>0.003</v>
      </c>
      <c r="R413">
        <v>0</v>
      </c>
      <c r="S413" t="s">
        <v>22</v>
      </c>
      <c r="T413" t="s">
        <v>22</v>
      </c>
      <c r="U413">
        <v>445.366</v>
      </c>
      <c r="V413">
        <v>441.451</v>
      </c>
    </row>
    <row r="414" spans="2:22">
      <c r="B414">
        <v>413</v>
      </c>
      <c r="C414" t="s">
        <v>434</v>
      </c>
      <c r="D414">
        <v>80</v>
      </c>
      <c r="E414">
        <v>19.207</v>
      </c>
      <c r="F414">
        <v>77011.164</v>
      </c>
      <c r="G414">
        <v>77024.578</v>
      </c>
      <c r="H414">
        <v>77037.984</v>
      </c>
      <c r="I414">
        <v>1</v>
      </c>
      <c r="J414">
        <v>2</v>
      </c>
      <c r="K414">
        <v>0</v>
      </c>
      <c r="L414">
        <v>0.014</v>
      </c>
      <c r="M414">
        <v>445.352</v>
      </c>
      <c r="N414">
        <v>0.012</v>
      </c>
      <c r="O414">
        <v>0</v>
      </c>
      <c r="P414">
        <v>0.001</v>
      </c>
      <c r="Q414">
        <v>0.001</v>
      </c>
      <c r="R414">
        <v>0</v>
      </c>
      <c r="S414" t="s">
        <v>22</v>
      </c>
      <c r="T414" t="s">
        <v>22</v>
      </c>
      <c r="U414">
        <v>445.352</v>
      </c>
      <c r="V414">
        <v>441.437</v>
      </c>
    </row>
    <row r="415" spans="2:22">
      <c r="B415">
        <v>414</v>
      </c>
      <c r="C415" t="s">
        <v>435</v>
      </c>
      <c r="D415">
        <v>80</v>
      </c>
      <c r="E415">
        <v>32.679</v>
      </c>
      <c r="F415">
        <v>77052.789</v>
      </c>
      <c r="G415">
        <v>77075.602</v>
      </c>
      <c r="H415">
        <v>77098.422</v>
      </c>
      <c r="I415">
        <v>1</v>
      </c>
      <c r="J415">
        <v>2</v>
      </c>
      <c r="K415">
        <v>0</v>
      </c>
      <c r="L415">
        <v>0.011</v>
      </c>
      <c r="M415">
        <v>445.341</v>
      </c>
      <c r="N415">
        <v>0.009</v>
      </c>
      <c r="O415">
        <v>0</v>
      </c>
      <c r="P415">
        <v>0.001</v>
      </c>
      <c r="Q415">
        <v>0.001</v>
      </c>
      <c r="R415">
        <v>0</v>
      </c>
      <c r="S415" t="s">
        <v>22</v>
      </c>
      <c r="T415" t="s">
        <v>22</v>
      </c>
      <c r="U415">
        <v>445.342</v>
      </c>
      <c r="V415">
        <v>441.427</v>
      </c>
    </row>
    <row r="416" spans="2:22">
      <c r="B416">
        <v>415</v>
      </c>
      <c r="C416" t="s">
        <v>436</v>
      </c>
      <c r="D416">
        <v>0</v>
      </c>
      <c r="E416">
        <v>0</v>
      </c>
      <c r="F416">
        <v>77120.086</v>
      </c>
      <c r="G416">
        <v>77120.086</v>
      </c>
      <c r="H416">
        <v>77120.086</v>
      </c>
      <c r="I416">
        <v>2</v>
      </c>
      <c r="J416">
        <v>1</v>
      </c>
      <c r="K416">
        <v>1</v>
      </c>
      <c r="L416">
        <v>0.052</v>
      </c>
      <c r="M416">
        <v>445.289</v>
      </c>
      <c r="N416">
        <v>0.007</v>
      </c>
      <c r="O416">
        <v>0.044</v>
      </c>
      <c r="P416">
        <v>0</v>
      </c>
      <c r="Q416">
        <v>0.001</v>
      </c>
      <c r="R416">
        <v>0</v>
      </c>
      <c r="S416">
        <v>445.334</v>
      </c>
      <c r="T416">
        <v>441.419</v>
      </c>
      <c r="U416">
        <v>445.289</v>
      </c>
      <c r="V416">
        <v>441.742</v>
      </c>
    </row>
    <row r="417" spans="2:22">
      <c r="B417">
        <v>416</v>
      </c>
      <c r="C417" t="s">
        <v>437</v>
      </c>
      <c r="D417">
        <v>0</v>
      </c>
      <c r="E417">
        <v>0</v>
      </c>
      <c r="F417">
        <v>77217.328</v>
      </c>
      <c r="G417">
        <v>77217.328</v>
      </c>
      <c r="H417">
        <v>77217.328</v>
      </c>
      <c r="I417">
        <v>2</v>
      </c>
      <c r="J417">
        <v>1</v>
      </c>
      <c r="K417">
        <v>2</v>
      </c>
      <c r="L417">
        <v>0.005</v>
      </c>
      <c r="M417">
        <v>445.285</v>
      </c>
      <c r="N417">
        <v>0.028</v>
      </c>
      <c r="O417">
        <v>-0.023</v>
      </c>
      <c r="P417">
        <v>0</v>
      </c>
      <c r="Q417">
        <v>0</v>
      </c>
      <c r="R417">
        <v>0</v>
      </c>
      <c r="S417">
        <v>445.285</v>
      </c>
      <c r="T417">
        <v>441.37</v>
      </c>
      <c r="U417">
        <v>445.262</v>
      </c>
      <c r="V417">
        <v>441.715</v>
      </c>
    </row>
    <row r="418" spans="2:22">
      <c r="B418">
        <v>417</v>
      </c>
      <c r="C418" t="s">
        <v>438</v>
      </c>
      <c r="D418">
        <v>60</v>
      </c>
      <c r="E418">
        <v>18.272</v>
      </c>
      <c r="F418">
        <v>77238.688</v>
      </c>
      <c r="G418">
        <v>77248.258</v>
      </c>
      <c r="H418">
        <v>77257.82</v>
      </c>
      <c r="I418">
        <v>1</v>
      </c>
      <c r="J418">
        <v>2</v>
      </c>
      <c r="K418">
        <v>0</v>
      </c>
      <c r="L418">
        <v>0.006</v>
      </c>
      <c r="M418">
        <v>445.279</v>
      </c>
      <c r="N418">
        <v>0.004</v>
      </c>
      <c r="O418">
        <v>0</v>
      </c>
      <c r="P418">
        <v>0.001</v>
      </c>
      <c r="Q418">
        <v>0.001</v>
      </c>
      <c r="R418">
        <v>0</v>
      </c>
      <c r="S418" t="s">
        <v>22</v>
      </c>
      <c r="T418" t="s">
        <v>22</v>
      </c>
      <c r="U418">
        <v>445.28</v>
      </c>
      <c r="V418">
        <v>441.365</v>
      </c>
    </row>
    <row r="419" spans="2:22">
      <c r="B419">
        <v>418</v>
      </c>
      <c r="C419" t="s">
        <v>439</v>
      </c>
      <c r="D419">
        <v>80</v>
      </c>
      <c r="E419">
        <v>41.654</v>
      </c>
      <c r="F419">
        <v>77259.891</v>
      </c>
      <c r="G419">
        <v>77288.969</v>
      </c>
      <c r="H419">
        <v>77318.047</v>
      </c>
      <c r="I419">
        <v>1</v>
      </c>
      <c r="J419">
        <v>2</v>
      </c>
      <c r="K419">
        <v>0</v>
      </c>
      <c r="L419">
        <v>0.009</v>
      </c>
      <c r="M419">
        <v>445.27</v>
      </c>
      <c r="N419">
        <v>0.007</v>
      </c>
      <c r="O419">
        <v>0</v>
      </c>
      <c r="P419">
        <v>0.002</v>
      </c>
      <c r="Q419">
        <v>0.001</v>
      </c>
      <c r="R419">
        <v>0</v>
      </c>
      <c r="S419" t="s">
        <v>22</v>
      </c>
      <c r="T419" t="s">
        <v>22</v>
      </c>
      <c r="U419">
        <v>445.271</v>
      </c>
      <c r="V419">
        <v>441.356</v>
      </c>
    </row>
    <row r="420" spans="2:22">
      <c r="B420">
        <v>419</v>
      </c>
      <c r="C420" t="s">
        <v>440</v>
      </c>
      <c r="D420">
        <v>80</v>
      </c>
      <c r="E420">
        <v>27.974</v>
      </c>
      <c r="F420">
        <v>77343.883</v>
      </c>
      <c r="G420">
        <v>77363.414</v>
      </c>
      <c r="H420">
        <v>77382.945</v>
      </c>
      <c r="I420">
        <v>1</v>
      </c>
      <c r="J420">
        <v>2</v>
      </c>
      <c r="K420">
        <v>0</v>
      </c>
      <c r="L420">
        <v>0.015</v>
      </c>
      <c r="M420">
        <v>445.255</v>
      </c>
      <c r="N420">
        <v>0.012</v>
      </c>
      <c r="O420">
        <v>0</v>
      </c>
      <c r="P420">
        <v>0.001</v>
      </c>
      <c r="Q420">
        <v>0.001</v>
      </c>
      <c r="R420">
        <v>0</v>
      </c>
      <c r="S420" t="s">
        <v>22</v>
      </c>
      <c r="T420" t="s">
        <v>22</v>
      </c>
      <c r="U420">
        <v>445.255</v>
      </c>
      <c r="V420">
        <v>441.34</v>
      </c>
    </row>
    <row r="421" spans="2:22">
      <c r="B421">
        <v>420</v>
      </c>
      <c r="C421" t="s">
        <v>441</v>
      </c>
      <c r="D421">
        <v>80</v>
      </c>
      <c r="E421">
        <v>46.939</v>
      </c>
      <c r="F421">
        <v>77393.445</v>
      </c>
      <c r="G421">
        <v>77426.219</v>
      </c>
      <c r="H421">
        <v>77458.984</v>
      </c>
      <c r="I421">
        <v>1</v>
      </c>
      <c r="J421">
        <v>2</v>
      </c>
      <c r="K421">
        <v>0</v>
      </c>
      <c r="L421">
        <v>0.014</v>
      </c>
      <c r="M421">
        <v>445.241</v>
      </c>
      <c r="N421">
        <v>0.01</v>
      </c>
      <c r="O421">
        <v>0</v>
      </c>
      <c r="P421">
        <v>0.002</v>
      </c>
      <c r="Q421">
        <v>0.001</v>
      </c>
      <c r="R421">
        <v>0</v>
      </c>
      <c r="S421" t="s">
        <v>22</v>
      </c>
      <c r="T421" t="s">
        <v>22</v>
      </c>
      <c r="U421">
        <v>445.242</v>
      </c>
      <c r="V421">
        <v>441.327</v>
      </c>
    </row>
    <row r="422" spans="2:22">
      <c r="B422">
        <v>421</v>
      </c>
      <c r="C422" t="s">
        <v>442</v>
      </c>
      <c r="D422">
        <v>80</v>
      </c>
      <c r="E422">
        <v>39.124</v>
      </c>
      <c r="F422">
        <v>77526.789</v>
      </c>
      <c r="G422">
        <v>77554.102</v>
      </c>
      <c r="H422">
        <v>77581.414</v>
      </c>
      <c r="I422">
        <v>1</v>
      </c>
      <c r="J422">
        <v>2</v>
      </c>
      <c r="K422">
        <v>0</v>
      </c>
      <c r="L422">
        <v>0.026</v>
      </c>
      <c r="M422">
        <v>445.215</v>
      </c>
      <c r="N422">
        <v>0.021</v>
      </c>
      <c r="O422">
        <v>0</v>
      </c>
      <c r="P422">
        <v>0.002</v>
      </c>
      <c r="Q422">
        <v>0.003</v>
      </c>
      <c r="R422">
        <v>0</v>
      </c>
      <c r="S422" t="s">
        <v>22</v>
      </c>
      <c r="T422" t="s">
        <v>22</v>
      </c>
      <c r="U422">
        <v>445.216</v>
      </c>
      <c r="V422">
        <v>441.301</v>
      </c>
    </row>
    <row r="423" spans="2:22">
      <c r="B423">
        <v>422</v>
      </c>
      <c r="C423" t="s">
        <v>443</v>
      </c>
      <c r="D423">
        <v>80</v>
      </c>
      <c r="E423">
        <v>27.517</v>
      </c>
      <c r="F423">
        <v>77588.484</v>
      </c>
      <c r="G423">
        <v>77607.695</v>
      </c>
      <c r="H423">
        <v>77626.906</v>
      </c>
      <c r="I423">
        <v>1</v>
      </c>
      <c r="J423">
        <v>2</v>
      </c>
      <c r="K423">
        <v>0</v>
      </c>
      <c r="L423">
        <v>0.011</v>
      </c>
      <c r="M423">
        <v>445.204</v>
      </c>
      <c r="N423">
        <v>0.009</v>
      </c>
      <c r="O423">
        <v>0</v>
      </c>
      <c r="P423">
        <v>0.001</v>
      </c>
      <c r="Q423">
        <v>0.001</v>
      </c>
      <c r="R423">
        <v>0</v>
      </c>
      <c r="S423" t="s">
        <v>22</v>
      </c>
      <c r="T423" t="s">
        <v>22</v>
      </c>
      <c r="U423">
        <v>445.205</v>
      </c>
      <c r="V423">
        <v>441.29</v>
      </c>
    </row>
    <row r="424" spans="2:22">
      <c r="B424">
        <v>423</v>
      </c>
      <c r="C424" t="s">
        <v>444</v>
      </c>
      <c r="D424">
        <v>40</v>
      </c>
      <c r="E424">
        <v>41.946</v>
      </c>
      <c r="F424">
        <v>77719.93</v>
      </c>
      <c r="G424">
        <v>77734.57</v>
      </c>
      <c r="H424">
        <v>77749.211</v>
      </c>
      <c r="I424">
        <v>1</v>
      </c>
      <c r="J424">
        <v>2</v>
      </c>
      <c r="K424">
        <v>0</v>
      </c>
      <c r="L424">
        <v>0.025</v>
      </c>
      <c r="M424">
        <v>445.179</v>
      </c>
      <c r="N424">
        <v>0.021</v>
      </c>
      <c r="O424">
        <v>0</v>
      </c>
      <c r="P424">
        <v>0.001</v>
      </c>
      <c r="Q424">
        <v>0.003</v>
      </c>
      <c r="R424">
        <v>0</v>
      </c>
      <c r="S424" t="s">
        <v>22</v>
      </c>
      <c r="T424" t="s">
        <v>22</v>
      </c>
      <c r="U424">
        <v>445.18</v>
      </c>
      <c r="V424">
        <v>441.265</v>
      </c>
    </row>
    <row r="425" spans="2:22">
      <c r="B425">
        <v>424</v>
      </c>
      <c r="C425" t="s">
        <v>445</v>
      </c>
      <c r="D425">
        <v>40</v>
      </c>
      <c r="E425">
        <v>71.105</v>
      </c>
      <c r="F425">
        <v>77754.055</v>
      </c>
      <c r="G425">
        <v>77778.875</v>
      </c>
      <c r="H425">
        <v>77803.695</v>
      </c>
      <c r="I425">
        <v>1</v>
      </c>
      <c r="J425">
        <v>2</v>
      </c>
      <c r="K425">
        <v>0</v>
      </c>
      <c r="L425">
        <v>0.01</v>
      </c>
      <c r="M425">
        <v>445.169</v>
      </c>
      <c r="N425">
        <v>0.007</v>
      </c>
      <c r="O425">
        <v>0</v>
      </c>
      <c r="P425">
        <v>0.002</v>
      </c>
      <c r="Q425">
        <v>0.001</v>
      </c>
      <c r="R425">
        <v>0</v>
      </c>
      <c r="S425" t="s">
        <v>22</v>
      </c>
      <c r="T425" t="s">
        <v>22</v>
      </c>
      <c r="U425">
        <v>445.17</v>
      </c>
      <c r="V425">
        <v>441.255</v>
      </c>
    </row>
    <row r="426" spans="2:22">
      <c r="B426">
        <v>425</v>
      </c>
      <c r="C426" t="s">
        <v>446</v>
      </c>
      <c r="D426">
        <v>80</v>
      </c>
      <c r="E426">
        <v>18.96</v>
      </c>
      <c r="F426">
        <v>77857.008</v>
      </c>
      <c r="G426">
        <v>77870.242</v>
      </c>
      <c r="H426">
        <v>77883.484</v>
      </c>
      <c r="I426">
        <v>1</v>
      </c>
      <c r="J426">
        <v>2</v>
      </c>
      <c r="K426">
        <v>0</v>
      </c>
      <c r="L426">
        <v>0.018</v>
      </c>
      <c r="M426">
        <v>445.151</v>
      </c>
      <c r="N426">
        <v>0.015</v>
      </c>
      <c r="O426">
        <v>0</v>
      </c>
      <c r="P426">
        <v>0.001</v>
      </c>
      <c r="Q426">
        <v>0.002</v>
      </c>
      <c r="R426">
        <v>0</v>
      </c>
      <c r="S426" t="s">
        <v>22</v>
      </c>
      <c r="T426" t="s">
        <v>22</v>
      </c>
      <c r="U426">
        <v>445.151</v>
      </c>
      <c r="V426">
        <v>441.236</v>
      </c>
    </row>
    <row r="427" spans="2:22">
      <c r="B427">
        <v>426</v>
      </c>
      <c r="C427" t="s">
        <v>447</v>
      </c>
      <c r="D427">
        <v>0</v>
      </c>
      <c r="E427">
        <v>0</v>
      </c>
      <c r="F427">
        <v>77946.805</v>
      </c>
      <c r="G427">
        <v>77946.805</v>
      </c>
      <c r="H427">
        <v>77946.805</v>
      </c>
      <c r="I427">
        <v>3</v>
      </c>
      <c r="J427">
        <v>1</v>
      </c>
      <c r="K427">
        <v>1</v>
      </c>
      <c r="L427">
        <v>0.018</v>
      </c>
      <c r="M427">
        <v>445.133</v>
      </c>
      <c r="N427">
        <v>0.012</v>
      </c>
      <c r="O427">
        <v>0.004</v>
      </c>
      <c r="P427">
        <v>0</v>
      </c>
      <c r="Q427">
        <v>0.001</v>
      </c>
      <c r="R427">
        <v>0</v>
      </c>
      <c r="S427">
        <v>445.137</v>
      </c>
      <c r="T427">
        <v>441.222</v>
      </c>
      <c r="U427">
        <v>445.133</v>
      </c>
      <c r="V427">
        <v>441.244</v>
      </c>
    </row>
    <row r="428" spans="2:22">
      <c r="B428">
        <v>427</v>
      </c>
      <c r="C428" t="s">
        <v>448</v>
      </c>
      <c r="D428">
        <v>80</v>
      </c>
      <c r="E428">
        <v>35.601</v>
      </c>
      <c r="F428">
        <v>78024.539</v>
      </c>
      <c r="G428">
        <v>78049.398</v>
      </c>
      <c r="H428">
        <v>78074.25</v>
      </c>
      <c r="I428">
        <v>3</v>
      </c>
      <c r="J428">
        <v>1</v>
      </c>
      <c r="K428">
        <v>0</v>
      </c>
      <c r="L428">
        <v>0.02</v>
      </c>
      <c r="M428">
        <v>445.113</v>
      </c>
      <c r="N428">
        <v>0.019</v>
      </c>
      <c r="O428">
        <v>0</v>
      </c>
      <c r="P428">
        <v>0.002</v>
      </c>
      <c r="Q428">
        <v>0</v>
      </c>
      <c r="R428">
        <v>0</v>
      </c>
      <c r="S428" t="s">
        <v>22</v>
      </c>
      <c r="T428" t="s">
        <v>22</v>
      </c>
      <c r="U428">
        <v>445.114</v>
      </c>
      <c r="V428">
        <v>441.225</v>
      </c>
    </row>
    <row r="429" spans="2:22">
      <c r="B429">
        <v>428</v>
      </c>
      <c r="C429" t="s">
        <v>449</v>
      </c>
      <c r="D429">
        <v>0</v>
      </c>
      <c r="E429">
        <v>0</v>
      </c>
      <c r="F429">
        <v>78543.797</v>
      </c>
      <c r="G429">
        <v>78543.797</v>
      </c>
      <c r="H429">
        <v>78543.797</v>
      </c>
      <c r="I429">
        <v>3</v>
      </c>
      <c r="J429">
        <v>1</v>
      </c>
      <c r="K429">
        <v>2</v>
      </c>
      <c r="L429">
        <v>0.088</v>
      </c>
      <c r="M429">
        <v>445.025</v>
      </c>
      <c r="N429">
        <v>0.09</v>
      </c>
      <c r="O429">
        <v>-0.002</v>
      </c>
      <c r="P429">
        <v>0</v>
      </c>
      <c r="Q429">
        <v>0</v>
      </c>
      <c r="R429">
        <v>0</v>
      </c>
      <c r="S429">
        <v>445.025</v>
      </c>
      <c r="T429">
        <v>441.11</v>
      </c>
      <c r="U429">
        <v>445.023</v>
      </c>
      <c r="V429">
        <v>441.134</v>
      </c>
    </row>
    <row r="430" spans="2:22">
      <c r="B430">
        <v>429</v>
      </c>
      <c r="C430" t="s">
        <v>450</v>
      </c>
      <c r="D430">
        <v>80</v>
      </c>
      <c r="E430">
        <v>13.457</v>
      </c>
      <c r="F430">
        <v>78575.391</v>
      </c>
      <c r="G430">
        <v>78584.781</v>
      </c>
      <c r="H430">
        <v>78594.18</v>
      </c>
      <c r="I430">
        <v>1</v>
      </c>
      <c r="J430">
        <v>2</v>
      </c>
      <c r="K430">
        <v>0</v>
      </c>
      <c r="L430">
        <v>0.007</v>
      </c>
      <c r="M430">
        <v>445.018</v>
      </c>
      <c r="N430">
        <v>0.006</v>
      </c>
      <c r="O430">
        <v>0</v>
      </c>
      <c r="P430">
        <v>0.001</v>
      </c>
      <c r="Q430">
        <v>0.001</v>
      </c>
      <c r="R430">
        <v>0</v>
      </c>
      <c r="S430" t="s">
        <v>22</v>
      </c>
      <c r="T430" t="s">
        <v>22</v>
      </c>
      <c r="U430">
        <v>445.018</v>
      </c>
      <c r="V430">
        <v>441.103</v>
      </c>
    </row>
    <row r="431" spans="2:22">
      <c r="B431">
        <v>430</v>
      </c>
      <c r="C431" t="s">
        <v>451</v>
      </c>
      <c r="D431">
        <v>80</v>
      </c>
      <c r="E431">
        <v>29.196</v>
      </c>
      <c r="F431">
        <v>78658.336</v>
      </c>
      <c r="G431">
        <v>78678.719</v>
      </c>
      <c r="H431">
        <v>78699.102</v>
      </c>
      <c r="I431">
        <v>1</v>
      </c>
      <c r="J431">
        <v>2</v>
      </c>
      <c r="K431">
        <v>0</v>
      </c>
      <c r="L431">
        <v>0.019</v>
      </c>
      <c r="M431">
        <v>444.999</v>
      </c>
      <c r="N431">
        <v>0.016</v>
      </c>
      <c r="O431">
        <v>0</v>
      </c>
      <c r="P431">
        <v>0.001</v>
      </c>
      <c r="Q431">
        <v>0.002</v>
      </c>
      <c r="R431">
        <v>0</v>
      </c>
      <c r="S431" t="s">
        <v>22</v>
      </c>
      <c r="T431" t="s">
        <v>22</v>
      </c>
      <c r="U431">
        <v>445</v>
      </c>
      <c r="V431">
        <v>441.085</v>
      </c>
    </row>
    <row r="432" spans="2:22">
      <c r="B432">
        <v>431</v>
      </c>
      <c r="C432" t="s">
        <v>452</v>
      </c>
      <c r="D432">
        <v>80</v>
      </c>
      <c r="E432">
        <v>33.037</v>
      </c>
      <c r="F432">
        <v>78701.898</v>
      </c>
      <c r="G432">
        <v>78724.961</v>
      </c>
      <c r="H432">
        <v>78748.031</v>
      </c>
      <c r="I432">
        <v>1</v>
      </c>
      <c r="J432">
        <v>2</v>
      </c>
      <c r="K432">
        <v>0</v>
      </c>
      <c r="L432">
        <v>0.01</v>
      </c>
      <c r="M432">
        <v>444.989</v>
      </c>
      <c r="N432">
        <v>0.008</v>
      </c>
      <c r="O432">
        <v>0</v>
      </c>
      <c r="P432">
        <v>0.001</v>
      </c>
      <c r="Q432">
        <v>0.001</v>
      </c>
      <c r="R432">
        <v>0</v>
      </c>
      <c r="S432" t="s">
        <v>22</v>
      </c>
      <c r="T432" t="s">
        <v>22</v>
      </c>
      <c r="U432">
        <v>444.99</v>
      </c>
      <c r="V432">
        <v>441.075</v>
      </c>
    </row>
    <row r="433" spans="2:22">
      <c r="B433">
        <v>432</v>
      </c>
      <c r="C433" t="s">
        <v>453</v>
      </c>
      <c r="D433">
        <v>40</v>
      </c>
      <c r="E433">
        <v>34.208</v>
      </c>
      <c r="F433">
        <v>78770.938</v>
      </c>
      <c r="G433">
        <v>78782.883</v>
      </c>
      <c r="H433">
        <v>78794.82</v>
      </c>
      <c r="I433">
        <v>1</v>
      </c>
      <c r="J433">
        <v>2</v>
      </c>
      <c r="K433">
        <v>0</v>
      </c>
      <c r="L433">
        <v>0.012</v>
      </c>
      <c r="M433">
        <v>444.977</v>
      </c>
      <c r="N433">
        <v>0.01</v>
      </c>
      <c r="O433">
        <v>0</v>
      </c>
      <c r="P433">
        <v>0.001</v>
      </c>
      <c r="Q433">
        <v>0.001</v>
      </c>
      <c r="R433">
        <v>0</v>
      </c>
      <c r="S433" t="s">
        <v>22</v>
      </c>
      <c r="T433" t="s">
        <v>22</v>
      </c>
      <c r="U433">
        <v>444.978</v>
      </c>
      <c r="V433">
        <v>441.062</v>
      </c>
    </row>
    <row r="434" spans="2:22">
      <c r="B434">
        <v>433</v>
      </c>
      <c r="C434" t="s">
        <v>454</v>
      </c>
      <c r="D434">
        <v>0</v>
      </c>
      <c r="E434">
        <v>0</v>
      </c>
      <c r="F434">
        <v>78804.016</v>
      </c>
      <c r="G434">
        <v>78804.016</v>
      </c>
      <c r="H434">
        <v>78804.016</v>
      </c>
      <c r="I434">
        <v>3</v>
      </c>
      <c r="J434">
        <v>1</v>
      </c>
      <c r="K434">
        <v>1</v>
      </c>
      <c r="L434">
        <v>0.007</v>
      </c>
      <c r="M434">
        <v>444.97</v>
      </c>
      <c r="N434">
        <v>0.003</v>
      </c>
      <c r="O434">
        <v>0.004</v>
      </c>
      <c r="P434">
        <v>0</v>
      </c>
      <c r="Q434">
        <v>0</v>
      </c>
      <c r="R434">
        <v>0</v>
      </c>
      <c r="S434">
        <v>444.974</v>
      </c>
      <c r="T434">
        <v>441.059</v>
      </c>
      <c r="U434">
        <v>444.97</v>
      </c>
      <c r="V434">
        <v>441.081</v>
      </c>
    </row>
    <row r="435" spans="2:22">
      <c r="B435">
        <v>434</v>
      </c>
      <c r="C435" t="s">
        <v>455</v>
      </c>
      <c r="D435">
        <v>80</v>
      </c>
      <c r="E435">
        <v>14.992</v>
      </c>
      <c r="F435">
        <v>78937.906</v>
      </c>
      <c r="G435">
        <v>78948.375</v>
      </c>
      <c r="H435">
        <v>78958.844</v>
      </c>
      <c r="I435">
        <v>3</v>
      </c>
      <c r="J435">
        <v>1</v>
      </c>
      <c r="K435">
        <v>0</v>
      </c>
      <c r="L435">
        <v>0.027</v>
      </c>
      <c r="M435">
        <v>444.943</v>
      </c>
      <c r="N435">
        <v>0.026</v>
      </c>
      <c r="O435">
        <v>0</v>
      </c>
      <c r="P435">
        <v>0.001</v>
      </c>
      <c r="Q435">
        <v>0</v>
      </c>
      <c r="R435">
        <v>0</v>
      </c>
      <c r="S435" t="s">
        <v>22</v>
      </c>
      <c r="T435" t="s">
        <v>22</v>
      </c>
      <c r="U435">
        <v>444.943</v>
      </c>
      <c r="V435">
        <v>441.054</v>
      </c>
    </row>
    <row r="436" spans="2:22">
      <c r="B436">
        <v>435</v>
      </c>
      <c r="C436" t="s">
        <v>456</v>
      </c>
      <c r="D436">
        <v>0</v>
      </c>
      <c r="E436">
        <v>0</v>
      </c>
      <c r="F436">
        <v>79200.766</v>
      </c>
      <c r="G436">
        <v>79200.766</v>
      </c>
      <c r="H436">
        <v>79200.766</v>
      </c>
      <c r="I436">
        <v>3</v>
      </c>
      <c r="J436">
        <v>1</v>
      </c>
      <c r="K436">
        <v>2</v>
      </c>
      <c r="L436">
        <v>0.044</v>
      </c>
      <c r="M436">
        <v>444.899</v>
      </c>
      <c r="N436">
        <v>0.046</v>
      </c>
      <c r="O436">
        <v>-0.002</v>
      </c>
      <c r="P436">
        <v>0</v>
      </c>
      <c r="Q436">
        <v>0</v>
      </c>
      <c r="R436">
        <v>0</v>
      </c>
      <c r="S436">
        <v>444.899</v>
      </c>
      <c r="T436">
        <v>440.984</v>
      </c>
      <c r="U436">
        <v>444.897</v>
      </c>
      <c r="V436">
        <v>441.008</v>
      </c>
    </row>
    <row r="437" spans="2:22">
      <c r="B437">
        <v>436</v>
      </c>
      <c r="C437" t="s">
        <v>457</v>
      </c>
      <c r="D437">
        <v>80</v>
      </c>
      <c r="E437">
        <v>14.775</v>
      </c>
      <c r="F437">
        <v>79225.32</v>
      </c>
      <c r="G437">
        <v>79235.633</v>
      </c>
      <c r="H437">
        <v>79245.945</v>
      </c>
      <c r="I437">
        <v>1</v>
      </c>
      <c r="J437">
        <v>2</v>
      </c>
      <c r="K437">
        <v>0</v>
      </c>
      <c r="L437">
        <v>0.006</v>
      </c>
      <c r="M437">
        <v>444.893</v>
      </c>
      <c r="N437">
        <v>0.005</v>
      </c>
      <c r="O437">
        <v>0</v>
      </c>
      <c r="P437">
        <v>0.001</v>
      </c>
      <c r="Q437">
        <v>0.001</v>
      </c>
      <c r="R437">
        <v>0</v>
      </c>
      <c r="S437" t="s">
        <v>22</v>
      </c>
      <c r="T437" t="s">
        <v>22</v>
      </c>
      <c r="U437">
        <v>444.893</v>
      </c>
      <c r="V437">
        <v>440.978</v>
      </c>
    </row>
    <row r="438" spans="2:22">
      <c r="B438">
        <v>437</v>
      </c>
      <c r="C438" t="s">
        <v>458</v>
      </c>
      <c r="D438">
        <v>0</v>
      </c>
      <c r="E438">
        <v>0</v>
      </c>
      <c r="F438">
        <v>79260.25</v>
      </c>
      <c r="G438">
        <v>79260.25</v>
      </c>
      <c r="H438">
        <v>79260.25</v>
      </c>
      <c r="I438">
        <v>2</v>
      </c>
      <c r="J438">
        <v>1</v>
      </c>
      <c r="K438">
        <v>1</v>
      </c>
      <c r="L438">
        <v>0.048</v>
      </c>
      <c r="M438">
        <v>444.845</v>
      </c>
      <c r="N438">
        <v>0.003</v>
      </c>
      <c r="O438">
        <v>0.044</v>
      </c>
      <c r="P438">
        <v>0</v>
      </c>
      <c r="Q438">
        <v>0</v>
      </c>
      <c r="R438">
        <v>0</v>
      </c>
      <c r="S438">
        <v>444.889</v>
      </c>
      <c r="T438">
        <v>440.974</v>
      </c>
      <c r="U438">
        <v>444.845</v>
      </c>
      <c r="V438">
        <v>441.298</v>
      </c>
    </row>
    <row r="439" spans="2:22">
      <c r="B439">
        <v>438</v>
      </c>
      <c r="C439" t="s">
        <v>459</v>
      </c>
      <c r="D439">
        <v>0</v>
      </c>
      <c r="E439">
        <v>0</v>
      </c>
      <c r="F439">
        <v>79509.352</v>
      </c>
      <c r="G439">
        <v>79509.352</v>
      </c>
      <c r="H439">
        <v>79509.352</v>
      </c>
      <c r="I439">
        <v>2</v>
      </c>
      <c r="J439">
        <v>1</v>
      </c>
      <c r="K439">
        <v>2</v>
      </c>
      <c r="L439">
        <v>0.048</v>
      </c>
      <c r="M439">
        <v>444.797</v>
      </c>
      <c r="N439">
        <v>0.071</v>
      </c>
      <c r="O439">
        <v>-0.023</v>
      </c>
      <c r="P439">
        <v>0</v>
      </c>
      <c r="Q439">
        <v>0</v>
      </c>
      <c r="R439">
        <v>0</v>
      </c>
      <c r="S439">
        <v>444.797</v>
      </c>
      <c r="T439">
        <v>440.882</v>
      </c>
      <c r="U439">
        <v>444.774</v>
      </c>
      <c r="V439">
        <v>441.227</v>
      </c>
    </row>
    <row r="440" spans="2:22">
      <c r="B440">
        <v>439</v>
      </c>
      <c r="C440" t="s">
        <v>460</v>
      </c>
      <c r="D440">
        <v>80</v>
      </c>
      <c r="E440">
        <v>25.863</v>
      </c>
      <c r="F440">
        <v>79517.094</v>
      </c>
      <c r="G440">
        <v>79535.148</v>
      </c>
      <c r="H440">
        <v>79553.203</v>
      </c>
      <c r="I440">
        <v>1</v>
      </c>
      <c r="J440">
        <v>2</v>
      </c>
      <c r="K440">
        <v>0</v>
      </c>
      <c r="L440">
        <v>0.005</v>
      </c>
      <c r="M440">
        <v>444.792</v>
      </c>
      <c r="N440">
        <v>0.003</v>
      </c>
      <c r="O440">
        <v>0</v>
      </c>
      <c r="P440">
        <v>0.001</v>
      </c>
      <c r="Q440">
        <v>0</v>
      </c>
      <c r="R440">
        <v>0</v>
      </c>
      <c r="S440" t="s">
        <v>22</v>
      </c>
      <c r="T440" t="s">
        <v>22</v>
      </c>
      <c r="U440">
        <v>444.792</v>
      </c>
      <c r="V440">
        <v>440.877</v>
      </c>
    </row>
    <row r="441" spans="2:22">
      <c r="B441">
        <v>440</v>
      </c>
      <c r="C441" t="s">
        <v>461</v>
      </c>
      <c r="D441">
        <v>0</v>
      </c>
      <c r="E441">
        <v>0</v>
      </c>
      <c r="F441">
        <v>79578.078</v>
      </c>
      <c r="G441">
        <v>79578.078</v>
      </c>
      <c r="H441">
        <v>79578.078</v>
      </c>
      <c r="I441">
        <v>3</v>
      </c>
      <c r="J441">
        <v>1</v>
      </c>
      <c r="K441">
        <v>1</v>
      </c>
      <c r="L441">
        <v>0.011</v>
      </c>
      <c r="M441">
        <v>444.781</v>
      </c>
      <c r="N441">
        <v>0.006</v>
      </c>
      <c r="O441">
        <v>0.004</v>
      </c>
      <c r="P441">
        <v>0</v>
      </c>
      <c r="Q441">
        <v>0.001</v>
      </c>
      <c r="R441">
        <v>0</v>
      </c>
      <c r="S441">
        <v>444.785</v>
      </c>
      <c r="T441">
        <v>440.87</v>
      </c>
      <c r="U441">
        <v>444.781</v>
      </c>
      <c r="V441">
        <v>440.892</v>
      </c>
    </row>
    <row r="442" spans="2:22">
      <c r="B442">
        <v>441</v>
      </c>
      <c r="C442" t="s">
        <v>462</v>
      </c>
      <c r="D442">
        <v>80</v>
      </c>
      <c r="E442">
        <v>45.895</v>
      </c>
      <c r="F442">
        <v>80134.719</v>
      </c>
      <c r="G442">
        <v>80166.766</v>
      </c>
      <c r="H442">
        <v>80198.805</v>
      </c>
      <c r="I442">
        <v>3</v>
      </c>
      <c r="J442">
        <v>1</v>
      </c>
      <c r="K442">
        <v>0</v>
      </c>
      <c r="L442">
        <v>0.109</v>
      </c>
      <c r="M442">
        <v>444.671</v>
      </c>
      <c r="N442">
        <v>0.107</v>
      </c>
      <c r="O442">
        <v>0</v>
      </c>
      <c r="P442">
        <v>0.002</v>
      </c>
      <c r="Q442">
        <v>0</v>
      </c>
      <c r="R442">
        <v>0</v>
      </c>
      <c r="S442" t="s">
        <v>22</v>
      </c>
      <c r="T442" t="s">
        <v>22</v>
      </c>
      <c r="U442">
        <v>444.672</v>
      </c>
      <c r="V442">
        <v>440.783</v>
      </c>
    </row>
    <row r="443" spans="2:22">
      <c r="B443">
        <v>442</v>
      </c>
      <c r="C443" t="s">
        <v>463</v>
      </c>
      <c r="D443">
        <v>80</v>
      </c>
      <c r="E443">
        <v>29.619</v>
      </c>
      <c r="F443">
        <v>80781.422</v>
      </c>
      <c r="G443">
        <v>80802.094</v>
      </c>
      <c r="H443">
        <v>80822.773</v>
      </c>
      <c r="I443">
        <v>3</v>
      </c>
      <c r="J443">
        <v>1</v>
      </c>
      <c r="K443">
        <v>0</v>
      </c>
      <c r="L443">
        <v>0.117</v>
      </c>
      <c r="M443">
        <v>444.555</v>
      </c>
      <c r="N443">
        <v>0.116</v>
      </c>
      <c r="O443">
        <v>0</v>
      </c>
      <c r="P443">
        <v>0.001</v>
      </c>
      <c r="Q443">
        <v>0</v>
      </c>
      <c r="R443">
        <v>0</v>
      </c>
      <c r="S443" t="s">
        <v>22</v>
      </c>
      <c r="T443" t="s">
        <v>22</v>
      </c>
      <c r="U443">
        <v>444.555</v>
      </c>
      <c r="V443">
        <v>440.666</v>
      </c>
    </row>
    <row r="444" spans="2:22">
      <c r="B444">
        <v>443</v>
      </c>
      <c r="C444" t="s">
        <v>464</v>
      </c>
      <c r="D444">
        <v>0</v>
      </c>
      <c r="E444">
        <v>0</v>
      </c>
      <c r="F444">
        <v>80952.617</v>
      </c>
      <c r="G444">
        <v>80952.617</v>
      </c>
      <c r="H444">
        <v>80952.617</v>
      </c>
      <c r="I444">
        <v>3</v>
      </c>
      <c r="J444">
        <v>1</v>
      </c>
      <c r="K444">
        <v>2</v>
      </c>
      <c r="L444">
        <v>0.025</v>
      </c>
      <c r="M444">
        <v>444.529</v>
      </c>
      <c r="N444">
        <v>0.027</v>
      </c>
      <c r="O444">
        <v>-0.002</v>
      </c>
      <c r="P444">
        <v>0</v>
      </c>
      <c r="Q444">
        <v>0</v>
      </c>
      <c r="R444">
        <v>0</v>
      </c>
      <c r="S444">
        <v>444.529</v>
      </c>
      <c r="T444">
        <v>440.614</v>
      </c>
      <c r="U444">
        <v>444.527</v>
      </c>
      <c r="V444">
        <v>440.638</v>
      </c>
    </row>
    <row r="445" spans="2:22">
      <c r="B445">
        <v>444</v>
      </c>
      <c r="C445" t="s">
        <v>465</v>
      </c>
      <c r="D445">
        <v>0</v>
      </c>
      <c r="E445">
        <v>0</v>
      </c>
      <c r="F445">
        <v>81003.945</v>
      </c>
      <c r="G445">
        <v>81003.945</v>
      </c>
      <c r="H445">
        <v>81003.945</v>
      </c>
      <c r="I445">
        <v>2</v>
      </c>
      <c r="J445">
        <v>1</v>
      </c>
      <c r="K445">
        <v>1</v>
      </c>
      <c r="L445">
        <v>0.052</v>
      </c>
      <c r="M445">
        <v>444.477</v>
      </c>
      <c r="N445">
        <v>0.007</v>
      </c>
      <c r="O445">
        <v>0.044</v>
      </c>
      <c r="P445">
        <v>0</v>
      </c>
      <c r="Q445">
        <v>0.001</v>
      </c>
      <c r="R445">
        <v>0</v>
      </c>
      <c r="S445">
        <v>444.522</v>
      </c>
      <c r="T445">
        <v>440.607</v>
      </c>
      <c r="U445">
        <v>444.477</v>
      </c>
      <c r="V445">
        <v>440.93</v>
      </c>
    </row>
    <row r="446" spans="2:22">
      <c r="B446">
        <v>445</v>
      </c>
      <c r="C446" t="s">
        <v>466</v>
      </c>
      <c r="D446">
        <v>0</v>
      </c>
      <c r="E446">
        <v>0</v>
      </c>
      <c r="F446">
        <v>81133.641</v>
      </c>
      <c r="G446">
        <v>81133.641</v>
      </c>
      <c r="H446">
        <v>81133.641</v>
      </c>
      <c r="I446">
        <v>2</v>
      </c>
      <c r="J446">
        <v>1</v>
      </c>
      <c r="K446">
        <v>2</v>
      </c>
      <c r="L446">
        <v>0.014</v>
      </c>
      <c r="M446">
        <v>444.464</v>
      </c>
      <c r="N446">
        <v>0.037</v>
      </c>
      <c r="O446">
        <v>-0.023</v>
      </c>
      <c r="P446">
        <v>0</v>
      </c>
      <c r="Q446">
        <v>0</v>
      </c>
      <c r="R446">
        <v>0</v>
      </c>
      <c r="S446">
        <v>444.464</v>
      </c>
      <c r="T446">
        <v>440.548</v>
      </c>
      <c r="U446">
        <v>444.44</v>
      </c>
      <c r="V446">
        <v>440.893</v>
      </c>
    </row>
    <row r="447" spans="2:22">
      <c r="B447">
        <v>446</v>
      </c>
      <c r="C447" t="s">
        <v>467</v>
      </c>
      <c r="D447">
        <v>0</v>
      </c>
      <c r="E447">
        <v>0</v>
      </c>
      <c r="F447">
        <v>81157.703</v>
      </c>
      <c r="G447">
        <v>81157.703</v>
      </c>
      <c r="H447">
        <v>81157.703</v>
      </c>
      <c r="I447">
        <v>3</v>
      </c>
      <c r="J447">
        <v>1</v>
      </c>
      <c r="K447">
        <v>1</v>
      </c>
      <c r="L447">
        <v>0.007</v>
      </c>
      <c r="M447">
        <v>444.457</v>
      </c>
      <c r="N447">
        <v>0.002</v>
      </c>
      <c r="O447">
        <v>0.004</v>
      </c>
      <c r="P447">
        <v>0</v>
      </c>
      <c r="Q447">
        <v>0</v>
      </c>
      <c r="R447">
        <v>0</v>
      </c>
      <c r="S447">
        <v>444.461</v>
      </c>
      <c r="T447">
        <v>440.546</v>
      </c>
      <c r="U447">
        <v>444.457</v>
      </c>
      <c r="V447">
        <v>440.568</v>
      </c>
    </row>
    <row r="448" spans="2:22">
      <c r="B448">
        <v>447</v>
      </c>
      <c r="C448" t="s">
        <v>468</v>
      </c>
      <c r="D448">
        <v>80</v>
      </c>
      <c r="E448">
        <v>16.126</v>
      </c>
      <c r="F448">
        <v>81255.32</v>
      </c>
      <c r="G448">
        <v>81266.578</v>
      </c>
      <c r="H448">
        <v>81277.836</v>
      </c>
      <c r="I448">
        <v>3</v>
      </c>
      <c r="J448">
        <v>1</v>
      </c>
      <c r="K448">
        <v>0</v>
      </c>
      <c r="L448">
        <v>0.021</v>
      </c>
      <c r="M448">
        <v>444.436</v>
      </c>
      <c r="N448">
        <v>0.02</v>
      </c>
      <c r="O448">
        <v>0</v>
      </c>
      <c r="P448">
        <v>0.001</v>
      </c>
      <c r="Q448">
        <v>0</v>
      </c>
      <c r="R448">
        <v>0</v>
      </c>
      <c r="S448" t="s">
        <v>22</v>
      </c>
      <c r="T448" t="s">
        <v>22</v>
      </c>
      <c r="U448">
        <v>444.436</v>
      </c>
      <c r="V448">
        <v>440.547</v>
      </c>
    </row>
    <row r="449" spans="2:22">
      <c r="B449">
        <v>448</v>
      </c>
      <c r="C449" t="s">
        <v>469</v>
      </c>
      <c r="D449">
        <v>80</v>
      </c>
      <c r="E449">
        <v>34.905</v>
      </c>
      <c r="F449">
        <v>81888.477</v>
      </c>
      <c r="G449">
        <v>81912.852</v>
      </c>
      <c r="H449">
        <v>81937.219</v>
      </c>
      <c r="I449">
        <v>3</v>
      </c>
      <c r="J449">
        <v>1</v>
      </c>
      <c r="K449">
        <v>0</v>
      </c>
      <c r="L449">
        <v>0.119</v>
      </c>
      <c r="M449">
        <v>444.317</v>
      </c>
      <c r="N449">
        <v>0.118</v>
      </c>
      <c r="O449">
        <v>0</v>
      </c>
      <c r="P449">
        <v>0.002</v>
      </c>
      <c r="Q449">
        <v>0</v>
      </c>
      <c r="R449">
        <v>0</v>
      </c>
      <c r="S449" t="s">
        <v>22</v>
      </c>
      <c r="T449" t="s">
        <v>22</v>
      </c>
      <c r="U449">
        <v>444.318</v>
      </c>
      <c r="V449">
        <v>440.429</v>
      </c>
    </row>
    <row r="450" spans="2:22">
      <c r="B450">
        <v>449</v>
      </c>
      <c r="C450" t="s">
        <v>470</v>
      </c>
      <c r="D450">
        <v>0</v>
      </c>
      <c r="E450">
        <v>0</v>
      </c>
      <c r="F450">
        <v>82013.875</v>
      </c>
      <c r="G450">
        <v>82013.875</v>
      </c>
      <c r="H450">
        <v>82013.875</v>
      </c>
      <c r="I450">
        <v>3</v>
      </c>
      <c r="J450">
        <v>1</v>
      </c>
      <c r="K450">
        <v>2</v>
      </c>
      <c r="L450">
        <v>0.016</v>
      </c>
      <c r="M450">
        <v>444.301</v>
      </c>
      <c r="N450">
        <v>0.018</v>
      </c>
      <c r="O450">
        <v>-0.002</v>
      </c>
      <c r="P450">
        <v>0</v>
      </c>
      <c r="Q450">
        <v>0</v>
      </c>
      <c r="R450">
        <v>0</v>
      </c>
      <c r="S450">
        <v>444.301</v>
      </c>
      <c r="T450">
        <v>440.386</v>
      </c>
      <c r="U450">
        <v>444.299</v>
      </c>
      <c r="V450">
        <v>440.41</v>
      </c>
    </row>
    <row r="451" spans="2:22">
      <c r="B451">
        <v>450</v>
      </c>
      <c r="C451" t="s">
        <v>471</v>
      </c>
      <c r="D451">
        <v>0</v>
      </c>
      <c r="E451">
        <v>0</v>
      </c>
      <c r="F451">
        <v>82029.234</v>
      </c>
      <c r="G451">
        <v>82029.234</v>
      </c>
      <c r="H451">
        <v>82029.234</v>
      </c>
      <c r="I451">
        <v>1</v>
      </c>
      <c r="J451">
        <v>4</v>
      </c>
      <c r="K451">
        <v>1</v>
      </c>
      <c r="L451">
        <v>0.001</v>
      </c>
      <c r="M451">
        <v>444.3</v>
      </c>
      <c r="N451">
        <v>0.001</v>
      </c>
      <c r="O451">
        <v>0</v>
      </c>
      <c r="P451">
        <v>0</v>
      </c>
      <c r="Q451">
        <v>0</v>
      </c>
      <c r="R451">
        <v>0</v>
      </c>
      <c r="S451">
        <v>444.3</v>
      </c>
      <c r="T451">
        <v>440.385</v>
      </c>
      <c r="U451">
        <v>444.3</v>
      </c>
      <c r="V451">
        <v>440.385</v>
      </c>
    </row>
    <row r="452" spans="2:22">
      <c r="B452">
        <v>451</v>
      </c>
      <c r="C452" t="s">
        <v>472</v>
      </c>
      <c r="D452">
        <v>0</v>
      </c>
      <c r="E452">
        <v>0</v>
      </c>
      <c r="F452">
        <v>82029.234</v>
      </c>
      <c r="G452">
        <v>82029.234</v>
      </c>
      <c r="H452">
        <v>82029.234</v>
      </c>
      <c r="I452">
        <v>1</v>
      </c>
      <c r="J452">
        <v>4</v>
      </c>
      <c r="K452">
        <v>2</v>
      </c>
      <c r="L452">
        <v>0.03</v>
      </c>
      <c r="M452">
        <v>444.27</v>
      </c>
      <c r="N452">
        <v>0</v>
      </c>
      <c r="O452">
        <v>0</v>
      </c>
      <c r="P452">
        <v>0</v>
      </c>
      <c r="Q452">
        <v>0</v>
      </c>
      <c r="R452">
        <v>0.03</v>
      </c>
      <c r="S452">
        <v>444.27</v>
      </c>
      <c r="T452">
        <v>440.355</v>
      </c>
      <c r="U452">
        <v>444.27</v>
      </c>
      <c r="V452">
        <v>440.355</v>
      </c>
    </row>
    <row r="453" spans="2:22">
      <c r="B453">
        <v>452</v>
      </c>
      <c r="C453" t="s">
        <v>473</v>
      </c>
      <c r="D453">
        <v>0</v>
      </c>
      <c r="E453">
        <v>0</v>
      </c>
      <c r="F453">
        <v>82086.359</v>
      </c>
      <c r="G453">
        <v>82086.359</v>
      </c>
      <c r="H453">
        <v>82086.359</v>
      </c>
      <c r="I453">
        <v>2</v>
      </c>
      <c r="J453">
        <v>1</v>
      </c>
      <c r="K453">
        <v>1</v>
      </c>
      <c r="L453">
        <v>0.053</v>
      </c>
      <c r="M453">
        <v>444.217</v>
      </c>
      <c r="N453">
        <v>0.008</v>
      </c>
      <c r="O453">
        <v>0.044</v>
      </c>
      <c r="P453">
        <v>0</v>
      </c>
      <c r="Q453">
        <v>0.001</v>
      </c>
      <c r="R453">
        <v>0</v>
      </c>
      <c r="S453">
        <v>444.261</v>
      </c>
      <c r="T453">
        <v>440.346</v>
      </c>
      <c r="U453">
        <v>444.217</v>
      </c>
      <c r="V453">
        <v>440.67</v>
      </c>
    </row>
    <row r="454" spans="2:22">
      <c r="B454">
        <v>453</v>
      </c>
      <c r="C454" t="s">
        <v>474</v>
      </c>
      <c r="D454">
        <v>0</v>
      </c>
      <c r="E454">
        <v>0</v>
      </c>
      <c r="F454">
        <v>82335.227</v>
      </c>
      <c r="G454">
        <v>82335.227</v>
      </c>
      <c r="H454">
        <v>82335.227</v>
      </c>
      <c r="I454">
        <v>2</v>
      </c>
      <c r="J454">
        <v>1</v>
      </c>
      <c r="K454">
        <v>2</v>
      </c>
      <c r="L454">
        <v>0.048</v>
      </c>
      <c r="M454">
        <v>444.169</v>
      </c>
      <c r="N454">
        <v>0.071</v>
      </c>
      <c r="O454">
        <v>-0.023</v>
      </c>
      <c r="P454">
        <v>0</v>
      </c>
      <c r="Q454">
        <v>0</v>
      </c>
      <c r="R454">
        <v>0</v>
      </c>
      <c r="S454">
        <v>444.169</v>
      </c>
      <c r="T454">
        <v>440.254</v>
      </c>
      <c r="U454">
        <v>444.146</v>
      </c>
      <c r="V454">
        <v>440.599</v>
      </c>
    </row>
    <row r="455" spans="2:22">
      <c r="B455">
        <v>454</v>
      </c>
      <c r="C455" t="s">
        <v>475</v>
      </c>
      <c r="D455">
        <v>80</v>
      </c>
      <c r="E455">
        <v>28.417</v>
      </c>
      <c r="F455">
        <v>82392.641</v>
      </c>
      <c r="G455">
        <v>82412.484</v>
      </c>
      <c r="H455">
        <v>82432.32</v>
      </c>
      <c r="I455">
        <v>1</v>
      </c>
      <c r="J455">
        <v>2</v>
      </c>
      <c r="K455">
        <v>0</v>
      </c>
      <c r="L455">
        <v>0.015</v>
      </c>
      <c r="M455">
        <v>444.154</v>
      </c>
      <c r="N455">
        <v>0.012</v>
      </c>
      <c r="O455">
        <v>0</v>
      </c>
      <c r="P455">
        <v>0.001</v>
      </c>
      <c r="Q455">
        <v>0.001</v>
      </c>
      <c r="R455">
        <v>0</v>
      </c>
      <c r="S455" t="s">
        <v>22</v>
      </c>
      <c r="T455" t="s">
        <v>22</v>
      </c>
      <c r="U455">
        <v>444.155</v>
      </c>
      <c r="V455">
        <v>440.24</v>
      </c>
    </row>
    <row r="456" spans="2:22">
      <c r="B456">
        <v>455</v>
      </c>
      <c r="C456" t="s">
        <v>476</v>
      </c>
      <c r="D456">
        <v>0</v>
      </c>
      <c r="E456">
        <v>0</v>
      </c>
      <c r="F456">
        <v>82463.766</v>
      </c>
      <c r="G456">
        <v>82463.766</v>
      </c>
      <c r="H456">
        <v>82463.766</v>
      </c>
      <c r="I456">
        <v>3</v>
      </c>
      <c r="J456">
        <v>1</v>
      </c>
      <c r="K456">
        <v>1</v>
      </c>
      <c r="L456">
        <v>0.013</v>
      </c>
      <c r="M456">
        <v>444.141</v>
      </c>
      <c r="N456">
        <v>0.008</v>
      </c>
      <c r="O456">
        <v>0.004</v>
      </c>
      <c r="P456">
        <v>0</v>
      </c>
      <c r="Q456">
        <v>0.001</v>
      </c>
      <c r="R456">
        <v>0</v>
      </c>
      <c r="S456">
        <v>444.145</v>
      </c>
      <c r="T456">
        <v>440.23</v>
      </c>
      <c r="U456">
        <v>444.141</v>
      </c>
      <c r="V456">
        <v>440.252</v>
      </c>
    </row>
    <row r="457" spans="2:22">
      <c r="B457">
        <v>456</v>
      </c>
      <c r="C457" t="s">
        <v>477</v>
      </c>
      <c r="D457">
        <v>80</v>
      </c>
      <c r="E457">
        <v>7.589</v>
      </c>
      <c r="F457">
        <v>83349.617</v>
      </c>
      <c r="G457">
        <v>83354.914</v>
      </c>
      <c r="H457">
        <v>83360.211</v>
      </c>
      <c r="I457">
        <v>3</v>
      </c>
      <c r="J457">
        <v>1</v>
      </c>
      <c r="K457">
        <v>0</v>
      </c>
      <c r="L457">
        <v>0.162</v>
      </c>
      <c r="M457">
        <v>443.979</v>
      </c>
      <c r="N457">
        <v>0.162</v>
      </c>
      <c r="O457">
        <v>0</v>
      </c>
      <c r="P457">
        <v>0</v>
      </c>
      <c r="Q457">
        <v>0</v>
      </c>
      <c r="R457">
        <v>0</v>
      </c>
      <c r="S457" t="s">
        <v>22</v>
      </c>
      <c r="T457" t="s">
        <v>22</v>
      </c>
      <c r="U457">
        <v>443.979</v>
      </c>
      <c r="V457">
        <v>440.09</v>
      </c>
    </row>
    <row r="458" spans="2:22">
      <c r="B458">
        <v>457</v>
      </c>
      <c r="C458" t="s">
        <v>478</v>
      </c>
      <c r="D458">
        <v>0</v>
      </c>
      <c r="E458">
        <v>0</v>
      </c>
      <c r="F458">
        <v>83680.672</v>
      </c>
      <c r="G458">
        <v>83680.672</v>
      </c>
      <c r="H458">
        <v>83680.672</v>
      </c>
      <c r="I458">
        <v>3</v>
      </c>
      <c r="J458">
        <v>1</v>
      </c>
      <c r="K458">
        <v>2</v>
      </c>
      <c r="L458">
        <v>0.057</v>
      </c>
      <c r="M458">
        <v>443.922</v>
      </c>
      <c r="N458">
        <v>0.059</v>
      </c>
      <c r="O458">
        <v>-0.002</v>
      </c>
      <c r="P458">
        <v>0</v>
      </c>
      <c r="Q458">
        <v>0</v>
      </c>
      <c r="R458">
        <v>0</v>
      </c>
      <c r="S458">
        <v>443.922</v>
      </c>
      <c r="T458">
        <v>440.007</v>
      </c>
      <c r="U458">
        <v>443.92</v>
      </c>
      <c r="V458">
        <v>440.031</v>
      </c>
    </row>
    <row r="459" spans="2:22">
      <c r="B459">
        <v>458</v>
      </c>
      <c r="C459" t="s">
        <v>479</v>
      </c>
      <c r="D459">
        <v>80</v>
      </c>
      <c r="E459">
        <v>1.44</v>
      </c>
      <c r="F459">
        <v>83847.031</v>
      </c>
      <c r="G459">
        <v>83848.039</v>
      </c>
      <c r="H459">
        <v>83849.047</v>
      </c>
      <c r="I459">
        <v>1</v>
      </c>
      <c r="J459">
        <v>2</v>
      </c>
      <c r="K459">
        <v>0</v>
      </c>
      <c r="L459">
        <v>0.03</v>
      </c>
      <c r="M459">
        <v>443.891</v>
      </c>
      <c r="N459">
        <v>0.027</v>
      </c>
      <c r="O459">
        <v>0</v>
      </c>
      <c r="P459">
        <v>0</v>
      </c>
      <c r="Q459">
        <v>0.003</v>
      </c>
      <c r="R459">
        <v>0</v>
      </c>
      <c r="S459" t="s">
        <v>22</v>
      </c>
      <c r="T459" t="s">
        <v>22</v>
      </c>
      <c r="U459">
        <v>443.891</v>
      </c>
      <c r="V459">
        <v>439.976</v>
      </c>
    </row>
    <row r="460" spans="2:22">
      <c r="B460">
        <v>459</v>
      </c>
      <c r="C460" t="s">
        <v>480</v>
      </c>
      <c r="D460">
        <v>0</v>
      </c>
      <c r="E460">
        <v>0</v>
      </c>
      <c r="F460">
        <v>83883.602</v>
      </c>
      <c r="G460">
        <v>83883.602</v>
      </c>
      <c r="H460">
        <v>83883.602</v>
      </c>
      <c r="I460">
        <v>3</v>
      </c>
      <c r="J460">
        <v>1</v>
      </c>
      <c r="K460">
        <v>1</v>
      </c>
      <c r="L460">
        <v>0.01</v>
      </c>
      <c r="M460">
        <v>443.881</v>
      </c>
      <c r="N460">
        <v>0.005</v>
      </c>
      <c r="O460">
        <v>0.004</v>
      </c>
      <c r="P460">
        <v>0</v>
      </c>
      <c r="Q460">
        <v>0.001</v>
      </c>
      <c r="R460">
        <v>0</v>
      </c>
      <c r="S460">
        <v>443.886</v>
      </c>
      <c r="T460">
        <v>439.971</v>
      </c>
      <c r="U460">
        <v>443.881</v>
      </c>
      <c r="V460">
        <v>439.992</v>
      </c>
    </row>
    <row r="461" spans="2:22">
      <c r="B461">
        <v>460</v>
      </c>
      <c r="C461" t="s">
        <v>481</v>
      </c>
      <c r="D461">
        <v>0</v>
      </c>
      <c r="E461">
        <v>0</v>
      </c>
      <c r="F461">
        <v>83996.164</v>
      </c>
      <c r="G461">
        <v>83996.164</v>
      </c>
      <c r="H461">
        <v>83996.164</v>
      </c>
      <c r="I461">
        <v>3</v>
      </c>
      <c r="J461">
        <v>1</v>
      </c>
      <c r="K461">
        <v>2</v>
      </c>
      <c r="L461">
        <v>0.018</v>
      </c>
      <c r="M461">
        <v>443.863</v>
      </c>
      <c r="N461">
        <v>0.02</v>
      </c>
      <c r="O461">
        <v>-0.002</v>
      </c>
      <c r="P461">
        <v>0</v>
      </c>
      <c r="Q461">
        <v>0</v>
      </c>
      <c r="R461">
        <v>0</v>
      </c>
      <c r="S461">
        <v>443.863</v>
      </c>
      <c r="T461">
        <v>439.948</v>
      </c>
      <c r="U461">
        <v>443.861</v>
      </c>
      <c r="V461">
        <v>439.972</v>
      </c>
    </row>
    <row r="462" spans="2:22">
      <c r="B462">
        <v>461</v>
      </c>
      <c r="C462" t="s">
        <v>482</v>
      </c>
      <c r="D462">
        <v>0</v>
      </c>
      <c r="E462">
        <v>0</v>
      </c>
      <c r="F462">
        <v>84034.422</v>
      </c>
      <c r="G462">
        <v>84034.422</v>
      </c>
      <c r="H462">
        <v>84034.422</v>
      </c>
      <c r="I462">
        <v>2</v>
      </c>
      <c r="J462">
        <v>1</v>
      </c>
      <c r="K462">
        <v>1</v>
      </c>
      <c r="L462">
        <v>0.05</v>
      </c>
      <c r="M462">
        <v>443.814</v>
      </c>
      <c r="N462">
        <v>0.005</v>
      </c>
      <c r="O462">
        <v>0.044</v>
      </c>
      <c r="P462">
        <v>0</v>
      </c>
      <c r="Q462">
        <v>0.001</v>
      </c>
      <c r="R462">
        <v>0</v>
      </c>
      <c r="S462">
        <v>443.858</v>
      </c>
      <c r="T462">
        <v>439.943</v>
      </c>
      <c r="U462">
        <v>443.814</v>
      </c>
      <c r="V462">
        <v>440.267</v>
      </c>
    </row>
    <row r="463" spans="2:22">
      <c r="B463">
        <v>462</v>
      </c>
      <c r="C463" t="s">
        <v>483</v>
      </c>
      <c r="D463">
        <v>80</v>
      </c>
      <c r="E463">
        <v>22.848</v>
      </c>
      <c r="F463">
        <v>84099.734</v>
      </c>
      <c r="G463">
        <v>84115.68</v>
      </c>
      <c r="H463">
        <v>84131.633</v>
      </c>
      <c r="I463">
        <v>2</v>
      </c>
      <c r="J463">
        <v>1</v>
      </c>
      <c r="K463">
        <v>0</v>
      </c>
      <c r="L463">
        <v>0.025</v>
      </c>
      <c r="M463">
        <v>443.789</v>
      </c>
      <c r="N463">
        <v>0.023</v>
      </c>
      <c r="O463">
        <v>0</v>
      </c>
      <c r="P463">
        <v>0.002</v>
      </c>
      <c r="Q463">
        <v>0</v>
      </c>
      <c r="R463">
        <v>0</v>
      </c>
      <c r="S463" t="s">
        <v>22</v>
      </c>
      <c r="T463" t="s">
        <v>22</v>
      </c>
      <c r="U463">
        <v>443.79</v>
      </c>
      <c r="V463">
        <v>440.243</v>
      </c>
    </row>
    <row r="464" spans="2:22">
      <c r="B464">
        <v>463</v>
      </c>
      <c r="C464" t="s">
        <v>484</v>
      </c>
      <c r="D464">
        <v>80</v>
      </c>
      <c r="E464">
        <v>28.242</v>
      </c>
      <c r="F464">
        <v>84269.773</v>
      </c>
      <c r="G464">
        <v>84289.484</v>
      </c>
      <c r="H464">
        <v>84309.203</v>
      </c>
      <c r="I464">
        <v>2</v>
      </c>
      <c r="J464">
        <v>1</v>
      </c>
      <c r="K464">
        <v>0</v>
      </c>
      <c r="L464">
        <v>0.052</v>
      </c>
      <c r="M464">
        <v>443.737</v>
      </c>
      <c r="N464">
        <v>0.05</v>
      </c>
      <c r="O464">
        <v>0</v>
      </c>
      <c r="P464">
        <v>0.002</v>
      </c>
      <c r="Q464">
        <v>0</v>
      </c>
      <c r="R464">
        <v>0</v>
      </c>
      <c r="S464" t="s">
        <v>22</v>
      </c>
      <c r="T464" t="s">
        <v>22</v>
      </c>
      <c r="U464">
        <v>443.738</v>
      </c>
      <c r="V464">
        <v>440.191</v>
      </c>
    </row>
    <row r="465" spans="2:22">
      <c r="B465">
        <v>464</v>
      </c>
      <c r="C465" t="s">
        <v>485</v>
      </c>
      <c r="D465">
        <v>80</v>
      </c>
      <c r="E465">
        <v>37.016</v>
      </c>
      <c r="F465">
        <v>84339.883</v>
      </c>
      <c r="G465">
        <v>84365.719</v>
      </c>
      <c r="H465">
        <v>84391.562</v>
      </c>
      <c r="I465">
        <v>2</v>
      </c>
      <c r="J465">
        <v>1</v>
      </c>
      <c r="K465">
        <v>0</v>
      </c>
      <c r="L465">
        <v>0.024</v>
      </c>
      <c r="M465">
        <v>443.713</v>
      </c>
      <c r="N465">
        <v>0.022</v>
      </c>
      <c r="O465">
        <v>0</v>
      </c>
      <c r="P465">
        <v>0.003</v>
      </c>
      <c r="Q465">
        <v>0</v>
      </c>
      <c r="R465">
        <v>0</v>
      </c>
      <c r="S465" t="s">
        <v>22</v>
      </c>
      <c r="T465" t="s">
        <v>22</v>
      </c>
      <c r="U465">
        <v>443.714</v>
      </c>
      <c r="V465">
        <v>440.167</v>
      </c>
    </row>
    <row r="466" spans="2:22">
      <c r="B466">
        <v>465</v>
      </c>
      <c r="C466" t="s">
        <v>486</v>
      </c>
      <c r="D466">
        <v>0</v>
      </c>
      <c r="E466">
        <v>0</v>
      </c>
      <c r="F466">
        <v>84411.055</v>
      </c>
      <c r="G466">
        <v>84411.055</v>
      </c>
      <c r="H466">
        <v>84411.055</v>
      </c>
      <c r="I466">
        <v>2</v>
      </c>
      <c r="J466">
        <v>1</v>
      </c>
      <c r="K466">
        <v>2</v>
      </c>
      <c r="L466">
        <v>-0.01</v>
      </c>
      <c r="M466">
        <v>443.723</v>
      </c>
      <c r="N466">
        <v>0.013</v>
      </c>
      <c r="O466">
        <v>-0.023</v>
      </c>
      <c r="P466">
        <v>0</v>
      </c>
      <c r="Q466">
        <v>0</v>
      </c>
      <c r="R466">
        <v>0</v>
      </c>
      <c r="S466">
        <v>443.723</v>
      </c>
      <c r="T466">
        <v>439.808</v>
      </c>
      <c r="U466">
        <v>443.7</v>
      </c>
      <c r="V466">
        <v>440.153</v>
      </c>
    </row>
    <row r="467" spans="2:22">
      <c r="B467">
        <v>466</v>
      </c>
      <c r="C467" t="s">
        <v>487</v>
      </c>
      <c r="D467">
        <v>40</v>
      </c>
      <c r="E467">
        <v>42.374</v>
      </c>
      <c r="F467">
        <v>84432.836</v>
      </c>
      <c r="G467">
        <v>84447.633</v>
      </c>
      <c r="H467">
        <v>84462.422</v>
      </c>
      <c r="I467">
        <v>1</v>
      </c>
      <c r="J467">
        <v>2</v>
      </c>
      <c r="K467">
        <v>0</v>
      </c>
      <c r="L467">
        <v>0.007</v>
      </c>
      <c r="M467">
        <v>443.716</v>
      </c>
      <c r="N467">
        <v>0.005</v>
      </c>
      <c r="O467">
        <v>0</v>
      </c>
      <c r="P467">
        <v>0.001</v>
      </c>
      <c r="Q467">
        <v>0.001</v>
      </c>
      <c r="R467">
        <v>0</v>
      </c>
      <c r="S467" t="s">
        <v>22</v>
      </c>
      <c r="T467" t="s">
        <v>22</v>
      </c>
      <c r="U467">
        <v>443.716</v>
      </c>
      <c r="V467">
        <v>439.801</v>
      </c>
    </row>
    <row r="468" spans="2:22">
      <c r="B468">
        <v>467</v>
      </c>
      <c r="C468" t="s">
        <v>488</v>
      </c>
      <c r="D468">
        <v>60</v>
      </c>
      <c r="E468">
        <v>16.102</v>
      </c>
      <c r="F468">
        <v>84532.789</v>
      </c>
      <c r="G468">
        <v>84541.227</v>
      </c>
      <c r="H468">
        <v>84549.656</v>
      </c>
      <c r="I468">
        <v>1</v>
      </c>
      <c r="J468">
        <v>2</v>
      </c>
      <c r="K468">
        <v>0</v>
      </c>
      <c r="L468">
        <v>0.018</v>
      </c>
      <c r="M468">
        <v>443.697</v>
      </c>
      <c r="N468">
        <v>0.016</v>
      </c>
      <c r="O468">
        <v>0</v>
      </c>
      <c r="P468">
        <v>0.001</v>
      </c>
      <c r="Q468">
        <v>0.002</v>
      </c>
      <c r="R468">
        <v>0</v>
      </c>
      <c r="S468" t="s">
        <v>22</v>
      </c>
      <c r="T468" t="s">
        <v>22</v>
      </c>
      <c r="U468">
        <v>443.698</v>
      </c>
      <c r="V468">
        <v>439.783</v>
      </c>
    </row>
    <row r="469" spans="2:22">
      <c r="B469">
        <v>468</v>
      </c>
      <c r="C469" t="s">
        <v>489</v>
      </c>
      <c r="D469">
        <v>0</v>
      </c>
      <c r="E469">
        <v>0</v>
      </c>
      <c r="F469">
        <v>84565.789</v>
      </c>
      <c r="G469">
        <v>84565.789</v>
      </c>
      <c r="H469">
        <v>84565.789</v>
      </c>
      <c r="I469">
        <v>2</v>
      </c>
      <c r="J469">
        <v>1</v>
      </c>
      <c r="K469">
        <v>1</v>
      </c>
      <c r="L469">
        <v>0.048</v>
      </c>
      <c r="M469">
        <v>443.65</v>
      </c>
      <c r="N469">
        <v>0.003</v>
      </c>
      <c r="O469">
        <v>0.044</v>
      </c>
      <c r="P469">
        <v>0</v>
      </c>
      <c r="Q469">
        <v>0</v>
      </c>
      <c r="R469">
        <v>0</v>
      </c>
      <c r="S469">
        <v>443.694</v>
      </c>
      <c r="T469">
        <v>439.779</v>
      </c>
      <c r="U469">
        <v>443.65</v>
      </c>
      <c r="V469">
        <v>440.103</v>
      </c>
    </row>
    <row r="470" spans="2:22">
      <c r="B470">
        <v>469</v>
      </c>
      <c r="C470" t="s">
        <v>490</v>
      </c>
      <c r="D470">
        <v>0</v>
      </c>
      <c r="E470">
        <v>0</v>
      </c>
      <c r="F470">
        <v>85033.789</v>
      </c>
      <c r="G470">
        <v>85033.789</v>
      </c>
      <c r="H470">
        <v>85033.789</v>
      </c>
      <c r="I470">
        <v>2</v>
      </c>
      <c r="J470">
        <v>1</v>
      </c>
      <c r="K470">
        <v>2</v>
      </c>
      <c r="L470">
        <v>0.111</v>
      </c>
      <c r="M470">
        <v>443.539</v>
      </c>
      <c r="N470">
        <v>0.134</v>
      </c>
      <c r="O470">
        <v>-0.023</v>
      </c>
      <c r="P470">
        <v>0</v>
      </c>
      <c r="Q470">
        <v>0</v>
      </c>
      <c r="R470">
        <v>0</v>
      </c>
      <c r="S470">
        <v>443.539</v>
      </c>
      <c r="T470">
        <v>439.624</v>
      </c>
      <c r="U470">
        <v>443.516</v>
      </c>
      <c r="V470">
        <v>439.969</v>
      </c>
    </row>
    <row r="471" spans="2:22">
      <c r="B471">
        <v>470</v>
      </c>
      <c r="C471" t="s">
        <v>491</v>
      </c>
      <c r="D471">
        <v>40</v>
      </c>
      <c r="E471">
        <v>48.851</v>
      </c>
      <c r="F471">
        <v>85040.18</v>
      </c>
      <c r="G471">
        <v>85057.227</v>
      </c>
      <c r="H471">
        <v>85074.281</v>
      </c>
      <c r="I471">
        <v>1</v>
      </c>
      <c r="J471">
        <v>2</v>
      </c>
      <c r="K471">
        <v>0</v>
      </c>
      <c r="L471">
        <v>0.005</v>
      </c>
      <c r="M471">
        <v>443.534</v>
      </c>
      <c r="N471">
        <v>0.003</v>
      </c>
      <c r="O471">
        <v>0</v>
      </c>
      <c r="P471">
        <v>0.002</v>
      </c>
      <c r="Q471">
        <v>0</v>
      </c>
      <c r="R471">
        <v>0</v>
      </c>
      <c r="S471" t="s">
        <v>22</v>
      </c>
      <c r="T471" t="s">
        <v>22</v>
      </c>
      <c r="U471">
        <v>443.535</v>
      </c>
      <c r="V471">
        <v>439.62</v>
      </c>
    </row>
    <row r="472" spans="2:22">
      <c r="B472">
        <v>471</v>
      </c>
      <c r="C472" t="s">
        <v>492</v>
      </c>
      <c r="D472">
        <v>60</v>
      </c>
      <c r="E472">
        <v>22.685</v>
      </c>
      <c r="F472">
        <v>85186.039</v>
      </c>
      <c r="G472">
        <v>85197.922</v>
      </c>
      <c r="H472">
        <v>85209.797</v>
      </c>
      <c r="I472">
        <v>1</v>
      </c>
      <c r="J472">
        <v>2</v>
      </c>
      <c r="K472">
        <v>0</v>
      </c>
      <c r="L472">
        <v>0.027</v>
      </c>
      <c r="M472">
        <v>443.507</v>
      </c>
      <c r="N472">
        <v>0.023</v>
      </c>
      <c r="O472">
        <v>0</v>
      </c>
      <c r="P472">
        <v>0.001</v>
      </c>
      <c r="Q472">
        <v>0.003</v>
      </c>
      <c r="R472">
        <v>0</v>
      </c>
      <c r="S472" t="s">
        <v>22</v>
      </c>
      <c r="T472" t="s">
        <v>22</v>
      </c>
      <c r="U472">
        <v>443.507</v>
      </c>
      <c r="V472">
        <v>439.592</v>
      </c>
    </row>
    <row r="473" spans="2:22">
      <c r="B473">
        <v>472</v>
      </c>
      <c r="C473" t="s">
        <v>493</v>
      </c>
      <c r="D473">
        <v>40</v>
      </c>
      <c r="E473">
        <v>49.29</v>
      </c>
      <c r="F473">
        <v>85236.914</v>
      </c>
      <c r="G473">
        <v>85254.125</v>
      </c>
      <c r="H473">
        <v>85271.328</v>
      </c>
      <c r="I473">
        <v>1</v>
      </c>
      <c r="J473">
        <v>2</v>
      </c>
      <c r="K473">
        <v>0</v>
      </c>
      <c r="L473">
        <v>0.012</v>
      </c>
      <c r="M473">
        <v>443.495</v>
      </c>
      <c r="N473">
        <v>0.009</v>
      </c>
      <c r="O473">
        <v>0</v>
      </c>
      <c r="P473">
        <v>0.002</v>
      </c>
      <c r="Q473">
        <v>0.001</v>
      </c>
      <c r="R473">
        <v>0</v>
      </c>
      <c r="S473" t="s">
        <v>22</v>
      </c>
      <c r="T473" t="s">
        <v>22</v>
      </c>
      <c r="U473">
        <v>443.496</v>
      </c>
      <c r="V473">
        <v>439.581</v>
      </c>
    </row>
    <row r="474" spans="2:22">
      <c r="B474">
        <v>473</v>
      </c>
      <c r="C474" t="s">
        <v>494</v>
      </c>
      <c r="D474">
        <v>60</v>
      </c>
      <c r="E474">
        <v>32.923</v>
      </c>
      <c r="F474">
        <v>85286.211</v>
      </c>
      <c r="G474">
        <v>85303.453</v>
      </c>
      <c r="H474">
        <v>85320.688</v>
      </c>
      <c r="I474">
        <v>1</v>
      </c>
      <c r="J474">
        <v>2</v>
      </c>
      <c r="K474">
        <v>0</v>
      </c>
      <c r="L474">
        <v>0.01</v>
      </c>
      <c r="M474">
        <v>443.484</v>
      </c>
      <c r="N474">
        <v>0.008</v>
      </c>
      <c r="O474">
        <v>0</v>
      </c>
      <c r="P474">
        <v>0.001</v>
      </c>
      <c r="Q474">
        <v>0.001</v>
      </c>
      <c r="R474">
        <v>0</v>
      </c>
      <c r="S474" t="s">
        <v>22</v>
      </c>
      <c r="T474" t="s">
        <v>22</v>
      </c>
      <c r="U474">
        <v>443.485</v>
      </c>
      <c r="V474">
        <v>439.57</v>
      </c>
    </row>
    <row r="475" spans="2:22">
      <c r="B475">
        <v>474</v>
      </c>
      <c r="C475" t="s">
        <v>495</v>
      </c>
      <c r="D475">
        <v>60</v>
      </c>
      <c r="E475">
        <v>18.841</v>
      </c>
      <c r="F475">
        <v>85432.781</v>
      </c>
      <c r="G475">
        <v>85442.648</v>
      </c>
      <c r="H475">
        <v>85452.508</v>
      </c>
      <c r="I475">
        <v>1</v>
      </c>
      <c r="J475">
        <v>2</v>
      </c>
      <c r="K475">
        <v>0</v>
      </c>
      <c r="L475">
        <v>0.027</v>
      </c>
      <c r="M475">
        <v>443.458</v>
      </c>
      <c r="N475">
        <v>0.023</v>
      </c>
      <c r="O475">
        <v>0</v>
      </c>
      <c r="P475">
        <v>0.001</v>
      </c>
      <c r="Q475">
        <v>0.003</v>
      </c>
      <c r="R475">
        <v>0</v>
      </c>
      <c r="S475" t="s">
        <v>22</v>
      </c>
      <c r="T475" t="s">
        <v>22</v>
      </c>
      <c r="U475">
        <v>443.458</v>
      </c>
      <c r="V475">
        <v>439.543</v>
      </c>
    </row>
    <row r="476" spans="2:22">
      <c r="B476">
        <v>475</v>
      </c>
      <c r="C476" t="s">
        <v>496</v>
      </c>
      <c r="D476">
        <v>60</v>
      </c>
      <c r="E476">
        <v>20.253</v>
      </c>
      <c r="F476">
        <v>85535.312</v>
      </c>
      <c r="G476">
        <v>85545.914</v>
      </c>
      <c r="H476">
        <v>85556.516</v>
      </c>
      <c r="I476">
        <v>1</v>
      </c>
      <c r="J476">
        <v>2</v>
      </c>
      <c r="K476">
        <v>0</v>
      </c>
      <c r="L476">
        <v>0.02</v>
      </c>
      <c r="M476">
        <v>443.438</v>
      </c>
      <c r="N476">
        <v>0.017</v>
      </c>
      <c r="O476">
        <v>0</v>
      </c>
      <c r="P476">
        <v>0.001</v>
      </c>
      <c r="Q476">
        <v>0.002</v>
      </c>
      <c r="R476">
        <v>0</v>
      </c>
      <c r="S476" t="s">
        <v>22</v>
      </c>
      <c r="T476" t="s">
        <v>22</v>
      </c>
      <c r="U476">
        <v>443.438</v>
      </c>
      <c r="V476">
        <v>439.523</v>
      </c>
    </row>
    <row r="477" spans="2:22">
      <c r="B477">
        <v>476</v>
      </c>
      <c r="C477" t="s">
        <v>497</v>
      </c>
      <c r="D477">
        <v>60</v>
      </c>
      <c r="E477">
        <v>39.164</v>
      </c>
      <c r="F477">
        <v>85650.047</v>
      </c>
      <c r="G477">
        <v>85670.547</v>
      </c>
      <c r="H477">
        <v>85691.055</v>
      </c>
      <c r="I477">
        <v>1</v>
      </c>
      <c r="J477">
        <v>2</v>
      </c>
      <c r="K477">
        <v>0</v>
      </c>
      <c r="L477">
        <v>0.025</v>
      </c>
      <c r="M477">
        <v>443.413</v>
      </c>
      <c r="N477">
        <v>0.021</v>
      </c>
      <c r="O477">
        <v>0</v>
      </c>
      <c r="P477">
        <v>0.001</v>
      </c>
      <c r="Q477">
        <v>0.002</v>
      </c>
      <c r="R477">
        <v>0</v>
      </c>
      <c r="S477" t="s">
        <v>22</v>
      </c>
      <c r="T477" t="s">
        <v>22</v>
      </c>
      <c r="U477">
        <v>443.414</v>
      </c>
      <c r="V477">
        <v>439.499</v>
      </c>
    </row>
    <row r="478" spans="2:22">
      <c r="B478">
        <v>477</v>
      </c>
      <c r="C478" t="s">
        <v>498</v>
      </c>
      <c r="D478">
        <v>60</v>
      </c>
      <c r="E478">
        <v>30.753</v>
      </c>
      <c r="F478">
        <v>85770.141</v>
      </c>
      <c r="G478">
        <v>85786.242</v>
      </c>
      <c r="H478">
        <v>85802.344</v>
      </c>
      <c r="I478">
        <v>1</v>
      </c>
      <c r="J478">
        <v>2</v>
      </c>
      <c r="K478">
        <v>0</v>
      </c>
      <c r="L478">
        <v>0.023</v>
      </c>
      <c r="M478">
        <v>443.39</v>
      </c>
      <c r="N478">
        <v>0.019</v>
      </c>
      <c r="O478">
        <v>0</v>
      </c>
      <c r="P478">
        <v>0.001</v>
      </c>
      <c r="Q478">
        <v>0.002</v>
      </c>
      <c r="R478">
        <v>0</v>
      </c>
      <c r="S478" t="s">
        <v>22</v>
      </c>
      <c r="T478" t="s">
        <v>22</v>
      </c>
      <c r="U478">
        <v>443.391</v>
      </c>
      <c r="V478">
        <v>439.476</v>
      </c>
    </row>
    <row r="479" spans="2:22">
      <c r="B479">
        <v>478</v>
      </c>
      <c r="C479" t="s">
        <v>499</v>
      </c>
      <c r="D479">
        <v>60</v>
      </c>
      <c r="E479">
        <v>38.708</v>
      </c>
      <c r="F479">
        <v>85858.383</v>
      </c>
      <c r="G479">
        <v>85878.648</v>
      </c>
      <c r="H479">
        <v>85898.914</v>
      </c>
      <c r="I479">
        <v>1</v>
      </c>
      <c r="J479">
        <v>2</v>
      </c>
      <c r="K479">
        <v>0</v>
      </c>
      <c r="L479">
        <v>0.019</v>
      </c>
      <c r="M479">
        <v>443.371</v>
      </c>
      <c r="N479">
        <v>0.015</v>
      </c>
      <c r="O479">
        <v>0</v>
      </c>
      <c r="P479">
        <v>0.001</v>
      </c>
      <c r="Q479">
        <v>0.002</v>
      </c>
      <c r="R479">
        <v>0</v>
      </c>
      <c r="S479" t="s">
        <v>22</v>
      </c>
      <c r="T479" t="s">
        <v>22</v>
      </c>
      <c r="U479">
        <v>443.372</v>
      </c>
      <c r="V479">
        <v>439.457</v>
      </c>
    </row>
    <row r="480" spans="2:22">
      <c r="B480">
        <v>479</v>
      </c>
      <c r="C480" t="s">
        <v>500</v>
      </c>
      <c r="D480">
        <v>60</v>
      </c>
      <c r="E480">
        <v>58.904</v>
      </c>
      <c r="F480">
        <v>85960.531</v>
      </c>
      <c r="G480">
        <v>85991.367</v>
      </c>
      <c r="H480">
        <v>86022.211</v>
      </c>
      <c r="I480">
        <v>1</v>
      </c>
      <c r="J480">
        <v>2</v>
      </c>
      <c r="K480">
        <v>0</v>
      </c>
      <c r="L480">
        <v>0.023</v>
      </c>
      <c r="M480">
        <v>443.348</v>
      </c>
      <c r="N480">
        <v>0.019</v>
      </c>
      <c r="O480">
        <v>0</v>
      </c>
      <c r="P480">
        <v>0.002</v>
      </c>
      <c r="Q480">
        <v>0.002</v>
      </c>
      <c r="R480">
        <v>0</v>
      </c>
      <c r="S480" t="s">
        <v>22</v>
      </c>
      <c r="T480" t="s">
        <v>22</v>
      </c>
      <c r="U480">
        <v>443.349</v>
      </c>
      <c r="V480">
        <v>439.434</v>
      </c>
    </row>
    <row r="481" spans="2:22">
      <c r="B481">
        <v>480</v>
      </c>
      <c r="C481" t="s">
        <v>501</v>
      </c>
      <c r="D481">
        <v>60</v>
      </c>
      <c r="E481">
        <v>50.421</v>
      </c>
      <c r="F481">
        <v>86087.016</v>
      </c>
      <c r="G481">
        <v>86113.414</v>
      </c>
      <c r="H481">
        <v>86139.812</v>
      </c>
      <c r="I481">
        <v>1</v>
      </c>
      <c r="J481">
        <v>2</v>
      </c>
      <c r="K481">
        <v>0</v>
      </c>
      <c r="L481">
        <v>0.025</v>
      </c>
      <c r="M481">
        <v>443.323</v>
      </c>
      <c r="N481">
        <v>0.02</v>
      </c>
      <c r="O481">
        <v>0</v>
      </c>
      <c r="P481">
        <v>0.002</v>
      </c>
      <c r="Q481">
        <v>0.002</v>
      </c>
      <c r="R481">
        <v>0</v>
      </c>
      <c r="S481" t="s">
        <v>22</v>
      </c>
      <c r="T481" t="s">
        <v>22</v>
      </c>
      <c r="U481">
        <v>443.324</v>
      </c>
      <c r="V481">
        <v>439.409</v>
      </c>
    </row>
    <row r="482" spans="2:22">
      <c r="B482">
        <v>481</v>
      </c>
      <c r="C482" t="s">
        <v>502</v>
      </c>
      <c r="D482">
        <v>60</v>
      </c>
      <c r="E482">
        <v>28.002</v>
      </c>
      <c r="F482">
        <v>86151.539</v>
      </c>
      <c r="G482">
        <v>86166.203</v>
      </c>
      <c r="H482">
        <v>86180.867</v>
      </c>
      <c r="I482">
        <v>1</v>
      </c>
      <c r="J482">
        <v>2</v>
      </c>
      <c r="K482">
        <v>0</v>
      </c>
      <c r="L482">
        <v>0.011</v>
      </c>
      <c r="M482">
        <v>443.312</v>
      </c>
      <c r="N482">
        <v>0.009</v>
      </c>
      <c r="O482">
        <v>0</v>
      </c>
      <c r="P482">
        <v>0.001</v>
      </c>
      <c r="Q482">
        <v>0.001</v>
      </c>
      <c r="R482">
        <v>0</v>
      </c>
      <c r="S482" t="s">
        <v>22</v>
      </c>
      <c r="T482" t="s">
        <v>22</v>
      </c>
      <c r="U482">
        <v>443.313</v>
      </c>
      <c r="V482">
        <v>439.398</v>
      </c>
    </row>
    <row r="483" spans="2:22">
      <c r="B483">
        <v>482</v>
      </c>
      <c r="C483" t="s">
        <v>503</v>
      </c>
      <c r="D483">
        <v>60</v>
      </c>
      <c r="E483">
        <v>40.357</v>
      </c>
      <c r="F483">
        <v>86220.602</v>
      </c>
      <c r="G483">
        <v>86241.734</v>
      </c>
      <c r="H483">
        <v>86262.867</v>
      </c>
      <c r="I483">
        <v>1</v>
      </c>
      <c r="J483">
        <v>2</v>
      </c>
      <c r="K483">
        <v>0</v>
      </c>
      <c r="L483">
        <v>0.016</v>
      </c>
      <c r="M483">
        <v>443.297</v>
      </c>
      <c r="N483">
        <v>0.013</v>
      </c>
      <c r="O483">
        <v>0</v>
      </c>
      <c r="P483">
        <v>0.002</v>
      </c>
      <c r="Q483">
        <v>0.002</v>
      </c>
      <c r="R483">
        <v>0</v>
      </c>
      <c r="S483" t="s">
        <v>22</v>
      </c>
      <c r="T483" t="s">
        <v>22</v>
      </c>
      <c r="U483">
        <v>443.297</v>
      </c>
      <c r="V483">
        <v>439.382</v>
      </c>
    </row>
    <row r="484" spans="2:22">
      <c r="B484">
        <v>483</v>
      </c>
      <c r="C484" t="s">
        <v>504</v>
      </c>
      <c r="D484">
        <v>0</v>
      </c>
      <c r="E484">
        <v>0</v>
      </c>
      <c r="F484">
        <v>86277.789</v>
      </c>
      <c r="G484">
        <v>86277.789</v>
      </c>
      <c r="H484">
        <v>86277.789</v>
      </c>
      <c r="I484">
        <v>3</v>
      </c>
      <c r="J484">
        <v>1</v>
      </c>
      <c r="K484">
        <v>1</v>
      </c>
      <c r="L484">
        <v>0.01</v>
      </c>
      <c r="M484">
        <v>443.287</v>
      </c>
      <c r="N484">
        <v>0.005</v>
      </c>
      <c r="O484">
        <v>0.004</v>
      </c>
      <c r="P484">
        <v>0</v>
      </c>
      <c r="Q484">
        <v>0.001</v>
      </c>
      <c r="R484">
        <v>0</v>
      </c>
      <c r="S484">
        <v>443.291</v>
      </c>
      <c r="T484">
        <v>439.376</v>
      </c>
      <c r="U484">
        <v>443.287</v>
      </c>
      <c r="V484">
        <v>439.398</v>
      </c>
    </row>
    <row r="485" spans="2:22">
      <c r="B485">
        <v>484</v>
      </c>
      <c r="C485" t="s">
        <v>505</v>
      </c>
      <c r="D485">
        <v>0</v>
      </c>
      <c r="E485">
        <v>0</v>
      </c>
      <c r="F485">
        <v>86465.789</v>
      </c>
      <c r="G485">
        <v>86465.789</v>
      </c>
      <c r="H485">
        <v>86465.789</v>
      </c>
      <c r="I485">
        <v>3</v>
      </c>
      <c r="J485">
        <v>1</v>
      </c>
      <c r="K485">
        <v>2</v>
      </c>
      <c r="L485">
        <v>0.032</v>
      </c>
      <c r="M485">
        <v>443.255</v>
      </c>
      <c r="N485">
        <v>0.034</v>
      </c>
      <c r="O485">
        <v>-0.002</v>
      </c>
      <c r="P485">
        <v>0</v>
      </c>
      <c r="Q485">
        <v>0</v>
      </c>
      <c r="R485">
        <v>0</v>
      </c>
      <c r="S485">
        <v>443.255</v>
      </c>
      <c r="T485">
        <v>439.34</v>
      </c>
      <c r="U485">
        <v>443.252</v>
      </c>
      <c r="V485">
        <v>439.363</v>
      </c>
    </row>
    <row r="486" spans="2:22">
      <c r="B486">
        <v>485</v>
      </c>
      <c r="C486" t="s">
        <v>506</v>
      </c>
      <c r="D486">
        <v>60</v>
      </c>
      <c r="E486">
        <v>42.668</v>
      </c>
      <c r="F486">
        <v>86471.461</v>
      </c>
      <c r="G486">
        <v>86493.805</v>
      </c>
      <c r="H486">
        <v>86516.148</v>
      </c>
      <c r="I486">
        <v>1</v>
      </c>
      <c r="J486">
        <v>2</v>
      </c>
      <c r="K486">
        <v>0</v>
      </c>
      <c r="L486">
        <v>0.006</v>
      </c>
      <c r="M486">
        <v>443.249</v>
      </c>
      <c r="N486">
        <v>0.004</v>
      </c>
      <c r="O486">
        <v>0</v>
      </c>
      <c r="P486">
        <v>0.002</v>
      </c>
      <c r="Q486">
        <v>0</v>
      </c>
      <c r="R486">
        <v>0</v>
      </c>
      <c r="S486" t="s">
        <v>22</v>
      </c>
      <c r="T486" t="s">
        <v>22</v>
      </c>
      <c r="U486">
        <v>443.25</v>
      </c>
      <c r="V486">
        <v>439.335</v>
      </c>
    </row>
    <row r="487" spans="2:22">
      <c r="B487">
        <v>486</v>
      </c>
      <c r="C487" t="s">
        <v>507</v>
      </c>
      <c r="D487">
        <v>60</v>
      </c>
      <c r="E487">
        <v>45.334</v>
      </c>
      <c r="F487">
        <v>86586.883</v>
      </c>
      <c r="G487">
        <v>86610.617</v>
      </c>
      <c r="H487">
        <v>86634.359</v>
      </c>
      <c r="I487">
        <v>1</v>
      </c>
      <c r="J487">
        <v>2</v>
      </c>
      <c r="K487">
        <v>0</v>
      </c>
      <c r="L487">
        <v>0.024</v>
      </c>
      <c r="M487">
        <v>443.225</v>
      </c>
      <c r="N487">
        <v>0.019</v>
      </c>
      <c r="O487">
        <v>0</v>
      </c>
      <c r="P487">
        <v>0.002</v>
      </c>
      <c r="Q487">
        <v>0.002</v>
      </c>
      <c r="R487">
        <v>0</v>
      </c>
      <c r="S487" t="s">
        <v>22</v>
      </c>
      <c r="T487" t="s">
        <v>22</v>
      </c>
      <c r="U487">
        <v>443.226</v>
      </c>
      <c r="V487">
        <v>439.311</v>
      </c>
    </row>
    <row r="488" spans="2:22">
      <c r="B488">
        <v>487</v>
      </c>
      <c r="C488" t="s">
        <v>508</v>
      </c>
      <c r="D488">
        <v>0</v>
      </c>
      <c r="E488">
        <v>0</v>
      </c>
      <c r="F488">
        <v>86709.789</v>
      </c>
      <c r="G488">
        <v>86709.789</v>
      </c>
      <c r="H488">
        <v>86709.789</v>
      </c>
      <c r="I488">
        <v>3</v>
      </c>
      <c r="J488">
        <v>1</v>
      </c>
      <c r="K488">
        <v>1</v>
      </c>
      <c r="L488">
        <v>0.022</v>
      </c>
      <c r="M488">
        <v>443.203</v>
      </c>
      <c r="N488">
        <v>0.016</v>
      </c>
      <c r="O488">
        <v>0.004</v>
      </c>
      <c r="P488">
        <v>0</v>
      </c>
      <c r="Q488">
        <v>0.002</v>
      </c>
      <c r="R488">
        <v>0</v>
      </c>
      <c r="S488">
        <v>443.208</v>
      </c>
      <c r="T488">
        <v>439.293</v>
      </c>
      <c r="U488">
        <v>443.203</v>
      </c>
      <c r="V488">
        <v>439.314</v>
      </c>
    </row>
    <row r="489" spans="2:22">
      <c r="B489">
        <v>488</v>
      </c>
      <c r="C489" t="s">
        <v>509</v>
      </c>
      <c r="D489">
        <v>0</v>
      </c>
      <c r="E489">
        <v>0</v>
      </c>
      <c r="F489">
        <v>86836.789</v>
      </c>
      <c r="G489">
        <v>86836.789</v>
      </c>
      <c r="H489">
        <v>86836.789</v>
      </c>
      <c r="I489">
        <v>3</v>
      </c>
      <c r="J489">
        <v>1</v>
      </c>
      <c r="K489">
        <v>2</v>
      </c>
      <c r="L489">
        <v>0.021</v>
      </c>
      <c r="M489">
        <v>443.183</v>
      </c>
      <c r="N489">
        <v>0.023</v>
      </c>
      <c r="O489">
        <v>-0.002</v>
      </c>
      <c r="P489">
        <v>0</v>
      </c>
      <c r="Q489">
        <v>0</v>
      </c>
      <c r="R489">
        <v>0</v>
      </c>
      <c r="S489">
        <v>443.183</v>
      </c>
      <c r="T489">
        <v>439.268</v>
      </c>
      <c r="U489">
        <v>443.18</v>
      </c>
      <c r="V489">
        <v>439.291</v>
      </c>
    </row>
    <row r="490" spans="2:22">
      <c r="B490">
        <v>489</v>
      </c>
      <c r="C490" t="s">
        <v>510</v>
      </c>
      <c r="D490">
        <v>0</v>
      </c>
      <c r="E490">
        <v>0</v>
      </c>
      <c r="F490">
        <v>86993.789</v>
      </c>
      <c r="G490">
        <v>86993.789</v>
      </c>
      <c r="H490">
        <v>86993.789</v>
      </c>
      <c r="I490">
        <v>2</v>
      </c>
      <c r="J490">
        <v>1</v>
      </c>
      <c r="K490">
        <v>1</v>
      </c>
      <c r="L490">
        <v>0.072</v>
      </c>
      <c r="M490">
        <v>443.111</v>
      </c>
      <c r="N490">
        <v>0.025</v>
      </c>
      <c r="O490">
        <v>0.044</v>
      </c>
      <c r="P490">
        <v>0</v>
      </c>
      <c r="Q490">
        <v>0.003</v>
      </c>
      <c r="R490">
        <v>0</v>
      </c>
      <c r="S490">
        <v>443.155</v>
      </c>
      <c r="T490">
        <v>439.24</v>
      </c>
      <c r="U490">
        <v>443.111</v>
      </c>
      <c r="V490">
        <v>439.564</v>
      </c>
    </row>
    <row r="491" spans="2:22">
      <c r="B491">
        <v>490</v>
      </c>
      <c r="C491" t="s">
        <v>511</v>
      </c>
      <c r="D491">
        <v>0</v>
      </c>
      <c r="E491">
        <v>0</v>
      </c>
      <c r="F491">
        <v>87098.789</v>
      </c>
      <c r="G491">
        <v>87098.789</v>
      </c>
      <c r="H491">
        <v>87098.789</v>
      </c>
      <c r="I491">
        <v>2</v>
      </c>
      <c r="J491">
        <v>1</v>
      </c>
      <c r="K491">
        <v>2</v>
      </c>
      <c r="L491">
        <v>0.007</v>
      </c>
      <c r="M491">
        <v>443.104</v>
      </c>
      <c r="N491">
        <v>0.03</v>
      </c>
      <c r="O491">
        <v>-0.023</v>
      </c>
      <c r="P491">
        <v>0</v>
      </c>
      <c r="Q491">
        <v>0</v>
      </c>
      <c r="R491">
        <v>0</v>
      </c>
      <c r="S491">
        <v>443.104</v>
      </c>
      <c r="T491">
        <v>439.189</v>
      </c>
      <c r="U491">
        <v>443.081</v>
      </c>
      <c r="V491">
        <v>439.534</v>
      </c>
    </row>
    <row r="492" spans="2:22">
      <c r="B492">
        <v>491</v>
      </c>
      <c r="C492" t="s">
        <v>512</v>
      </c>
      <c r="D492">
        <v>60</v>
      </c>
      <c r="E492">
        <v>10.439</v>
      </c>
      <c r="F492">
        <v>87116.812</v>
      </c>
      <c r="G492">
        <v>87122.273</v>
      </c>
      <c r="H492">
        <v>87127.742</v>
      </c>
      <c r="I492">
        <v>1</v>
      </c>
      <c r="J492">
        <v>2</v>
      </c>
      <c r="K492">
        <v>0</v>
      </c>
      <c r="L492">
        <v>0.004</v>
      </c>
      <c r="M492">
        <v>443.1</v>
      </c>
      <c r="N492">
        <v>0.003</v>
      </c>
      <c r="O492">
        <v>0</v>
      </c>
      <c r="P492">
        <v>0</v>
      </c>
      <c r="Q492">
        <v>0</v>
      </c>
      <c r="R492">
        <v>0</v>
      </c>
      <c r="S492" t="s">
        <v>22</v>
      </c>
      <c r="T492" t="s">
        <v>22</v>
      </c>
      <c r="U492">
        <v>443.1</v>
      </c>
      <c r="V492">
        <v>439.185</v>
      </c>
    </row>
    <row r="493" spans="2:22">
      <c r="B493">
        <v>492</v>
      </c>
      <c r="C493" t="s">
        <v>513</v>
      </c>
      <c r="D493">
        <v>0</v>
      </c>
      <c r="E493">
        <v>0</v>
      </c>
      <c r="F493">
        <v>87169.789</v>
      </c>
      <c r="G493">
        <v>87169.789</v>
      </c>
      <c r="H493">
        <v>87169.789</v>
      </c>
      <c r="I493">
        <v>2</v>
      </c>
      <c r="J493">
        <v>1</v>
      </c>
      <c r="K493">
        <v>1</v>
      </c>
      <c r="L493">
        <v>0.052</v>
      </c>
      <c r="M493">
        <v>443.048</v>
      </c>
      <c r="N493">
        <v>0.007</v>
      </c>
      <c r="O493">
        <v>0.044</v>
      </c>
      <c r="P493">
        <v>0</v>
      </c>
      <c r="Q493">
        <v>0.001</v>
      </c>
      <c r="R493">
        <v>0</v>
      </c>
      <c r="S493">
        <v>443.092</v>
      </c>
      <c r="T493">
        <v>439.177</v>
      </c>
      <c r="U493">
        <v>443.048</v>
      </c>
      <c r="V493">
        <v>439.501</v>
      </c>
    </row>
    <row r="494" spans="2:22">
      <c r="B494">
        <v>493</v>
      </c>
      <c r="C494" t="s">
        <v>514</v>
      </c>
      <c r="D494">
        <v>0</v>
      </c>
      <c r="E494">
        <v>0</v>
      </c>
      <c r="F494">
        <v>87291.789</v>
      </c>
      <c r="G494">
        <v>87291.789</v>
      </c>
      <c r="H494">
        <v>87291.789</v>
      </c>
      <c r="I494">
        <v>2</v>
      </c>
      <c r="J494">
        <v>1</v>
      </c>
      <c r="K494">
        <v>2</v>
      </c>
      <c r="L494">
        <v>0.012</v>
      </c>
      <c r="M494">
        <v>443.036</v>
      </c>
      <c r="N494">
        <v>0.035</v>
      </c>
      <c r="O494">
        <v>-0.023</v>
      </c>
      <c r="P494">
        <v>0</v>
      </c>
      <c r="Q494">
        <v>0</v>
      </c>
      <c r="R494">
        <v>0</v>
      </c>
      <c r="S494">
        <v>443.036</v>
      </c>
      <c r="T494">
        <v>439.121</v>
      </c>
      <c r="U494">
        <v>443.013</v>
      </c>
      <c r="V494">
        <v>439.466</v>
      </c>
    </row>
    <row r="495" spans="2:22">
      <c r="B495">
        <v>494</v>
      </c>
      <c r="C495" t="s">
        <v>515</v>
      </c>
      <c r="D495">
        <v>60</v>
      </c>
      <c r="E495">
        <v>32.892</v>
      </c>
      <c r="F495">
        <v>87328.789</v>
      </c>
      <c r="G495">
        <v>87346.016</v>
      </c>
      <c r="H495">
        <v>87363.234</v>
      </c>
      <c r="I495">
        <v>1</v>
      </c>
      <c r="J495">
        <v>2</v>
      </c>
      <c r="K495">
        <v>0</v>
      </c>
      <c r="L495">
        <v>0.01</v>
      </c>
      <c r="M495">
        <v>443.026</v>
      </c>
      <c r="N495">
        <v>0.008</v>
      </c>
      <c r="O495">
        <v>0</v>
      </c>
      <c r="P495">
        <v>0.001</v>
      </c>
      <c r="Q495">
        <v>0.001</v>
      </c>
      <c r="R495">
        <v>0</v>
      </c>
      <c r="S495" t="s">
        <v>22</v>
      </c>
      <c r="T495" t="s">
        <v>22</v>
      </c>
      <c r="U495">
        <v>443.026</v>
      </c>
      <c r="V495">
        <v>439.111</v>
      </c>
    </row>
    <row r="496" spans="2:22">
      <c r="B496">
        <v>495</v>
      </c>
      <c r="C496" t="s">
        <v>516</v>
      </c>
      <c r="D496">
        <v>60</v>
      </c>
      <c r="E496">
        <v>19.594</v>
      </c>
      <c r="F496">
        <v>87457.547</v>
      </c>
      <c r="G496">
        <v>87467.805</v>
      </c>
      <c r="H496">
        <v>87478.062</v>
      </c>
      <c r="I496">
        <v>1</v>
      </c>
      <c r="J496">
        <v>2</v>
      </c>
      <c r="K496">
        <v>0</v>
      </c>
      <c r="L496">
        <v>0.023</v>
      </c>
      <c r="M496">
        <v>443.002</v>
      </c>
      <c r="N496">
        <v>0.02</v>
      </c>
      <c r="O496">
        <v>0</v>
      </c>
      <c r="P496">
        <v>0.001</v>
      </c>
      <c r="Q496">
        <v>0.002</v>
      </c>
      <c r="R496">
        <v>0</v>
      </c>
      <c r="S496" t="s">
        <v>22</v>
      </c>
      <c r="T496" t="s">
        <v>22</v>
      </c>
      <c r="U496">
        <v>443.003</v>
      </c>
      <c r="V496">
        <v>439.087</v>
      </c>
    </row>
    <row r="497" spans="2:22">
      <c r="B497">
        <v>496</v>
      </c>
      <c r="C497" t="s">
        <v>517</v>
      </c>
      <c r="D497">
        <v>60</v>
      </c>
      <c r="E497">
        <v>47.957</v>
      </c>
      <c r="F497">
        <v>87514.664</v>
      </c>
      <c r="G497">
        <v>87539.773</v>
      </c>
      <c r="H497">
        <v>87564.883</v>
      </c>
      <c r="I497">
        <v>1</v>
      </c>
      <c r="J497">
        <v>2</v>
      </c>
      <c r="K497">
        <v>0</v>
      </c>
      <c r="L497">
        <v>0.015</v>
      </c>
      <c r="M497">
        <v>442.987</v>
      </c>
      <c r="N497">
        <v>0.012</v>
      </c>
      <c r="O497">
        <v>0</v>
      </c>
      <c r="P497">
        <v>0.002</v>
      </c>
      <c r="Q497">
        <v>0.001</v>
      </c>
      <c r="R497">
        <v>0</v>
      </c>
      <c r="S497" t="s">
        <v>22</v>
      </c>
      <c r="T497" t="s">
        <v>22</v>
      </c>
      <c r="U497">
        <v>442.988</v>
      </c>
      <c r="V497">
        <v>439.073</v>
      </c>
    </row>
    <row r="498" spans="2:22">
      <c r="B498">
        <v>497</v>
      </c>
      <c r="C498" t="s">
        <v>518</v>
      </c>
      <c r="D498">
        <v>60</v>
      </c>
      <c r="E498">
        <v>5.188</v>
      </c>
      <c r="F498">
        <v>87599.352</v>
      </c>
      <c r="G498">
        <v>87602.07</v>
      </c>
      <c r="H498">
        <v>87604.789</v>
      </c>
      <c r="I498">
        <v>1</v>
      </c>
      <c r="J498">
        <v>2</v>
      </c>
      <c r="K498">
        <v>0</v>
      </c>
      <c r="L498">
        <v>0.012</v>
      </c>
      <c r="M498">
        <v>442.975</v>
      </c>
      <c r="N498">
        <v>0.01</v>
      </c>
      <c r="O498">
        <v>0</v>
      </c>
      <c r="P498">
        <v>0</v>
      </c>
      <c r="Q498">
        <v>0.001</v>
      </c>
      <c r="R498">
        <v>0</v>
      </c>
      <c r="S498" t="s">
        <v>22</v>
      </c>
      <c r="T498" t="s">
        <v>22</v>
      </c>
      <c r="U498">
        <v>442.975</v>
      </c>
      <c r="V498">
        <v>439.06</v>
      </c>
    </row>
    <row r="499" spans="2:22">
      <c r="B499">
        <v>498</v>
      </c>
      <c r="C499" t="s">
        <v>519</v>
      </c>
      <c r="D499">
        <v>0</v>
      </c>
      <c r="E499">
        <v>0</v>
      </c>
      <c r="F499">
        <v>87619.789</v>
      </c>
      <c r="G499">
        <v>87619.789</v>
      </c>
      <c r="H499">
        <v>87619.789</v>
      </c>
      <c r="I499">
        <v>1</v>
      </c>
      <c r="J499">
        <v>5</v>
      </c>
      <c r="K499">
        <v>1</v>
      </c>
      <c r="L499">
        <v>0.003</v>
      </c>
      <c r="M499">
        <v>442.972</v>
      </c>
      <c r="N499">
        <v>0.003</v>
      </c>
      <c r="O499">
        <v>0</v>
      </c>
      <c r="P499">
        <v>0</v>
      </c>
      <c r="Q499">
        <v>0</v>
      </c>
      <c r="R499">
        <v>0</v>
      </c>
      <c r="S499">
        <v>442.972</v>
      </c>
      <c r="T499">
        <v>439.364</v>
      </c>
      <c r="U499">
        <v>442.972</v>
      </c>
      <c r="V499">
        <v>439.364</v>
      </c>
    </row>
    <row r="500" spans="2:22">
      <c r="B500">
        <v>499</v>
      </c>
      <c r="C500" t="s">
        <v>520</v>
      </c>
      <c r="D500">
        <v>0</v>
      </c>
      <c r="E500">
        <v>0</v>
      </c>
      <c r="F500">
        <v>88610.227</v>
      </c>
      <c r="G500">
        <v>88610.227</v>
      </c>
      <c r="H500">
        <v>88610.227</v>
      </c>
      <c r="I500">
        <v>1</v>
      </c>
      <c r="J500">
        <v>5</v>
      </c>
      <c r="K500">
        <v>2</v>
      </c>
      <c r="L500">
        <v>1.27</v>
      </c>
      <c r="M500">
        <v>441.702</v>
      </c>
      <c r="N500">
        <v>0</v>
      </c>
      <c r="O500">
        <v>0</v>
      </c>
      <c r="P500">
        <v>0</v>
      </c>
      <c r="Q500">
        <v>0</v>
      </c>
      <c r="R500">
        <v>1.27</v>
      </c>
      <c r="S500">
        <v>441.702</v>
      </c>
      <c r="T500">
        <v>438.094</v>
      </c>
      <c r="U500">
        <v>441.702</v>
      </c>
      <c r="V500">
        <v>438.094</v>
      </c>
    </row>
    <row r="501" spans="2:22">
      <c r="B501">
        <v>500</v>
      </c>
      <c r="C501" t="s">
        <v>521</v>
      </c>
      <c r="D501">
        <v>60</v>
      </c>
      <c r="E501">
        <v>3.903</v>
      </c>
      <c r="F501">
        <v>88623.07</v>
      </c>
      <c r="G501">
        <v>88625.109</v>
      </c>
      <c r="H501">
        <v>88627.156</v>
      </c>
      <c r="I501">
        <v>1</v>
      </c>
      <c r="J501">
        <v>2</v>
      </c>
      <c r="K501">
        <v>0</v>
      </c>
      <c r="L501">
        <v>0.003</v>
      </c>
      <c r="M501">
        <v>441.699</v>
      </c>
      <c r="N501">
        <v>0.002</v>
      </c>
      <c r="O501">
        <v>0</v>
      </c>
      <c r="P501">
        <v>0</v>
      </c>
      <c r="Q501">
        <v>0</v>
      </c>
      <c r="R501">
        <v>0</v>
      </c>
      <c r="S501" t="s">
        <v>22</v>
      </c>
      <c r="T501" t="s">
        <v>22</v>
      </c>
      <c r="U501">
        <v>441.699</v>
      </c>
      <c r="V501">
        <v>437.784</v>
      </c>
    </row>
    <row r="502" spans="2:22">
      <c r="B502">
        <v>501</v>
      </c>
      <c r="C502" t="s">
        <v>522</v>
      </c>
      <c r="D502">
        <v>0</v>
      </c>
      <c r="E502">
        <v>0</v>
      </c>
      <c r="F502">
        <v>88641.227</v>
      </c>
      <c r="G502">
        <v>88641.227</v>
      </c>
      <c r="H502">
        <v>88641.227</v>
      </c>
      <c r="I502">
        <v>2</v>
      </c>
      <c r="J502">
        <v>1</v>
      </c>
      <c r="K502">
        <v>1</v>
      </c>
      <c r="L502">
        <v>0.046</v>
      </c>
      <c r="M502">
        <v>441.652</v>
      </c>
      <c r="N502">
        <v>0.002</v>
      </c>
      <c r="O502">
        <v>0.044</v>
      </c>
      <c r="P502">
        <v>0</v>
      </c>
      <c r="Q502">
        <v>0</v>
      </c>
      <c r="R502">
        <v>0</v>
      </c>
      <c r="S502">
        <v>441.697</v>
      </c>
      <c r="T502">
        <v>437.782</v>
      </c>
      <c r="U502">
        <v>441.652</v>
      </c>
      <c r="V502">
        <v>438.105</v>
      </c>
    </row>
    <row r="503" spans="2:22">
      <c r="B503">
        <v>502</v>
      </c>
      <c r="C503" t="s">
        <v>523</v>
      </c>
      <c r="D503">
        <v>60</v>
      </c>
      <c r="E503">
        <v>22.31</v>
      </c>
      <c r="F503">
        <v>89012.922</v>
      </c>
      <c r="G503">
        <v>89024.602</v>
      </c>
      <c r="H503">
        <v>89036.281</v>
      </c>
      <c r="I503">
        <v>2</v>
      </c>
      <c r="J503">
        <v>1</v>
      </c>
      <c r="K503">
        <v>0</v>
      </c>
      <c r="L503">
        <v>0.111</v>
      </c>
      <c r="M503">
        <v>441.542</v>
      </c>
      <c r="N503">
        <v>0.11</v>
      </c>
      <c r="O503">
        <v>0</v>
      </c>
      <c r="P503">
        <v>0.001</v>
      </c>
      <c r="Q503">
        <v>0</v>
      </c>
      <c r="R503">
        <v>0</v>
      </c>
      <c r="S503" t="s">
        <v>22</v>
      </c>
      <c r="T503" t="s">
        <v>22</v>
      </c>
      <c r="U503">
        <v>441.542</v>
      </c>
      <c r="V503">
        <v>437.995</v>
      </c>
    </row>
    <row r="504" spans="2:22">
      <c r="B504">
        <v>503</v>
      </c>
      <c r="C504" t="s">
        <v>524</v>
      </c>
      <c r="D504">
        <v>60</v>
      </c>
      <c r="E504">
        <v>17.274</v>
      </c>
      <c r="F504">
        <v>89139.352</v>
      </c>
      <c r="G504">
        <v>89148.398</v>
      </c>
      <c r="H504">
        <v>89157.445</v>
      </c>
      <c r="I504">
        <v>2</v>
      </c>
      <c r="J504">
        <v>1</v>
      </c>
      <c r="K504">
        <v>0</v>
      </c>
      <c r="L504">
        <v>0.036</v>
      </c>
      <c r="M504">
        <v>441.505</v>
      </c>
      <c r="N504">
        <v>0.035</v>
      </c>
      <c r="O504">
        <v>0</v>
      </c>
      <c r="P504">
        <v>0.001</v>
      </c>
      <c r="Q504">
        <v>0</v>
      </c>
      <c r="R504">
        <v>0</v>
      </c>
      <c r="S504" t="s">
        <v>22</v>
      </c>
      <c r="T504" t="s">
        <v>22</v>
      </c>
      <c r="U504">
        <v>441.506</v>
      </c>
      <c r="V504">
        <v>437.959</v>
      </c>
    </row>
    <row r="505" spans="2:22">
      <c r="B505">
        <v>504</v>
      </c>
      <c r="C505" t="s">
        <v>525</v>
      </c>
      <c r="D505">
        <v>60</v>
      </c>
      <c r="E505">
        <v>19.557</v>
      </c>
      <c r="F505">
        <v>89267.359</v>
      </c>
      <c r="G505">
        <v>89277.602</v>
      </c>
      <c r="H505">
        <v>89287.844</v>
      </c>
      <c r="I505">
        <v>2</v>
      </c>
      <c r="J505">
        <v>1</v>
      </c>
      <c r="K505">
        <v>0</v>
      </c>
      <c r="L505">
        <v>0.038</v>
      </c>
      <c r="M505">
        <v>441.467</v>
      </c>
      <c r="N505">
        <v>0.037</v>
      </c>
      <c r="O505">
        <v>0</v>
      </c>
      <c r="P505">
        <v>0.001</v>
      </c>
      <c r="Q505">
        <v>0</v>
      </c>
      <c r="R505">
        <v>0</v>
      </c>
      <c r="S505" t="s">
        <v>22</v>
      </c>
      <c r="T505" t="s">
        <v>22</v>
      </c>
      <c r="U505">
        <v>441.468</v>
      </c>
      <c r="V505">
        <v>437.921</v>
      </c>
    </row>
    <row r="506" spans="2:22">
      <c r="B506">
        <v>505</v>
      </c>
      <c r="C506" t="s">
        <v>526</v>
      </c>
      <c r="D506">
        <v>0</v>
      </c>
      <c r="E506">
        <v>0</v>
      </c>
      <c r="F506">
        <v>89691.227</v>
      </c>
      <c r="G506">
        <v>89691.227</v>
      </c>
      <c r="H506">
        <v>89691.227</v>
      </c>
      <c r="I506">
        <v>2</v>
      </c>
      <c r="J506">
        <v>1</v>
      </c>
      <c r="K506">
        <v>2</v>
      </c>
      <c r="L506">
        <v>0.095</v>
      </c>
      <c r="M506">
        <v>441.372</v>
      </c>
      <c r="N506">
        <v>0.118</v>
      </c>
      <c r="O506">
        <v>-0.023</v>
      </c>
      <c r="P506">
        <v>0</v>
      </c>
      <c r="Q506">
        <v>0</v>
      </c>
      <c r="R506">
        <v>0</v>
      </c>
      <c r="S506">
        <v>441.372</v>
      </c>
      <c r="T506">
        <v>437.457</v>
      </c>
      <c r="U506">
        <v>441.349</v>
      </c>
      <c r="V506">
        <v>437.802</v>
      </c>
    </row>
    <row r="507" spans="2:22">
      <c r="B507">
        <v>506</v>
      </c>
      <c r="C507" t="s">
        <v>527</v>
      </c>
      <c r="D507">
        <v>60</v>
      </c>
      <c r="E507">
        <v>7.167</v>
      </c>
      <c r="F507">
        <v>89779.688</v>
      </c>
      <c r="G507">
        <v>89783.438</v>
      </c>
      <c r="H507">
        <v>89787.195</v>
      </c>
      <c r="I507">
        <v>1</v>
      </c>
      <c r="J507">
        <v>2</v>
      </c>
      <c r="K507">
        <v>0</v>
      </c>
      <c r="L507">
        <v>0.017</v>
      </c>
      <c r="M507">
        <v>441.355</v>
      </c>
      <c r="N507">
        <v>0.015</v>
      </c>
      <c r="O507">
        <v>0</v>
      </c>
      <c r="P507">
        <v>0</v>
      </c>
      <c r="Q507">
        <v>0.002</v>
      </c>
      <c r="R507">
        <v>0</v>
      </c>
      <c r="S507" t="s">
        <v>22</v>
      </c>
      <c r="T507" t="s">
        <v>22</v>
      </c>
      <c r="U507">
        <v>441.355</v>
      </c>
      <c r="V507">
        <v>437.44</v>
      </c>
    </row>
    <row r="508" spans="2:22">
      <c r="B508">
        <v>507</v>
      </c>
      <c r="C508" t="s">
        <v>528</v>
      </c>
      <c r="D508">
        <v>60</v>
      </c>
      <c r="E508">
        <v>40.956</v>
      </c>
      <c r="F508">
        <v>89873.797</v>
      </c>
      <c r="G508">
        <v>89895.242</v>
      </c>
      <c r="H508">
        <v>89916.688</v>
      </c>
      <c r="I508">
        <v>1</v>
      </c>
      <c r="J508">
        <v>2</v>
      </c>
      <c r="K508">
        <v>0</v>
      </c>
      <c r="L508">
        <v>0.022</v>
      </c>
      <c r="M508">
        <v>441.333</v>
      </c>
      <c r="N508">
        <v>0.019</v>
      </c>
      <c r="O508">
        <v>0</v>
      </c>
      <c r="P508">
        <v>0.002</v>
      </c>
      <c r="Q508">
        <v>0.002</v>
      </c>
      <c r="R508">
        <v>0</v>
      </c>
      <c r="S508" t="s">
        <v>22</v>
      </c>
      <c r="T508" t="s">
        <v>22</v>
      </c>
      <c r="U508">
        <v>441.334</v>
      </c>
      <c r="V508">
        <v>437.419</v>
      </c>
    </row>
    <row r="509" spans="2:22">
      <c r="B509">
        <v>508</v>
      </c>
      <c r="C509" t="s">
        <v>529</v>
      </c>
      <c r="D509">
        <v>60</v>
      </c>
      <c r="E509">
        <v>27.717</v>
      </c>
      <c r="F509">
        <v>90044.211</v>
      </c>
      <c r="G509">
        <v>90058.727</v>
      </c>
      <c r="H509">
        <v>90073.242</v>
      </c>
      <c r="I509">
        <v>1</v>
      </c>
      <c r="J509">
        <v>2</v>
      </c>
      <c r="K509">
        <v>0</v>
      </c>
      <c r="L509">
        <v>0.032</v>
      </c>
      <c r="M509">
        <v>441.301</v>
      </c>
      <c r="N509">
        <v>0.027</v>
      </c>
      <c r="O509">
        <v>0</v>
      </c>
      <c r="P509">
        <v>0.001</v>
      </c>
      <c r="Q509">
        <v>0.003</v>
      </c>
      <c r="R509">
        <v>0</v>
      </c>
      <c r="S509" t="s">
        <v>22</v>
      </c>
      <c r="T509" t="s">
        <v>22</v>
      </c>
      <c r="U509">
        <v>441.302</v>
      </c>
      <c r="V509">
        <v>437.387</v>
      </c>
    </row>
    <row r="510" spans="2:22">
      <c r="B510">
        <v>509</v>
      </c>
      <c r="C510" t="s">
        <v>530</v>
      </c>
      <c r="D510">
        <v>0</v>
      </c>
      <c r="E510">
        <v>0</v>
      </c>
      <c r="F510">
        <v>90102.227</v>
      </c>
      <c r="G510">
        <v>90102.227</v>
      </c>
      <c r="H510">
        <v>90102.227</v>
      </c>
      <c r="I510">
        <v>2</v>
      </c>
      <c r="J510">
        <v>1</v>
      </c>
      <c r="K510">
        <v>1</v>
      </c>
      <c r="L510">
        <v>0.051</v>
      </c>
      <c r="M510">
        <v>441.25</v>
      </c>
      <c r="N510">
        <v>0.006</v>
      </c>
      <c r="O510">
        <v>0.044</v>
      </c>
      <c r="P510">
        <v>0</v>
      </c>
      <c r="Q510">
        <v>0.001</v>
      </c>
      <c r="R510">
        <v>0</v>
      </c>
      <c r="S510">
        <v>441.294</v>
      </c>
      <c r="T510">
        <v>437.379</v>
      </c>
      <c r="U510">
        <v>441.25</v>
      </c>
      <c r="V510">
        <v>437.703</v>
      </c>
    </row>
    <row r="511" spans="2:22">
      <c r="B511">
        <v>510</v>
      </c>
      <c r="C511" t="s">
        <v>531</v>
      </c>
      <c r="D511">
        <v>0</v>
      </c>
      <c r="E511">
        <v>0</v>
      </c>
      <c r="F511">
        <v>90363.227</v>
      </c>
      <c r="G511">
        <v>90363.227</v>
      </c>
      <c r="H511">
        <v>90363.227</v>
      </c>
      <c r="I511">
        <v>2</v>
      </c>
      <c r="J511">
        <v>1</v>
      </c>
      <c r="K511">
        <v>2</v>
      </c>
      <c r="L511">
        <v>0.051</v>
      </c>
      <c r="M511">
        <v>441.198</v>
      </c>
      <c r="N511">
        <v>0.075</v>
      </c>
      <c r="O511">
        <v>-0.023</v>
      </c>
      <c r="P511">
        <v>0</v>
      </c>
      <c r="Q511">
        <v>0</v>
      </c>
      <c r="R511">
        <v>0</v>
      </c>
      <c r="S511">
        <v>441.198</v>
      </c>
      <c r="T511">
        <v>437.283</v>
      </c>
      <c r="U511">
        <v>441.175</v>
      </c>
      <c r="V511">
        <v>437.628</v>
      </c>
    </row>
    <row r="512" spans="2:22">
      <c r="B512">
        <v>511</v>
      </c>
      <c r="C512" t="s">
        <v>532</v>
      </c>
      <c r="D512">
        <v>0</v>
      </c>
      <c r="E512">
        <v>0</v>
      </c>
      <c r="F512">
        <v>90403.227</v>
      </c>
      <c r="G512">
        <v>90403.227</v>
      </c>
      <c r="H512">
        <v>90403.227</v>
      </c>
      <c r="I512">
        <v>3</v>
      </c>
      <c r="J512">
        <v>1</v>
      </c>
      <c r="K512">
        <v>1</v>
      </c>
      <c r="L512">
        <v>0.01</v>
      </c>
      <c r="M512">
        <v>441.189</v>
      </c>
      <c r="N512">
        <v>0.005</v>
      </c>
      <c r="O512">
        <v>0.004</v>
      </c>
      <c r="P512">
        <v>0</v>
      </c>
      <c r="Q512">
        <v>0.001</v>
      </c>
      <c r="R512">
        <v>0</v>
      </c>
      <c r="S512">
        <v>441.193</v>
      </c>
      <c r="T512">
        <v>437.278</v>
      </c>
      <c r="U512">
        <v>441.189</v>
      </c>
      <c r="V512">
        <v>437.3</v>
      </c>
    </row>
    <row r="513" spans="2:22">
      <c r="B513">
        <v>512</v>
      </c>
      <c r="C513" t="s">
        <v>533</v>
      </c>
      <c r="D513">
        <v>0</v>
      </c>
      <c r="E513">
        <v>0</v>
      </c>
      <c r="F513">
        <v>90600.227</v>
      </c>
      <c r="G513">
        <v>90600.227</v>
      </c>
      <c r="H513">
        <v>90600.227</v>
      </c>
      <c r="I513">
        <v>3</v>
      </c>
      <c r="J513">
        <v>1</v>
      </c>
      <c r="K513">
        <v>2</v>
      </c>
      <c r="L513">
        <v>0.034</v>
      </c>
      <c r="M513">
        <v>441.155</v>
      </c>
      <c r="N513">
        <v>0.036</v>
      </c>
      <c r="O513">
        <v>-0.002</v>
      </c>
      <c r="P513">
        <v>0</v>
      </c>
      <c r="Q513">
        <v>0</v>
      </c>
      <c r="R513">
        <v>0</v>
      </c>
      <c r="S513">
        <v>441.155</v>
      </c>
      <c r="T513">
        <v>437.24</v>
      </c>
      <c r="U513">
        <v>441.153</v>
      </c>
      <c r="V513">
        <v>437.264</v>
      </c>
    </row>
    <row r="514" spans="2:22">
      <c r="B514">
        <v>513</v>
      </c>
      <c r="C514" t="s">
        <v>534</v>
      </c>
      <c r="D514">
        <v>60</v>
      </c>
      <c r="E514">
        <v>6.197</v>
      </c>
      <c r="F514">
        <v>90623.18</v>
      </c>
      <c r="G514">
        <v>90626.43</v>
      </c>
      <c r="H514">
        <v>90629.672</v>
      </c>
      <c r="I514">
        <v>1</v>
      </c>
      <c r="J514">
        <v>2</v>
      </c>
      <c r="K514">
        <v>0</v>
      </c>
      <c r="L514">
        <v>0.004</v>
      </c>
      <c r="M514">
        <v>441.151</v>
      </c>
      <c r="N514">
        <v>0.004</v>
      </c>
      <c r="O514">
        <v>0</v>
      </c>
      <c r="P514">
        <v>0</v>
      </c>
      <c r="Q514">
        <v>0</v>
      </c>
      <c r="R514">
        <v>0</v>
      </c>
      <c r="S514" t="s">
        <v>22</v>
      </c>
      <c r="T514" t="s">
        <v>22</v>
      </c>
      <c r="U514">
        <v>441.151</v>
      </c>
      <c r="V514">
        <v>437.236</v>
      </c>
    </row>
    <row r="515" spans="2:22">
      <c r="B515">
        <v>514</v>
      </c>
      <c r="C515" t="s">
        <v>535</v>
      </c>
      <c r="D515">
        <v>40</v>
      </c>
      <c r="E515">
        <v>53.176</v>
      </c>
      <c r="F515">
        <v>90705.422</v>
      </c>
      <c r="G515">
        <v>90723.984</v>
      </c>
      <c r="H515">
        <v>90742.547</v>
      </c>
      <c r="I515">
        <v>1</v>
      </c>
      <c r="J515">
        <v>2</v>
      </c>
      <c r="K515">
        <v>0</v>
      </c>
      <c r="L515">
        <v>0.02</v>
      </c>
      <c r="M515">
        <v>441.131</v>
      </c>
      <c r="N515">
        <v>0.016</v>
      </c>
      <c r="O515">
        <v>0</v>
      </c>
      <c r="P515">
        <v>0.002</v>
      </c>
      <c r="Q515">
        <v>0.002</v>
      </c>
      <c r="R515">
        <v>0</v>
      </c>
      <c r="S515" t="s">
        <v>22</v>
      </c>
      <c r="T515" t="s">
        <v>22</v>
      </c>
      <c r="U515">
        <v>441.132</v>
      </c>
      <c r="V515">
        <v>437.217</v>
      </c>
    </row>
    <row r="516" spans="2:22">
      <c r="B516">
        <v>515</v>
      </c>
      <c r="C516" t="s">
        <v>536</v>
      </c>
      <c r="D516">
        <v>60</v>
      </c>
      <c r="E516">
        <v>20.934</v>
      </c>
      <c r="F516">
        <v>90886.094</v>
      </c>
      <c r="G516">
        <v>90897.055</v>
      </c>
      <c r="H516">
        <v>90908.016</v>
      </c>
      <c r="I516">
        <v>1</v>
      </c>
      <c r="J516">
        <v>2</v>
      </c>
      <c r="K516">
        <v>0</v>
      </c>
      <c r="L516">
        <v>0.033</v>
      </c>
      <c r="M516">
        <v>441.098</v>
      </c>
      <c r="N516">
        <v>0.029</v>
      </c>
      <c r="O516">
        <v>0</v>
      </c>
      <c r="P516">
        <v>0.001</v>
      </c>
      <c r="Q516">
        <v>0.003</v>
      </c>
      <c r="R516">
        <v>0</v>
      </c>
      <c r="S516" t="s">
        <v>22</v>
      </c>
      <c r="T516" t="s">
        <v>22</v>
      </c>
      <c r="U516">
        <v>441.098</v>
      </c>
      <c r="V516">
        <v>437.183</v>
      </c>
    </row>
    <row r="517" spans="2:22">
      <c r="B517">
        <v>516</v>
      </c>
      <c r="C517" t="s">
        <v>537</v>
      </c>
      <c r="D517">
        <v>60</v>
      </c>
      <c r="E517">
        <v>27.788</v>
      </c>
      <c r="F517">
        <v>91007.133</v>
      </c>
      <c r="G517">
        <v>91021.68</v>
      </c>
      <c r="H517">
        <v>91036.227</v>
      </c>
      <c r="I517">
        <v>1</v>
      </c>
      <c r="J517">
        <v>2</v>
      </c>
      <c r="K517">
        <v>0</v>
      </c>
      <c r="L517">
        <v>0.024</v>
      </c>
      <c r="M517">
        <v>441.073</v>
      </c>
      <c r="N517">
        <v>0.021</v>
      </c>
      <c r="O517">
        <v>0</v>
      </c>
      <c r="P517">
        <v>0.001</v>
      </c>
      <c r="Q517">
        <v>0.002</v>
      </c>
      <c r="R517">
        <v>0</v>
      </c>
      <c r="S517" t="s">
        <v>22</v>
      </c>
      <c r="T517" t="s">
        <v>22</v>
      </c>
      <c r="U517">
        <v>441.074</v>
      </c>
      <c r="V517">
        <v>437.159</v>
      </c>
    </row>
    <row r="518" spans="2:22">
      <c r="B518">
        <v>517</v>
      </c>
      <c r="C518" t="s">
        <v>538</v>
      </c>
      <c r="D518">
        <v>0</v>
      </c>
      <c r="E518">
        <v>0</v>
      </c>
      <c r="F518">
        <v>91059.562</v>
      </c>
      <c r="G518">
        <v>91059.562</v>
      </c>
      <c r="H518">
        <v>91059.562</v>
      </c>
      <c r="I518">
        <v>3</v>
      </c>
      <c r="J518">
        <v>1</v>
      </c>
      <c r="K518">
        <v>1</v>
      </c>
      <c r="L518">
        <v>0.01</v>
      </c>
      <c r="M518">
        <v>441.063</v>
      </c>
      <c r="N518">
        <v>0.005</v>
      </c>
      <c r="O518">
        <v>0.004</v>
      </c>
      <c r="P518">
        <v>0</v>
      </c>
      <c r="Q518">
        <v>0.001</v>
      </c>
      <c r="R518">
        <v>0</v>
      </c>
      <c r="S518">
        <v>441.067</v>
      </c>
      <c r="T518">
        <v>437.152</v>
      </c>
      <c r="U518">
        <v>441.063</v>
      </c>
      <c r="V518">
        <v>437.174</v>
      </c>
    </row>
    <row r="519" spans="2:22">
      <c r="B519">
        <v>518</v>
      </c>
      <c r="C519" t="s">
        <v>539</v>
      </c>
      <c r="D519">
        <v>60</v>
      </c>
      <c r="E519">
        <v>9.629</v>
      </c>
      <c r="F519">
        <v>91400.172</v>
      </c>
      <c r="G519">
        <v>91405.219</v>
      </c>
      <c r="H519">
        <v>91410.258</v>
      </c>
      <c r="I519">
        <v>3</v>
      </c>
      <c r="J519">
        <v>1</v>
      </c>
      <c r="K519">
        <v>0</v>
      </c>
      <c r="L519">
        <v>0.063</v>
      </c>
      <c r="M519">
        <v>441</v>
      </c>
      <c r="N519">
        <v>0.063</v>
      </c>
      <c r="O519">
        <v>0</v>
      </c>
      <c r="P519">
        <v>0</v>
      </c>
      <c r="Q519">
        <v>0</v>
      </c>
      <c r="R519">
        <v>0</v>
      </c>
      <c r="S519" t="s">
        <v>22</v>
      </c>
      <c r="T519" t="s">
        <v>22</v>
      </c>
      <c r="U519">
        <v>441</v>
      </c>
      <c r="V519">
        <v>437.111</v>
      </c>
    </row>
    <row r="520" spans="2:22">
      <c r="B520">
        <v>519</v>
      </c>
      <c r="C520" t="s">
        <v>540</v>
      </c>
      <c r="D520">
        <v>60</v>
      </c>
      <c r="E520">
        <v>27.357</v>
      </c>
      <c r="F520">
        <v>91581.781</v>
      </c>
      <c r="G520">
        <v>91596.102</v>
      </c>
      <c r="H520">
        <v>91610.43</v>
      </c>
      <c r="I520">
        <v>3</v>
      </c>
      <c r="J520">
        <v>1</v>
      </c>
      <c r="K520">
        <v>0</v>
      </c>
      <c r="L520">
        <v>0.036</v>
      </c>
      <c r="M520">
        <v>440.964</v>
      </c>
      <c r="N520">
        <v>0.035</v>
      </c>
      <c r="O520">
        <v>0</v>
      </c>
      <c r="P520">
        <v>0.001</v>
      </c>
      <c r="Q520">
        <v>0</v>
      </c>
      <c r="R520">
        <v>0</v>
      </c>
      <c r="S520" t="s">
        <v>22</v>
      </c>
      <c r="T520" t="s">
        <v>22</v>
      </c>
      <c r="U520">
        <v>440.965</v>
      </c>
      <c r="V520">
        <v>437.076</v>
      </c>
    </row>
    <row r="521" spans="2:22">
      <c r="B521">
        <v>520</v>
      </c>
      <c r="C521" t="s">
        <v>541</v>
      </c>
      <c r="D521">
        <v>60</v>
      </c>
      <c r="E521">
        <v>29.781</v>
      </c>
      <c r="F521">
        <v>91865.461</v>
      </c>
      <c r="G521">
        <v>91881.055</v>
      </c>
      <c r="H521">
        <v>91896.648</v>
      </c>
      <c r="I521">
        <v>3</v>
      </c>
      <c r="J521">
        <v>1</v>
      </c>
      <c r="K521">
        <v>0</v>
      </c>
      <c r="L521">
        <v>0.053</v>
      </c>
      <c r="M521">
        <v>440.911</v>
      </c>
      <c r="N521">
        <v>0.052</v>
      </c>
      <c r="O521">
        <v>0</v>
      </c>
      <c r="P521">
        <v>0.001</v>
      </c>
      <c r="Q521">
        <v>0</v>
      </c>
      <c r="R521">
        <v>0</v>
      </c>
      <c r="S521" t="s">
        <v>22</v>
      </c>
      <c r="T521" t="s">
        <v>22</v>
      </c>
      <c r="U521">
        <v>440.912</v>
      </c>
      <c r="V521">
        <v>437.023</v>
      </c>
    </row>
    <row r="522" spans="2:22">
      <c r="B522">
        <v>521</v>
      </c>
      <c r="C522" t="s">
        <v>542</v>
      </c>
      <c r="D522">
        <v>60</v>
      </c>
      <c r="E522">
        <v>25.907</v>
      </c>
      <c r="F522">
        <v>92068.602</v>
      </c>
      <c r="G522">
        <v>92082.172</v>
      </c>
      <c r="H522">
        <v>92095.734</v>
      </c>
      <c r="I522">
        <v>3</v>
      </c>
      <c r="J522">
        <v>1</v>
      </c>
      <c r="K522">
        <v>0</v>
      </c>
      <c r="L522">
        <v>0.038</v>
      </c>
      <c r="M522">
        <v>440.874</v>
      </c>
      <c r="N522">
        <v>0.037</v>
      </c>
      <c r="O522">
        <v>0</v>
      </c>
      <c r="P522">
        <v>0.001</v>
      </c>
      <c r="Q522">
        <v>0</v>
      </c>
      <c r="R522">
        <v>0</v>
      </c>
      <c r="S522" t="s">
        <v>22</v>
      </c>
      <c r="T522" t="s">
        <v>22</v>
      </c>
      <c r="U522">
        <v>440.874</v>
      </c>
      <c r="V522">
        <v>436.985</v>
      </c>
    </row>
    <row r="523" spans="2:22">
      <c r="B523">
        <v>522</v>
      </c>
      <c r="C523" t="s">
        <v>543</v>
      </c>
      <c r="D523">
        <v>60</v>
      </c>
      <c r="E523">
        <v>24.395</v>
      </c>
      <c r="F523">
        <v>92400.477</v>
      </c>
      <c r="G523">
        <v>92413.25</v>
      </c>
      <c r="H523">
        <v>92426.016</v>
      </c>
      <c r="I523">
        <v>3</v>
      </c>
      <c r="J523">
        <v>1</v>
      </c>
      <c r="K523">
        <v>0</v>
      </c>
      <c r="L523">
        <v>0.061</v>
      </c>
      <c r="M523">
        <v>440.812</v>
      </c>
      <c r="N523">
        <v>0.06</v>
      </c>
      <c r="O523">
        <v>0</v>
      </c>
      <c r="P523">
        <v>0.001</v>
      </c>
      <c r="Q523">
        <v>0</v>
      </c>
      <c r="R523">
        <v>0</v>
      </c>
      <c r="S523" t="s">
        <v>22</v>
      </c>
      <c r="T523" t="s">
        <v>22</v>
      </c>
      <c r="U523">
        <v>440.813</v>
      </c>
      <c r="V523">
        <v>436.924</v>
      </c>
    </row>
    <row r="524" spans="2:22">
      <c r="B524">
        <v>523</v>
      </c>
      <c r="C524" t="s">
        <v>544</v>
      </c>
      <c r="D524">
        <v>0</v>
      </c>
      <c r="E524">
        <v>0</v>
      </c>
      <c r="F524">
        <v>92606.562</v>
      </c>
      <c r="G524">
        <v>92606.562</v>
      </c>
      <c r="H524">
        <v>92606.562</v>
      </c>
      <c r="I524">
        <v>3</v>
      </c>
      <c r="J524">
        <v>1</v>
      </c>
      <c r="K524">
        <v>2</v>
      </c>
      <c r="L524">
        <v>0.033</v>
      </c>
      <c r="M524">
        <v>440.779</v>
      </c>
      <c r="N524">
        <v>0.035</v>
      </c>
      <c r="O524">
        <v>-0.002</v>
      </c>
      <c r="P524">
        <v>0</v>
      </c>
      <c r="Q524">
        <v>0</v>
      </c>
      <c r="R524">
        <v>0</v>
      </c>
      <c r="S524">
        <v>440.779</v>
      </c>
      <c r="T524">
        <v>436.864</v>
      </c>
      <c r="U524">
        <v>440.777</v>
      </c>
      <c r="V524">
        <v>436.888</v>
      </c>
    </row>
    <row r="525" spans="2:22">
      <c r="B525">
        <v>524</v>
      </c>
      <c r="C525" t="s">
        <v>545</v>
      </c>
      <c r="D525">
        <v>60</v>
      </c>
      <c r="E525">
        <v>32.138</v>
      </c>
      <c r="F525">
        <v>92644.617</v>
      </c>
      <c r="G525">
        <v>92661.445</v>
      </c>
      <c r="H525">
        <v>92678.273</v>
      </c>
      <c r="I525">
        <v>1</v>
      </c>
      <c r="J525">
        <v>2</v>
      </c>
      <c r="K525">
        <v>0</v>
      </c>
      <c r="L525">
        <v>0.011</v>
      </c>
      <c r="M525">
        <v>440.769</v>
      </c>
      <c r="N525">
        <v>0.008</v>
      </c>
      <c r="O525">
        <v>0</v>
      </c>
      <c r="P525">
        <v>0.001</v>
      </c>
      <c r="Q525">
        <v>0.001</v>
      </c>
      <c r="R525">
        <v>0</v>
      </c>
      <c r="S525" t="s">
        <v>22</v>
      </c>
      <c r="T525" t="s">
        <v>22</v>
      </c>
      <c r="U525">
        <v>440.77</v>
      </c>
      <c r="V525">
        <v>436.855</v>
      </c>
    </row>
    <row r="526" spans="2:22">
      <c r="B526">
        <v>525</v>
      </c>
      <c r="C526" t="s">
        <v>546</v>
      </c>
      <c r="D526">
        <v>60</v>
      </c>
      <c r="E526">
        <v>40.743</v>
      </c>
      <c r="F526">
        <v>92723.078</v>
      </c>
      <c r="G526">
        <v>92744.406</v>
      </c>
      <c r="H526">
        <v>92765.742</v>
      </c>
      <c r="I526">
        <v>1</v>
      </c>
      <c r="J526">
        <v>2</v>
      </c>
      <c r="K526">
        <v>0</v>
      </c>
      <c r="L526">
        <v>0.017</v>
      </c>
      <c r="M526">
        <v>440.752</v>
      </c>
      <c r="N526">
        <v>0.014</v>
      </c>
      <c r="O526">
        <v>0</v>
      </c>
      <c r="P526">
        <v>0.002</v>
      </c>
      <c r="Q526">
        <v>0.002</v>
      </c>
      <c r="R526">
        <v>0</v>
      </c>
      <c r="S526" t="s">
        <v>22</v>
      </c>
      <c r="T526" t="s">
        <v>22</v>
      </c>
      <c r="U526">
        <v>440.753</v>
      </c>
      <c r="V526">
        <v>436.838</v>
      </c>
    </row>
    <row r="527" spans="2:22">
      <c r="B527">
        <v>526</v>
      </c>
      <c r="C527" t="s">
        <v>547</v>
      </c>
      <c r="D527">
        <v>0</v>
      </c>
      <c r="E527">
        <v>0</v>
      </c>
      <c r="F527">
        <v>92803.562</v>
      </c>
      <c r="G527">
        <v>92803.562</v>
      </c>
      <c r="H527">
        <v>92803.562</v>
      </c>
      <c r="I527">
        <v>3</v>
      </c>
      <c r="J527">
        <v>1</v>
      </c>
      <c r="K527">
        <v>1</v>
      </c>
      <c r="L527">
        <v>0.014</v>
      </c>
      <c r="M527">
        <v>440.738</v>
      </c>
      <c r="N527">
        <v>0.009</v>
      </c>
      <c r="O527">
        <v>0.004</v>
      </c>
      <c r="P527">
        <v>0</v>
      </c>
      <c r="Q527">
        <v>0.001</v>
      </c>
      <c r="R527">
        <v>0</v>
      </c>
      <c r="S527">
        <v>440.742</v>
      </c>
      <c r="T527">
        <v>436.827</v>
      </c>
      <c r="U527">
        <v>440.738</v>
      </c>
      <c r="V527">
        <v>436.849</v>
      </c>
    </row>
    <row r="528" spans="2:22">
      <c r="B528">
        <v>527</v>
      </c>
      <c r="C528" t="s">
        <v>548</v>
      </c>
      <c r="D528">
        <v>60</v>
      </c>
      <c r="E528">
        <v>16.523</v>
      </c>
      <c r="F528">
        <v>93090.188</v>
      </c>
      <c r="G528">
        <v>93098.836</v>
      </c>
      <c r="H528">
        <v>93107.492</v>
      </c>
      <c r="I528">
        <v>3</v>
      </c>
      <c r="J528">
        <v>1</v>
      </c>
      <c r="K528">
        <v>0</v>
      </c>
      <c r="L528">
        <v>0.054</v>
      </c>
      <c r="M528">
        <v>440.683</v>
      </c>
      <c r="N528">
        <v>0.054</v>
      </c>
      <c r="O528">
        <v>0</v>
      </c>
      <c r="P528">
        <v>0.001</v>
      </c>
      <c r="Q528">
        <v>0</v>
      </c>
      <c r="R528">
        <v>0</v>
      </c>
      <c r="S528" t="s">
        <v>22</v>
      </c>
      <c r="T528" t="s">
        <v>22</v>
      </c>
      <c r="U528">
        <v>440.684</v>
      </c>
      <c r="V528">
        <v>436.794</v>
      </c>
    </row>
    <row r="529" spans="2:22">
      <c r="B529">
        <v>528</v>
      </c>
      <c r="C529" t="s">
        <v>549</v>
      </c>
      <c r="D529">
        <v>60</v>
      </c>
      <c r="E529">
        <v>20.209</v>
      </c>
      <c r="F529">
        <v>93490.133</v>
      </c>
      <c r="G529">
        <v>93500.719</v>
      </c>
      <c r="H529">
        <v>93511.297</v>
      </c>
      <c r="I529">
        <v>3</v>
      </c>
      <c r="J529">
        <v>1</v>
      </c>
      <c r="K529">
        <v>0</v>
      </c>
      <c r="L529">
        <v>0.074</v>
      </c>
      <c r="M529">
        <v>440.609</v>
      </c>
      <c r="N529">
        <v>0.073</v>
      </c>
      <c r="O529">
        <v>0</v>
      </c>
      <c r="P529">
        <v>0.001</v>
      </c>
      <c r="Q529">
        <v>0</v>
      </c>
      <c r="R529">
        <v>0</v>
      </c>
      <c r="S529" t="s">
        <v>22</v>
      </c>
      <c r="T529" t="s">
        <v>22</v>
      </c>
      <c r="U529">
        <v>440.61</v>
      </c>
      <c r="V529">
        <v>436.721</v>
      </c>
    </row>
    <row r="530" spans="2:22">
      <c r="B530">
        <v>529</v>
      </c>
      <c r="C530" t="s">
        <v>550</v>
      </c>
      <c r="D530">
        <v>60</v>
      </c>
      <c r="E530">
        <v>23.112</v>
      </c>
      <c r="F530">
        <v>93914.117</v>
      </c>
      <c r="G530">
        <v>93926.219</v>
      </c>
      <c r="H530">
        <v>93938.32</v>
      </c>
      <c r="I530">
        <v>3</v>
      </c>
      <c r="J530">
        <v>1</v>
      </c>
      <c r="K530">
        <v>0</v>
      </c>
      <c r="L530">
        <v>0.078</v>
      </c>
      <c r="M530">
        <v>440.531</v>
      </c>
      <c r="N530">
        <v>0.077</v>
      </c>
      <c r="O530">
        <v>0</v>
      </c>
      <c r="P530">
        <v>0.001</v>
      </c>
      <c r="Q530">
        <v>0</v>
      </c>
      <c r="R530">
        <v>0</v>
      </c>
      <c r="S530" t="s">
        <v>22</v>
      </c>
      <c r="T530" t="s">
        <v>22</v>
      </c>
      <c r="U530">
        <v>440.532</v>
      </c>
      <c r="V530">
        <v>436.643</v>
      </c>
    </row>
    <row r="531" spans="2:22">
      <c r="B531">
        <v>530</v>
      </c>
      <c r="C531" t="s">
        <v>551</v>
      </c>
      <c r="D531">
        <v>60</v>
      </c>
      <c r="E531">
        <v>30.887</v>
      </c>
      <c r="F531">
        <v>94464.18</v>
      </c>
      <c r="G531">
        <v>94480.352</v>
      </c>
      <c r="H531">
        <v>94496.523</v>
      </c>
      <c r="I531">
        <v>3</v>
      </c>
      <c r="J531">
        <v>1</v>
      </c>
      <c r="K531">
        <v>0</v>
      </c>
      <c r="L531">
        <v>0.102</v>
      </c>
      <c r="M531">
        <v>440.429</v>
      </c>
      <c r="N531">
        <v>0.101</v>
      </c>
      <c r="O531">
        <v>0</v>
      </c>
      <c r="P531">
        <v>0.001</v>
      </c>
      <c r="Q531">
        <v>0</v>
      </c>
      <c r="R531">
        <v>0</v>
      </c>
      <c r="S531" t="s">
        <v>22</v>
      </c>
      <c r="T531" t="s">
        <v>22</v>
      </c>
      <c r="U531">
        <v>440.43</v>
      </c>
      <c r="V531">
        <v>436.541</v>
      </c>
    </row>
    <row r="532" spans="2:22">
      <c r="B532">
        <v>531</v>
      </c>
      <c r="C532" t="s">
        <v>552</v>
      </c>
      <c r="D532">
        <v>60</v>
      </c>
      <c r="E532">
        <v>14.922</v>
      </c>
      <c r="F532">
        <v>94871.312</v>
      </c>
      <c r="G532">
        <v>94879.133</v>
      </c>
      <c r="H532">
        <v>94886.945</v>
      </c>
      <c r="I532">
        <v>3</v>
      </c>
      <c r="J532">
        <v>1</v>
      </c>
      <c r="K532">
        <v>0</v>
      </c>
      <c r="L532">
        <v>0.073</v>
      </c>
      <c r="M532">
        <v>440.356</v>
      </c>
      <c r="N532">
        <v>0.073</v>
      </c>
      <c r="O532">
        <v>0</v>
      </c>
      <c r="P532">
        <v>0.001</v>
      </c>
      <c r="Q532">
        <v>0</v>
      </c>
      <c r="R532">
        <v>0</v>
      </c>
      <c r="S532" t="s">
        <v>22</v>
      </c>
      <c r="T532" t="s">
        <v>22</v>
      </c>
      <c r="U532">
        <v>440.356</v>
      </c>
      <c r="V532">
        <v>436.467</v>
      </c>
    </row>
    <row r="533" spans="2:22">
      <c r="B533">
        <v>532</v>
      </c>
      <c r="C533" t="s">
        <v>553</v>
      </c>
      <c r="D533">
        <v>0</v>
      </c>
      <c r="E533">
        <v>0</v>
      </c>
      <c r="F533">
        <v>94966.211</v>
      </c>
      <c r="G533">
        <v>94966.211</v>
      </c>
      <c r="H533">
        <v>94966.211</v>
      </c>
      <c r="I533">
        <v>3</v>
      </c>
      <c r="J533">
        <v>1</v>
      </c>
      <c r="K533">
        <v>2</v>
      </c>
      <c r="L533">
        <v>0.014</v>
      </c>
      <c r="M533">
        <v>440.342</v>
      </c>
      <c r="N533">
        <v>0.016</v>
      </c>
      <c r="O533">
        <v>-0.002</v>
      </c>
      <c r="P533">
        <v>0</v>
      </c>
      <c r="Q533">
        <v>0</v>
      </c>
      <c r="R533">
        <v>0</v>
      </c>
      <c r="S533">
        <v>440.342</v>
      </c>
      <c r="T533">
        <v>436.427</v>
      </c>
      <c r="U533">
        <v>440.34</v>
      </c>
      <c r="V533">
        <v>436.451</v>
      </c>
    </row>
    <row r="534" spans="2:22">
      <c r="B534">
        <v>533</v>
      </c>
      <c r="C534" t="s">
        <v>554</v>
      </c>
      <c r="D534">
        <v>60</v>
      </c>
      <c r="E534">
        <v>24.497</v>
      </c>
      <c r="F534">
        <v>95011.766</v>
      </c>
      <c r="G534">
        <v>95024.586</v>
      </c>
      <c r="H534">
        <v>95037.414</v>
      </c>
      <c r="I534">
        <v>1</v>
      </c>
      <c r="J534">
        <v>2</v>
      </c>
      <c r="K534">
        <v>0</v>
      </c>
      <c r="L534">
        <v>0.011</v>
      </c>
      <c r="M534">
        <v>440.332</v>
      </c>
      <c r="N534">
        <v>0.009</v>
      </c>
      <c r="O534">
        <v>0</v>
      </c>
      <c r="P534">
        <v>0.001</v>
      </c>
      <c r="Q534">
        <v>0.001</v>
      </c>
      <c r="R534">
        <v>0</v>
      </c>
      <c r="S534" t="s">
        <v>22</v>
      </c>
      <c r="T534" t="s">
        <v>22</v>
      </c>
      <c r="U534">
        <v>440.332</v>
      </c>
      <c r="V534">
        <v>436.417</v>
      </c>
    </row>
    <row r="535" spans="2:22">
      <c r="B535">
        <v>534</v>
      </c>
      <c r="C535" t="s">
        <v>555</v>
      </c>
      <c r="D535">
        <v>60</v>
      </c>
      <c r="E535">
        <v>11.692</v>
      </c>
      <c r="F535">
        <v>95107.695</v>
      </c>
      <c r="G535">
        <v>95113.82</v>
      </c>
      <c r="H535">
        <v>95119.938</v>
      </c>
      <c r="I535">
        <v>1</v>
      </c>
      <c r="J535">
        <v>2</v>
      </c>
      <c r="K535">
        <v>0</v>
      </c>
      <c r="L535">
        <v>0.017</v>
      </c>
      <c r="M535">
        <v>440.314</v>
      </c>
      <c r="N535">
        <v>0.015</v>
      </c>
      <c r="O535">
        <v>0</v>
      </c>
      <c r="P535">
        <v>0</v>
      </c>
      <c r="Q535">
        <v>0.002</v>
      </c>
      <c r="R535">
        <v>0</v>
      </c>
      <c r="S535" t="s">
        <v>22</v>
      </c>
      <c r="T535" t="s">
        <v>22</v>
      </c>
      <c r="U535">
        <v>440.315</v>
      </c>
      <c r="V535">
        <v>436.4</v>
      </c>
    </row>
    <row r="536" spans="2:22">
      <c r="B536">
        <v>535</v>
      </c>
      <c r="C536" t="s">
        <v>556</v>
      </c>
      <c r="D536">
        <v>0</v>
      </c>
      <c r="E536">
        <v>0</v>
      </c>
      <c r="F536">
        <v>95142.211</v>
      </c>
      <c r="G536">
        <v>95142.211</v>
      </c>
      <c r="H536">
        <v>95142.211</v>
      </c>
      <c r="I536">
        <v>2</v>
      </c>
      <c r="J536">
        <v>1</v>
      </c>
      <c r="K536">
        <v>1</v>
      </c>
      <c r="L536">
        <v>0.049</v>
      </c>
      <c r="M536">
        <v>440.266</v>
      </c>
      <c r="N536">
        <v>0.004</v>
      </c>
      <c r="O536">
        <v>0.044</v>
      </c>
      <c r="P536">
        <v>0</v>
      </c>
      <c r="Q536">
        <v>0</v>
      </c>
      <c r="R536">
        <v>0</v>
      </c>
      <c r="S536">
        <v>440.31</v>
      </c>
      <c r="T536">
        <v>436.395</v>
      </c>
      <c r="U536">
        <v>440.266</v>
      </c>
      <c r="V536">
        <v>436.719</v>
      </c>
    </row>
    <row r="537" spans="2:22">
      <c r="B537">
        <v>536</v>
      </c>
      <c r="C537" t="s">
        <v>557</v>
      </c>
      <c r="D537">
        <v>0</v>
      </c>
      <c r="E537">
        <v>0</v>
      </c>
      <c r="F537">
        <v>95388.211</v>
      </c>
      <c r="G537">
        <v>95388.211</v>
      </c>
      <c r="H537">
        <v>95388.211</v>
      </c>
      <c r="I537">
        <v>2</v>
      </c>
      <c r="J537">
        <v>1</v>
      </c>
      <c r="K537">
        <v>2</v>
      </c>
      <c r="L537">
        <v>0.047</v>
      </c>
      <c r="M537">
        <v>440.219</v>
      </c>
      <c r="N537">
        <v>0.07</v>
      </c>
      <c r="O537">
        <v>-0.023</v>
      </c>
      <c r="P537">
        <v>0</v>
      </c>
      <c r="Q537">
        <v>0</v>
      </c>
      <c r="R537">
        <v>0</v>
      </c>
      <c r="S537">
        <v>440.219</v>
      </c>
      <c r="T537">
        <v>436.304</v>
      </c>
      <c r="U537">
        <v>440.195</v>
      </c>
      <c r="V537">
        <v>436.648</v>
      </c>
    </row>
    <row r="538" spans="2:22">
      <c r="B538">
        <v>537</v>
      </c>
      <c r="C538" t="s">
        <v>558</v>
      </c>
      <c r="D538">
        <v>60</v>
      </c>
      <c r="E538">
        <v>12.134</v>
      </c>
      <c r="F538">
        <v>95420.18</v>
      </c>
      <c r="G538">
        <v>95426.531</v>
      </c>
      <c r="H538">
        <v>95432.883</v>
      </c>
      <c r="I538">
        <v>1</v>
      </c>
      <c r="J538">
        <v>2</v>
      </c>
      <c r="K538">
        <v>0</v>
      </c>
      <c r="L538">
        <v>0.007</v>
      </c>
      <c r="M538">
        <v>440.212</v>
      </c>
      <c r="N538">
        <v>0.006</v>
      </c>
      <c r="O538">
        <v>0</v>
      </c>
      <c r="P538">
        <v>0</v>
      </c>
      <c r="Q538">
        <v>0.001</v>
      </c>
      <c r="R538">
        <v>0</v>
      </c>
      <c r="S538" t="s">
        <v>22</v>
      </c>
      <c r="T538" t="s">
        <v>22</v>
      </c>
      <c r="U538">
        <v>440.212</v>
      </c>
      <c r="V538">
        <v>436.297</v>
      </c>
    </row>
    <row r="539" spans="2:22">
      <c r="B539">
        <v>538</v>
      </c>
      <c r="C539" t="s">
        <v>559</v>
      </c>
      <c r="D539">
        <v>60</v>
      </c>
      <c r="E539">
        <v>38.375</v>
      </c>
      <c r="F539">
        <v>95549.047</v>
      </c>
      <c r="G539">
        <v>95569.141</v>
      </c>
      <c r="H539">
        <v>95589.234</v>
      </c>
      <c r="I539">
        <v>1</v>
      </c>
      <c r="J539">
        <v>2</v>
      </c>
      <c r="K539">
        <v>0</v>
      </c>
      <c r="L539">
        <v>0.028</v>
      </c>
      <c r="M539">
        <v>440.184</v>
      </c>
      <c r="N539">
        <v>0.024</v>
      </c>
      <c r="O539">
        <v>0</v>
      </c>
      <c r="P539">
        <v>0.001</v>
      </c>
      <c r="Q539">
        <v>0.003</v>
      </c>
      <c r="R539">
        <v>0</v>
      </c>
      <c r="S539" t="s">
        <v>22</v>
      </c>
      <c r="T539" t="s">
        <v>22</v>
      </c>
      <c r="U539">
        <v>440.185</v>
      </c>
      <c r="V539">
        <v>436.27</v>
      </c>
    </row>
    <row r="540" spans="2:22">
      <c r="B540">
        <v>539</v>
      </c>
      <c r="C540" t="s">
        <v>560</v>
      </c>
      <c r="D540">
        <v>0</v>
      </c>
      <c r="E540">
        <v>0</v>
      </c>
      <c r="F540">
        <v>95668.211</v>
      </c>
      <c r="G540">
        <v>95668.211</v>
      </c>
      <c r="H540">
        <v>95668.211</v>
      </c>
      <c r="I540">
        <v>3</v>
      </c>
      <c r="J540">
        <v>1</v>
      </c>
      <c r="K540">
        <v>1</v>
      </c>
      <c r="L540">
        <v>0.022</v>
      </c>
      <c r="M540">
        <v>440.162</v>
      </c>
      <c r="N540">
        <v>0.016</v>
      </c>
      <c r="O540">
        <v>0.004</v>
      </c>
      <c r="P540">
        <v>0</v>
      </c>
      <c r="Q540">
        <v>0.002</v>
      </c>
      <c r="R540">
        <v>0</v>
      </c>
      <c r="S540">
        <v>440.166</v>
      </c>
      <c r="T540">
        <v>436.251</v>
      </c>
      <c r="U540">
        <v>440.162</v>
      </c>
      <c r="V540">
        <v>436.273</v>
      </c>
    </row>
    <row r="541" spans="2:22">
      <c r="B541">
        <v>540</v>
      </c>
      <c r="C541" t="s">
        <v>561</v>
      </c>
      <c r="D541">
        <v>60</v>
      </c>
      <c r="E541">
        <v>17.675</v>
      </c>
      <c r="F541">
        <v>95797.766</v>
      </c>
      <c r="G541">
        <v>95807.023</v>
      </c>
      <c r="H541">
        <v>95816.281</v>
      </c>
      <c r="I541">
        <v>3</v>
      </c>
      <c r="J541">
        <v>1</v>
      </c>
      <c r="K541">
        <v>0</v>
      </c>
      <c r="L541">
        <v>0.026</v>
      </c>
      <c r="M541">
        <v>440.136</v>
      </c>
      <c r="N541">
        <v>0.025</v>
      </c>
      <c r="O541">
        <v>0</v>
      </c>
      <c r="P541">
        <v>0.001</v>
      </c>
      <c r="Q541">
        <v>0</v>
      </c>
      <c r="R541">
        <v>0</v>
      </c>
      <c r="S541" t="s">
        <v>22</v>
      </c>
      <c r="T541" t="s">
        <v>22</v>
      </c>
      <c r="U541">
        <v>440.136</v>
      </c>
      <c r="V541">
        <v>436.247</v>
      </c>
    </row>
    <row r="542" spans="2:22">
      <c r="B542">
        <v>541</v>
      </c>
      <c r="C542" t="s">
        <v>562</v>
      </c>
      <c r="D542">
        <v>60</v>
      </c>
      <c r="E542">
        <v>22.431</v>
      </c>
      <c r="F542">
        <v>95885.5</v>
      </c>
      <c r="G542">
        <v>95897.242</v>
      </c>
      <c r="H542">
        <v>95908.984</v>
      </c>
      <c r="I542">
        <v>3</v>
      </c>
      <c r="J542">
        <v>1</v>
      </c>
      <c r="K542">
        <v>0</v>
      </c>
      <c r="L542">
        <v>0.017</v>
      </c>
      <c r="M542">
        <v>440.119</v>
      </c>
      <c r="N542">
        <v>0.016</v>
      </c>
      <c r="O542">
        <v>0</v>
      </c>
      <c r="P542">
        <v>0.001</v>
      </c>
      <c r="Q542">
        <v>0</v>
      </c>
      <c r="R542">
        <v>0</v>
      </c>
      <c r="S542" t="s">
        <v>22</v>
      </c>
      <c r="T542" t="s">
        <v>22</v>
      </c>
      <c r="U542">
        <v>440.119</v>
      </c>
      <c r="V542">
        <v>436.23</v>
      </c>
    </row>
    <row r="543" spans="2:22">
      <c r="B543">
        <v>542</v>
      </c>
      <c r="C543" t="s">
        <v>563</v>
      </c>
      <c r="D543">
        <v>0</v>
      </c>
      <c r="E543">
        <v>0</v>
      </c>
      <c r="F543">
        <v>95966.773</v>
      </c>
      <c r="G543">
        <v>95966.773</v>
      </c>
      <c r="H543">
        <v>95966.773</v>
      </c>
      <c r="I543">
        <v>3</v>
      </c>
      <c r="J543">
        <v>1</v>
      </c>
      <c r="K543">
        <v>2</v>
      </c>
      <c r="L543">
        <v>0.01</v>
      </c>
      <c r="M543">
        <v>440.108</v>
      </c>
      <c r="N543">
        <v>0.013</v>
      </c>
      <c r="O543">
        <v>-0.002</v>
      </c>
      <c r="P543">
        <v>0</v>
      </c>
      <c r="Q543">
        <v>0</v>
      </c>
      <c r="R543">
        <v>0</v>
      </c>
      <c r="S543">
        <v>440.108</v>
      </c>
      <c r="T543">
        <v>436.193</v>
      </c>
      <c r="U543">
        <v>440.106</v>
      </c>
      <c r="V543">
        <v>436.217</v>
      </c>
    </row>
    <row r="544" spans="2:22">
      <c r="B544">
        <v>543</v>
      </c>
      <c r="C544" t="s">
        <v>564</v>
      </c>
      <c r="D544">
        <v>60</v>
      </c>
      <c r="E544">
        <v>22.464</v>
      </c>
      <c r="F544">
        <v>96045.227</v>
      </c>
      <c r="G544">
        <v>96056.984</v>
      </c>
      <c r="H544">
        <v>96068.75</v>
      </c>
      <c r="I544">
        <v>1</v>
      </c>
      <c r="J544">
        <v>2</v>
      </c>
      <c r="K544">
        <v>0</v>
      </c>
      <c r="L544">
        <v>0.017</v>
      </c>
      <c r="M544">
        <v>440.092</v>
      </c>
      <c r="N544">
        <v>0.014</v>
      </c>
      <c r="O544">
        <v>0</v>
      </c>
      <c r="P544">
        <v>0.001</v>
      </c>
      <c r="Q544">
        <v>0.002</v>
      </c>
      <c r="R544">
        <v>0</v>
      </c>
      <c r="S544" t="s">
        <v>22</v>
      </c>
      <c r="T544" t="s">
        <v>22</v>
      </c>
      <c r="U544">
        <v>440.092</v>
      </c>
      <c r="V544">
        <v>436.177</v>
      </c>
    </row>
    <row r="545" spans="2:22">
      <c r="B545">
        <v>544</v>
      </c>
      <c r="C545" t="s">
        <v>565</v>
      </c>
      <c r="D545">
        <v>60</v>
      </c>
      <c r="E545">
        <v>30.556</v>
      </c>
      <c r="F545">
        <v>96090.172</v>
      </c>
      <c r="G545">
        <v>96106.172</v>
      </c>
      <c r="H545">
        <v>96122.172</v>
      </c>
      <c r="I545">
        <v>1</v>
      </c>
      <c r="J545">
        <v>2</v>
      </c>
      <c r="K545">
        <v>0</v>
      </c>
      <c r="L545">
        <v>0.01</v>
      </c>
      <c r="M545">
        <v>440.081</v>
      </c>
      <c r="N545">
        <v>0.008</v>
      </c>
      <c r="O545">
        <v>0</v>
      </c>
      <c r="P545">
        <v>0.001</v>
      </c>
      <c r="Q545">
        <v>0.001</v>
      </c>
      <c r="R545">
        <v>0</v>
      </c>
      <c r="S545" t="s">
        <v>22</v>
      </c>
      <c r="T545" t="s">
        <v>22</v>
      </c>
      <c r="U545">
        <v>440.082</v>
      </c>
      <c r="V545">
        <v>436.167</v>
      </c>
    </row>
    <row r="546" spans="2:22">
      <c r="B546">
        <v>545</v>
      </c>
      <c r="C546" t="s">
        <v>566</v>
      </c>
      <c r="D546">
        <v>0</v>
      </c>
      <c r="E546">
        <v>0</v>
      </c>
      <c r="F546">
        <v>96177.211</v>
      </c>
      <c r="G546">
        <v>96177.211</v>
      </c>
      <c r="H546">
        <v>96177.211</v>
      </c>
      <c r="I546">
        <v>3</v>
      </c>
      <c r="J546">
        <v>1</v>
      </c>
      <c r="K546">
        <v>1</v>
      </c>
      <c r="L546">
        <v>0.017</v>
      </c>
      <c r="M546">
        <v>440.065</v>
      </c>
      <c r="N546">
        <v>0.011</v>
      </c>
      <c r="O546">
        <v>0.004</v>
      </c>
      <c r="P546">
        <v>0</v>
      </c>
      <c r="Q546">
        <v>0.001</v>
      </c>
      <c r="R546">
        <v>0</v>
      </c>
      <c r="S546">
        <v>440.069</v>
      </c>
      <c r="T546">
        <v>436.154</v>
      </c>
      <c r="U546">
        <v>440.065</v>
      </c>
      <c r="V546">
        <v>436.176</v>
      </c>
    </row>
    <row r="547" spans="2:22">
      <c r="B547">
        <v>546</v>
      </c>
      <c r="C547" t="s">
        <v>567</v>
      </c>
      <c r="D547">
        <v>60</v>
      </c>
      <c r="E547">
        <v>33.225</v>
      </c>
      <c r="F547">
        <v>96254.766</v>
      </c>
      <c r="G547">
        <v>96272.164</v>
      </c>
      <c r="H547">
        <v>96289.562</v>
      </c>
      <c r="I547">
        <v>3</v>
      </c>
      <c r="J547">
        <v>1</v>
      </c>
      <c r="K547">
        <v>0</v>
      </c>
      <c r="L547">
        <v>0.019</v>
      </c>
      <c r="M547">
        <v>440.046</v>
      </c>
      <c r="N547">
        <v>0.017</v>
      </c>
      <c r="O547">
        <v>0</v>
      </c>
      <c r="P547">
        <v>0.001</v>
      </c>
      <c r="Q547">
        <v>0</v>
      </c>
      <c r="R547">
        <v>0</v>
      </c>
      <c r="S547" t="s">
        <v>22</v>
      </c>
      <c r="T547" t="s">
        <v>22</v>
      </c>
      <c r="U547">
        <v>440.047</v>
      </c>
      <c r="V547">
        <v>436.158</v>
      </c>
    </row>
    <row r="548" spans="2:22">
      <c r="B548">
        <v>547</v>
      </c>
      <c r="C548" t="s">
        <v>568</v>
      </c>
      <c r="D548">
        <v>0</v>
      </c>
      <c r="E548">
        <v>0</v>
      </c>
      <c r="F548">
        <v>96391.211</v>
      </c>
      <c r="G548">
        <v>96391.211</v>
      </c>
      <c r="H548">
        <v>96391.211</v>
      </c>
      <c r="I548">
        <v>3</v>
      </c>
      <c r="J548">
        <v>1</v>
      </c>
      <c r="K548">
        <v>2</v>
      </c>
      <c r="L548">
        <v>0.019</v>
      </c>
      <c r="M548">
        <v>440.027</v>
      </c>
      <c r="N548">
        <v>0.022</v>
      </c>
      <c r="O548">
        <v>-0.002</v>
      </c>
      <c r="P548">
        <v>0</v>
      </c>
      <c r="Q548">
        <v>0</v>
      </c>
      <c r="R548">
        <v>0</v>
      </c>
      <c r="S548">
        <v>440.027</v>
      </c>
      <c r="T548">
        <v>436.112</v>
      </c>
      <c r="U548">
        <v>440.024</v>
      </c>
      <c r="V548">
        <v>436.135</v>
      </c>
    </row>
    <row r="549" spans="2:22">
      <c r="B549">
        <v>548</v>
      </c>
      <c r="C549" t="s">
        <v>569</v>
      </c>
      <c r="D549">
        <v>60</v>
      </c>
      <c r="E549">
        <v>17.783</v>
      </c>
      <c r="F549">
        <v>96422.469</v>
      </c>
      <c r="G549">
        <v>96431.773</v>
      </c>
      <c r="H549">
        <v>96441.086</v>
      </c>
      <c r="I549">
        <v>1</v>
      </c>
      <c r="J549">
        <v>2</v>
      </c>
      <c r="K549">
        <v>0</v>
      </c>
      <c r="L549">
        <v>0.007</v>
      </c>
      <c r="M549">
        <v>440.019</v>
      </c>
      <c r="N549">
        <v>0.006</v>
      </c>
      <c r="O549">
        <v>0</v>
      </c>
      <c r="P549">
        <v>0.001</v>
      </c>
      <c r="Q549">
        <v>0.001</v>
      </c>
      <c r="R549">
        <v>0</v>
      </c>
      <c r="S549" t="s">
        <v>22</v>
      </c>
      <c r="T549" t="s">
        <v>22</v>
      </c>
      <c r="U549">
        <v>440.02</v>
      </c>
      <c r="V549">
        <v>436.105</v>
      </c>
    </row>
    <row r="550" spans="2:22">
      <c r="B550">
        <v>549</v>
      </c>
      <c r="C550" t="s">
        <v>570</v>
      </c>
      <c r="D550">
        <v>0</v>
      </c>
      <c r="E550">
        <v>0</v>
      </c>
      <c r="F550">
        <v>96448.227</v>
      </c>
      <c r="G550">
        <v>96448.227</v>
      </c>
      <c r="H550">
        <v>96448.227</v>
      </c>
      <c r="I550">
        <v>1</v>
      </c>
      <c r="J550">
        <v>4</v>
      </c>
      <c r="K550">
        <v>1</v>
      </c>
      <c r="L550">
        <v>0.002</v>
      </c>
      <c r="M550">
        <v>440.017</v>
      </c>
      <c r="N550">
        <v>0.002</v>
      </c>
      <c r="O550">
        <v>0</v>
      </c>
      <c r="P550">
        <v>0</v>
      </c>
      <c r="Q550">
        <v>0</v>
      </c>
      <c r="R550">
        <v>0</v>
      </c>
      <c r="S550">
        <v>440.017</v>
      </c>
      <c r="T550">
        <v>436.102</v>
      </c>
      <c r="U550">
        <v>440.017</v>
      </c>
      <c r="V550">
        <v>436.102</v>
      </c>
    </row>
    <row r="551" spans="2:22">
      <c r="B551">
        <v>550</v>
      </c>
      <c r="C551" t="s">
        <v>571</v>
      </c>
      <c r="D551">
        <v>0</v>
      </c>
      <c r="E551">
        <v>0</v>
      </c>
      <c r="F551">
        <v>96448.227</v>
      </c>
      <c r="G551">
        <v>96448.227</v>
      </c>
      <c r="H551">
        <v>96448.227</v>
      </c>
      <c r="I551">
        <v>1</v>
      </c>
      <c r="J551">
        <v>4</v>
      </c>
      <c r="K551">
        <v>2</v>
      </c>
      <c r="L551">
        <v>0.03</v>
      </c>
      <c r="M551">
        <v>439.987</v>
      </c>
      <c r="N551">
        <v>0</v>
      </c>
      <c r="O551">
        <v>0</v>
      </c>
      <c r="P551">
        <v>0</v>
      </c>
      <c r="Q551">
        <v>0</v>
      </c>
      <c r="R551">
        <v>0.03</v>
      </c>
      <c r="S551">
        <v>439.987</v>
      </c>
      <c r="T551">
        <v>436.254</v>
      </c>
      <c r="U551">
        <v>439.987</v>
      </c>
      <c r="V551">
        <v>436.254</v>
      </c>
    </row>
    <row r="552" spans="2:22">
      <c r="B552">
        <v>551</v>
      </c>
      <c r="C552" t="s">
        <v>572</v>
      </c>
      <c r="D552">
        <v>0</v>
      </c>
      <c r="E552">
        <v>0</v>
      </c>
      <c r="F552">
        <v>96458.211</v>
      </c>
      <c r="G552">
        <v>96458.211</v>
      </c>
      <c r="H552">
        <v>96458.211</v>
      </c>
      <c r="I552">
        <v>3</v>
      </c>
      <c r="J552">
        <v>1</v>
      </c>
      <c r="K552">
        <v>1</v>
      </c>
      <c r="L552">
        <v>0.004</v>
      </c>
      <c r="M552">
        <v>439.983</v>
      </c>
      <c r="N552">
        <v>0</v>
      </c>
      <c r="O552">
        <v>0.004</v>
      </c>
      <c r="P552">
        <v>0</v>
      </c>
      <c r="Q552">
        <v>0</v>
      </c>
      <c r="R552">
        <v>0</v>
      </c>
      <c r="S552">
        <v>439.987</v>
      </c>
      <c r="T552">
        <v>436.254</v>
      </c>
      <c r="U552">
        <v>439.983</v>
      </c>
      <c r="V552">
        <v>436.282</v>
      </c>
    </row>
    <row r="553" spans="2:22">
      <c r="B553">
        <v>552</v>
      </c>
      <c r="C553" t="s">
        <v>573</v>
      </c>
      <c r="D553">
        <v>60</v>
      </c>
      <c r="E553">
        <v>22.91</v>
      </c>
      <c r="F553">
        <v>96656.992</v>
      </c>
      <c r="G553">
        <v>96668.984</v>
      </c>
      <c r="H553">
        <v>96680.977</v>
      </c>
      <c r="I553">
        <v>3</v>
      </c>
      <c r="J553">
        <v>1</v>
      </c>
      <c r="K553">
        <v>0</v>
      </c>
      <c r="L553">
        <v>0.039</v>
      </c>
      <c r="M553">
        <v>439.944</v>
      </c>
      <c r="N553">
        <v>0.038</v>
      </c>
      <c r="O553">
        <v>0</v>
      </c>
      <c r="P553">
        <v>0.001</v>
      </c>
      <c r="Q553">
        <v>0</v>
      </c>
      <c r="R553">
        <v>0</v>
      </c>
      <c r="S553" t="s">
        <v>22</v>
      </c>
      <c r="T553" t="s">
        <v>22</v>
      </c>
      <c r="U553">
        <v>439.944</v>
      </c>
      <c r="V553">
        <v>436.243</v>
      </c>
    </row>
    <row r="554" spans="2:22">
      <c r="B554">
        <v>553</v>
      </c>
      <c r="C554" t="s">
        <v>574</v>
      </c>
      <c r="D554">
        <v>0</v>
      </c>
      <c r="E554">
        <v>0</v>
      </c>
      <c r="F554">
        <v>96878.227</v>
      </c>
      <c r="G554">
        <v>96878.227</v>
      </c>
      <c r="H554">
        <v>96878.227</v>
      </c>
      <c r="I554">
        <v>3</v>
      </c>
      <c r="J554">
        <v>1</v>
      </c>
      <c r="K554">
        <v>2</v>
      </c>
      <c r="L554">
        <v>0.036</v>
      </c>
      <c r="M554">
        <v>439.908</v>
      </c>
      <c r="N554">
        <v>0.038</v>
      </c>
      <c r="O554">
        <v>-0.002</v>
      </c>
      <c r="P554">
        <v>0</v>
      </c>
      <c r="Q554">
        <v>0</v>
      </c>
      <c r="R554">
        <v>0</v>
      </c>
      <c r="S554">
        <v>439.908</v>
      </c>
      <c r="T554">
        <v>436.175</v>
      </c>
      <c r="U554">
        <v>439.906</v>
      </c>
      <c r="V554">
        <v>436.205</v>
      </c>
    </row>
    <row r="555" spans="2:22">
      <c r="B555">
        <v>554</v>
      </c>
      <c r="C555" t="s">
        <v>575</v>
      </c>
      <c r="D555">
        <v>60</v>
      </c>
      <c r="E555">
        <v>32.054</v>
      </c>
      <c r="F555">
        <v>96934.391</v>
      </c>
      <c r="G555">
        <v>96951.172</v>
      </c>
      <c r="H555">
        <v>96967.953</v>
      </c>
      <c r="I555">
        <v>1</v>
      </c>
      <c r="J555">
        <v>2</v>
      </c>
      <c r="K555">
        <v>0</v>
      </c>
      <c r="L555">
        <v>0.014</v>
      </c>
      <c r="M555">
        <v>439.894</v>
      </c>
      <c r="N555">
        <v>0.011</v>
      </c>
      <c r="O555">
        <v>0</v>
      </c>
      <c r="P555">
        <v>0.001</v>
      </c>
      <c r="Q555">
        <v>0.001</v>
      </c>
      <c r="R555">
        <v>0</v>
      </c>
      <c r="S555" t="s">
        <v>22</v>
      </c>
      <c r="T555" t="s">
        <v>22</v>
      </c>
      <c r="U555">
        <v>439.895</v>
      </c>
      <c r="V555">
        <v>436.162</v>
      </c>
    </row>
    <row r="556" spans="2:22">
      <c r="B556">
        <v>555</v>
      </c>
      <c r="C556" t="s">
        <v>576</v>
      </c>
      <c r="D556">
        <v>0</v>
      </c>
      <c r="E556">
        <v>0</v>
      </c>
      <c r="F556">
        <v>96955</v>
      </c>
      <c r="G556">
        <v>96955</v>
      </c>
      <c r="H556">
        <v>96955</v>
      </c>
      <c r="I556">
        <v>1</v>
      </c>
      <c r="J556">
        <v>4</v>
      </c>
      <c r="K556">
        <v>1</v>
      </c>
      <c r="L556">
        <v>0.001</v>
      </c>
      <c r="M556">
        <v>439.893</v>
      </c>
      <c r="N556">
        <v>0.001</v>
      </c>
      <c r="O556">
        <v>0</v>
      </c>
      <c r="P556">
        <v>0</v>
      </c>
      <c r="Q556">
        <v>0</v>
      </c>
      <c r="R556">
        <v>0</v>
      </c>
      <c r="S556">
        <v>439.893</v>
      </c>
      <c r="T556">
        <v>436.16</v>
      </c>
      <c r="U556">
        <v>439.893</v>
      </c>
      <c r="V556">
        <v>436.16</v>
      </c>
    </row>
    <row r="557" spans="2:22">
      <c r="B557">
        <v>556</v>
      </c>
      <c r="C557" t="s">
        <v>577</v>
      </c>
      <c r="D557">
        <v>0</v>
      </c>
      <c r="E557">
        <v>0</v>
      </c>
      <c r="F557">
        <v>96955</v>
      </c>
      <c r="G557">
        <v>96955</v>
      </c>
      <c r="H557">
        <v>96955</v>
      </c>
      <c r="I557">
        <v>1</v>
      </c>
      <c r="J557">
        <v>4</v>
      </c>
      <c r="K557">
        <v>2</v>
      </c>
      <c r="L557">
        <v>0.03</v>
      </c>
      <c r="M557">
        <v>439.863</v>
      </c>
      <c r="N557">
        <v>0</v>
      </c>
      <c r="O557">
        <v>0</v>
      </c>
      <c r="P557">
        <v>0</v>
      </c>
      <c r="Q557">
        <v>0</v>
      </c>
      <c r="R557">
        <v>0.03</v>
      </c>
      <c r="S557">
        <v>439.863</v>
      </c>
      <c r="T557">
        <v>436.13</v>
      </c>
      <c r="U557">
        <v>439.863</v>
      </c>
      <c r="V557">
        <v>436.13</v>
      </c>
    </row>
    <row r="558" spans="2:22">
      <c r="B558">
        <v>557</v>
      </c>
      <c r="C558" t="s">
        <v>578</v>
      </c>
      <c r="D558">
        <v>0</v>
      </c>
      <c r="E558">
        <v>0</v>
      </c>
      <c r="F558">
        <v>96972.961</v>
      </c>
      <c r="G558">
        <v>96972.961</v>
      </c>
      <c r="H558">
        <v>96972.961</v>
      </c>
      <c r="I558">
        <v>2</v>
      </c>
      <c r="J558">
        <v>1</v>
      </c>
      <c r="K558">
        <v>1</v>
      </c>
      <c r="L558">
        <v>0.044</v>
      </c>
      <c r="M558">
        <v>439.819</v>
      </c>
      <c r="N558">
        <v>0.002</v>
      </c>
      <c r="O558">
        <v>0.042</v>
      </c>
      <c r="P558">
        <v>0</v>
      </c>
      <c r="Q558">
        <v>0</v>
      </c>
      <c r="R558">
        <v>0</v>
      </c>
      <c r="S558">
        <v>439.861</v>
      </c>
      <c r="T558">
        <v>436.128</v>
      </c>
      <c r="U558">
        <v>439.819</v>
      </c>
      <c r="V558">
        <v>436.42</v>
      </c>
    </row>
    <row r="559" spans="2:22">
      <c r="B559">
        <v>558</v>
      </c>
      <c r="C559" t="s">
        <v>579</v>
      </c>
      <c r="D559">
        <v>60</v>
      </c>
      <c r="E559">
        <v>34.124</v>
      </c>
      <c r="F559">
        <v>97035.688</v>
      </c>
      <c r="G559">
        <v>97053.555</v>
      </c>
      <c r="H559">
        <v>97071.422</v>
      </c>
      <c r="I559">
        <v>2</v>
      </c>
      <c r="J559">
        <v>1</v>
      </c>
      <c r="K559">
        <v>0</v>
      </c>
      <c r="L559">
        <v>0.025</v>
      </c>
      <c r="M559">
        <v>439.794</v>
      </c>
      <c r="N559">
        <v>0.023</v>
      </c>
      <c r="O559">
        <v>0</v>
      </c>
      <c r="P559">
        <v>0.002</v>
      </c>
      <c r="Q559">
        <v>0</v>
      </c>
      <c r="R559">
        <v>0</v>
      </c>
      <c r="S559" t="s">
        <v>22</v>
      </c>
      <c r="T559" t="s">
        <v>22</v>
      </c>
      <c r="U559">
        <v>439.795</v>
      </c>
      <c r="V559">
        <v>436.396</v>
      </c>
    </row>
    <row r="560" spans="2:22">
      <c r="B560">
        <v>559</v>
      </c>
      <c r="C560" t="s">
        <v>580</v>
      </c>
      <c r="D560">
        <v>60</v>
      </c>
      <c r="E560">
        <v>39.676</v>
      </c>
      <c r="F560">
        <v>97276.094</v>
      </c>
      <c r="G560">
        <v>97296.867</v>
      </c>
      <c r="H560">
        <v>97317.641</v>
      </c>
      <c r="I560">
        <v>2</v>
      </c>
      <c r="J560">
        <v>1</v>
      </c>
      <c r="K560">
        <v>0</v>
      </c>
      <c r="L560">
        <v>0.072</v>
      </c>
      <c r="M560">
        <v>439.722</v>
      </c>
      <c r="N560">
        <v>0.07</v>
      </c>
      <c r="O560">
        <v>0</v>
      </c>
      <c r="P560">
        <v>0.002</v>
      </c>
      <c r="Q560">
        <v>0</v>
      </c>
      <c r="R560">
        <v>0</v>
      </c>
      <c r="S560" t="s">
        <v>22</v>
      </c>
      <c r="T560" t="s">
        <v>22</v>
      </c>
      <c r="U560">
        <v>439.723</v>
      </c>
      <c r="V560">
        <v>436.324</v>
      </c>
    </row>
    <row r="561" spans="2:22">
      <c r="B561">
        <v>560</v>
      </c>
      <c r="C561" t="s">
        <v>581</v>
      </c>
      <c r="D561">
        <v>60</v>
      </c>
      <c r="E561">
        <v>8.103</v>
      </c>
      <c r="F561">
        <v>97490.273</v>
      </c>
      <c r="G561">
        <v>97494.516</v>
      </c>
      <c r="H561">
        <v>97498.758</v>
      </c>
      <c r="I561">
        <v>2</v>
      </c>
      <c r="J561">
        <v>1</v>
      </c>
      <c r="K561">
        <v>0</v>
      </c>
      <c r="L561">
        <v>0.057</v>
      </c>
      <c r="M561">
        <v>439.665</v>
      </c>
      <c r="N561">
        <v>0.056</v>
      </c>
      <c r="O561">
        <v>0</v>
      </c>
      <c r="P561">
        <v>0</v>
      </c>
      <c r="Q561">
        <v>0</v>
      </c>
      <c r="R561">
        <v>0</v>
      </c>
      <c r="S561" t="s">
        <v>22</v>
      </c>
      <c r="T561" t="s">
        <v>22</v>
      </c>
      <c r="U561">
        <v>439.666</v>
      </c>
      <c r="V561">
        <v>436.267</v>
      </c>
    </row>
    <row r="562" spans="2:22">
      <c r="B562">
        <v>561</v>
      </c>
      <c r="C562" t="s">
        <v>582</v>
      </c>
      <c r="D562">
        <v>0</v>
      </c>
      <c r="E562">
        <v>0</v>
      </c>
      <c r="F562">
        <v>97532.039</v>
      </c>
      <c r="G562">
        <v>97532.039</v>
      </c>
      <c r="H562">
        <v>97532.039</v>
      </c>
      <c r="I562">
        <v>2</v>
      </c>
      <c r="J562">
        <v>1</v>
      </c>
      <c r="K562">
        <v>2</v>
      </c>
      <c r="L562">
        <v>-0.011</v>
      </c>
      <c r="M562">
        <v>439.676</v>
      </c>
      <c r="N562">
        <v>0.011</v>
      </c>
      <c r="O562">
        <v>-0.022</v>
      </c>
      <c r="P562">
        <v>0</v>
      </c>
      <c r="Q562">
        <v>0</v>
      </c>
      <c r="R562">
        <v>0</v>
      </c>
      <c r="S562">
        <v>439.676</v>
      </c>
      <c r="T562">
        <v>435.943</v>
      </c>
      <c r="U562">
        <v>439.655</v>
      </c>
      <c r="V562">
        <v>436.256</v>
      </c>
    </row>
    <row r="563" spans="2:22">
      <c r="B563">
        <v>562</v>
      </c>
      <c r="C563" t="s">
        <v>583</v>
      </c>
      <c r="D563">
        <v>0</v>
      </c>
      <c r="E563">
        <v>0</v>
      </c>
      <c r="F563">
        <v>97552.039</v>
      </c>
      <c r="G563">
        <v>97552.039</v>
      </c>
      <c r="H563">
        <v>97552.039</v>
      </c>
      <c r="I563">
        <v>3</v>
      </c>
      <c r="J563">
        <v>1</v>
      </c>
      <c r="K563">
        <v>1</v>
      </c>
      <c r="L563">
        <v>0.006</v>
      </c>
      <c r="M563">
        <v>439.67</v>
      </c>
      <c r="N563">
        <v>0.002</v>
      </c>
      <c r="O563">
        <v>0.004</v>
      </c>
      <c r="P563">
        <v>0</v>
      </c>
      <c r="Q563">
        <v>0</v>
      </c>
      <c r="R563">
        <v>0</v>
      </c>
      <c r="S563">
        <v>439.674</v>
      </c>
      <c r="T563">
        <v>435.941</v>
      </c>
      <c r="U563">
        <v>439.67</v>
      </c>
      <c r="V563">
        <v>435.969</v>
      </c>
    </row>
    <row r="564" spans="2:22">
      <c r="B564">
        <v>563</v>
      </c>
      <c r="C564" t="s">
        <v>584</v>
      </c>
      <c r="D564">
        <v>60</v>
      </c>
      <c r="E564">
        <v>27.163</v>
      </c>
      <c r="F564">
        <v>97642.508</v>
      </c>
      <c r="G564">
        <v>97656.734</v>
      </c>
      <c r="H564">
        <v>97670.953</v>
      </c>
      <c r="I564">
        <v>3</v>
      </c>
      <c r="J564">
        <v>1</v>
      </c>
      <c r="K564">
        <v>0</v>
      </c>
      <c r="L564">
        <v>0.02</v>
      </c>
      <c r="M564">
        <v>439.65</v>
      </c>
      <c r="N564">
        <v>0.019</v>
      </c>
      <c r="O564">
        <v>0</v>
      </c>
      <c r="P564">
        <v>0.001</v>
      </c>
      <c r="Q564">
        <v>0</v>
      </c>
      <c r="R564">
        <v>0</v>
      </c>
      <c r="S564" t="s">
        <v>22</v>
      </c>
      <c r="T564" t="s">
        <v>22</v>
      </c>
      <c r="U564">
        <v>439.651</v>
      </c>
      <c r="V564">
        <v>435.95</v>
      </c>
    </row>
    <row r="565" spans="2:22">
      <c r="B565">
        <v>564</v>
      </c>
      <c r="C565" t="s">
        <v>585</v>
      </c>
      <c r="D565">
        <v>60</v>
      </c>
      <c r="E565">
        <v>20.373</v>
      </c>
      <c r="F565">
        <v>97866.93</v>
      </c>
      <c r="G565">
        <v>97877.602</v>
      </c>
      <c r="H565">
        <v>97888.266</v>
      </c>
      <c r="I565">
        <v>3</v>
      </c>
      <c r="J565">
        <v>1</v>
      </c>
      <c r="K565">
        <v>0</v>
      </c>
      <c r="L565">
        <v>0.041</v>
      </c>
      <c r="M565">
        <v>439.609</v>
      </c>
      <c r="N565">
        <v>0.04</v>
      </c>
      <c r="O565">
        <v>0</v>
      </c>
      <c r="P565">
        <v>0.001</v>
      </c>
      <c r="Q565">
        <v>0</v>
      </c>
      <c r="R565">
        <v>0</v>
      </c>
      <c r="S565" t="s">
        <v>22</v>
      </c>
      <c r="T565" t="s">
        <v>22</v>
      </c>
      <c r="U565">
        <v>439.61</v>
      </c>
      <c r="V565">
        <v>435.909</v>
      </c>
    </row>
    <row r="566" spans="2:22">
      <c r="B566">
        <v>565</v>
      </c>
      <c r="C566" t="s">
        <v>586</v>
      </c>
      <c r="D566">
        <v>0</v>
      </c>
      <c r="E566">
        <v>0</v>
      </c>
      <c r="F566">
        <v>97915.68</v>
      </c>
      <c r="G566">
        <v>97915.68</v>
      </c>
      <c r="H566">
        <v>97915.68</v>
      </c>
      <c r="I566">
        <v>3</v>
      </c>
      <c r="J566">
        <v>1</v>
      </c>
      <c r="K566">
        <v>2</v>
      </c>
      <c r="L566">
        <v>0.005</v>
      </c>
      <c r="M566">
        <v>439.605</v>
      </c>
      <c r="N566">
        <v>0.007</v>
      </c>
      <c r="O566">
        <v>-0.002</v>
      </c>
      <c r="P566">
        <v>0</v>
      </c>
      <c r="Q566">
        <v>0</v>
      </c>
      <c r="R566">
        <v>0</v>
      </c>
      <c r="S566">
        <v>439.605</v>
      </c>
      <c r="T566">
        <v>435.872</v>
      </c>
      <c r="U566">
        <v>439.602</v>
      </c>
      <c r="V566">
        <v>435.901</v>
      </c>
    </row>
    <row r="567" spans="2:22">
      <c r="B567">
        <v>566</v>
      </c>
      <c r="C567" t="s">
        <v>587</v>
      </c>
      <c r="D567">
        <v>0</v>
      </c>
      <c r="E567">
        <v>0</v>
      </c>
      <c r="F567">
        <v>97952.68</v>
      </c>
      <c r="G567">
        <v>97952.68</v>
      </c>
      <c r="H567">
        <v>97952.68</v>
      </c>
      <c r="I567">
        <v>2</v>
      </c>
      <c r="J567">
        <v>1</v>
      </c>
      <c r="K567">
        <v>1</v>
      </c>
      <c r="L567">
        <v>0.047</v>
      </c>
      <c r="M567">
        <v>439.558</v>
      </c>
      <c r="N567">
        <v>0.005</v>
      </c>
      <c r="O567">
        <v>0.042</v>
      </c>
      <c r="P567">
        <v>0</v>
      </c>
      <c r="Q567">
        <v>0.001</v>
      </c>
      <c r="R567">
        <v>0</v>
      </c>
      <c r="S567">
        <v>439.6</v>
      </c>
      <c r="T567">
        <v>435.867</v>
      </c>
      <c r="U567">
        <v>439.558</v>
      </c>
      <c r="V567">
        <v>436.159</v>
      </c>
    </row>
    <row r="568" spans="2:22">
      <c r="B568">
        <v>567</v>
      </c>
      <c r="C568" t="s">
        <v>588</v>
      </c>
      <c r="D568">
        <v>60</v>
      </c>
      <c r="E568">
        <v>13.851</v>
      </c>
      <c r="F568">
        <v>98180.742</v>
      </c>
      <c r="G568">
        <v>98187.992</v>
      </c>
      <c r="H568">
        <v>98195.25</v>
      </c>
      <c r="I568">
        <v>2</v>
      </c>
      <c r="J568">
        <v>1</v>
      </c>
      <c r="K568">
        <v>0</v>
      </c>
      <c r="L568">
        <v>0.068</v>
      </c>
      <c r="M568">
        <v>439.49</v>
      </c>
      <c r="N568">
        <v>0.067</v>
      </c>
      <c r="O568">
        <v>0</v>
      </c>
      <c r="P568">
        <v>0.001</v>
      </c>
      <c r="Q568">
        <v>0</v>
      </c>
      <c r="R568">
        <v>0</v>
      </c>
      <c r="S568" t="s">
        <v>22</v>
      </c>
      <c r="T568" t="s">
        <v>22</v>
      </c>
      <c r="U568">
        <v>439.49</v>
      </c>
      <c r="V568">
        <v>436.091</v>
      </c>
    </row>
    <row r="569" spans="2:22">
      <c r="B569">
        <v>568</v>
      </c>
      <c r="C569" t="s">
        <v>589</v>
      </c>
      <c r="D569">
        <v>0</v>
      </c>
      <c r="E569">
        <v>0</v>
      </c>
      <c r="F569">
        <v>98285.68</v>
      </c>
      <c r="G569">
        <v>98285.68</v>
      </c>
      <c r="H569">
        <v>98285.68</v>
      </c>
      <c r="I569">
        <v>2</v>
      </c>
      <c r="J569">
        <v>1</v>
      </c>
      <c r="K569">
        <v>2</v>
      </c>
      <c r="L569">
        <v>0.006</v>
      </c>
      <c r="M569">
        <v>439.484</v>
      </c>
      <c r="N569">
        <v>0.028</v>
      </c>
      <c r="O569">
        <v>-0.022</v>
      </c>
      <c r="P569">
        <v>0</v>
      </c>
      <c r="Q569">
        <v>0</v>
      </c>
      <c r="R569">
        <v>0</v>
      </c>
      <c r="S569">
        <v>439.484</v>
      </c>
      <c r="T569">
        <v>435.751</v>
      </c>
      <c r="U569">
        <v>439.462</v>
      </c>
      <c r="V569">
        <v>436.063</v>
      </c>
    </row>
    <row r="570" spans="2:22">
      <c r="B570">
        <v>569</v>
      </c>
      <c r="C570" t="s">
        <v>590</v>
      </c>
      <c r="D570">
        <v>0</v>
      </c>
      <c r="E570">
        <v>0</v>
      </c>
      <c r="F570">
        <v>98323.68</v>
      </c>
      <c r="G570">
        <v>98323.68</v>
      </c>
      <c r="H570">
        <v>98323.68</v>
      </c>
      <c r="I570">
        <v>3</v>
      </c>
      <c r="J570">
        <v>1</v>
      </c>
      <c r="K570">
        <v>1</v>
      </c>
      <c r="L570">
        <v>0.009</v>
      </c>
      <c r="M570">
        <v>439.474</v>
      </c>
      <c r="N570">
        <v>0.005</v>
      </c>
      <c r="O570">
        <v>0.004</v>
      </c>
      <c r="P570">
        <v>0</v>
      </c>
      <c r="Q570">
        <v>0.001</v>
      </c>
      <c r="R570">
        <v>0</v>
      </c>
      <c r="S570">
        <v>439.478</v>
      </c>
      <c r="T570">
        <v>435.745</v>
      </c>
      <c r="U570">
        <v>439.474</v>
      </c>
      <c r="V570">
        <v>435.773</v>
      </c>
    </row>
    <row r="571" spans="2:22">
      <c r="B571">
        <v>570</v>
      </c>
      <c r="C571" t="s">
        <v>591</v>
      </c>
      <c r="D571">
        <v>40</v>
      </c>
      <c r="E571">
        <v>57.854</v>
      </c>
      <c r="F571">
        <v>98433.625</v>
      </c>
      <c r="G571">
        <v>98453.82</v>
      </c>
      <c r="H571">
        <v>98474.016</v>
      </c>
      <c r="I571">
        <v>3</v>
      </c>
      <c r="J571">
        <v>1</v>
      </c>
      <c r="K571">
        <v>0</v>
      </c>
      <c r="L571">
        <v>0.025</v>
      </c>
      <c r="M571">
        <v>439.449</v>
      </c>
      <c r="N571">
        <v>0.024</v>
      </c>
      <c r="O571">
        <v>0</v>
      </c>
      <c r="P571">
        <v>0.002</v>
      </c>
      <c r="Q571">
        <v>0</v>
      </c>
      <c r="R571">
        <v>0</v>
      </c>
      <c r="S571" t="s">
        <v>22</v>
      </c>
      <c r="T571" t="s">
        <v>22</v>
      </c>
      <c r="U571">
        <v>439.45</v>
      </c>
      <c r="V571">
        <v>435.749</v>
      </c>
    </row>
    <row r="572" spans="2:22">
      <c r="B572">
        <v>571</v>
      </c>
      <c r="C572" t="s">
        <v>592</v>
      </c>
      <c r="D572">
        <v>60</v>
      </c>
      <c r="E572">
        <v>27.58</v>
      </c>
      <c r="F572">
        <v>98717.172</v>
      </c>
      <c r="G572">
        <v>98731.617</v>
      </c>
      <c r="H572">
        <v>98746.055</v>
      </c>
      <c r="I572">
        <v>3</v>
      </c>
      <c r="J572">
        <v>1</v>
      </c>
      <c r="K572">
        <v>0</v>
      </c>
      <c r="L572">
        <v>0.052</v>
      </c>
      <c r="M572">
        <v>439.397</v>
      </c>
      <c r="N572">
        <v>0.05</v>
      </c>
      <c r="O572">
        <v>0</v>
      </c>
      <c r="P572">
        <v>0.001</v>
      </c>
      <c r="Q572">
        <v>0</v>
      </c>
      <c r="R572">
        <v>0</v>
      </c>
      <c r="S572" t="s">
        <v>22</v>
      </c>
      <c r="T572" t="s">
        <v>22</v>
      </c>
      <c r="U572">
        <v>439.398</v>
      </c>
      <c r="V572">
        <v>435.697</v>
      </c>
    </row>
    <row r="573" spans="2:22">
      <c r="B573">
        <v>572</v>
      </c>
      <c r="C573" t="s">
        <v>593</v>
      </c>
      <c r="D573">
        <v>60</v>
      </c>
      <c r="E573">
        <v>18.562</v>
      </c>
      <c r="F573">
        <v>98950.68</v>
      </c>
      <c r="G573">
        <v>98960.398</v>
      </c>
      <c r="H573">
        <v>98970.117</v>
      </c>
      <c r="I573">
        <v>3</v>
      </c>
      <c r="J573">
        <v>1</v>
      </c>
      <c r="K573">
        <v>0</v>
      </c>
      <c r="L573">
        <v>0.042</v>
      </c>
      <c r="M573">
        <v>439.355</v>
      </c>
      <c r="N573">
        <v>0.042</v>
      </c>
      <c r="O573">
        <v>0</v>
      </c>
      <c r="P573">
        <v>0.001</v>
      </c>
      <c r="Q573">
        <v>0</v>
      </c>
      <c r="R573">
        <v>0</v>
      </c>
      <c r="S573" t="s">
        <v>22</v>
      </c>
      <c r="T573" t="s">
        <v>22</v>
      </c>
      <c r="U573">
        <v>439.355</v>
      </c>
      <c r="V573">
        <v>435.654</v>
      </c>
    </row>
    <row r="574" spans="2:22">
      <c r="B574">
        <v>573</v>
      </c>
      <c r="C574" t="s">
        <v>594</v>
      </c>
      <c r="D574">
        <v>60</v>
      </c>
      <c r="E574">
        <v>40.464</v>
      </c>
      <c r="F574">
        <v>100058.328</v>
      </c>
      <c r="G574">
        <v>100079.516</v>
      </c>
      <c r="H574">
        <v>100100.703</v>
      </c>
      <c r="I574">
        <v>3</v>
      </c>
      <c r="J574">
        <v>1</v>
      </c>
      <c r="K574">
        <v>0</v>
      </c>
      <c r="L574">
        <v>0.205</v>
      </c>
      <c r="M574">
        <v>439.15</v>
      </c>
      <c r="N574">
        <v>0.203</v>
      </c>
      <c r="O574">
        <v>0</v>
      </c>
      <c r="P574">
        <v>0.002</v>
      </c>
      <c r="Q574">
        <v>0</v>
      </c>
      <c r="R574">
        <v>0</v>
      </c>
      <c r="S574" t="s">
        <v>22</v>
      </c>
      <c r="T574" t="s">
        <v>22</v>
      </c>
      <c r="U574">
        <v>439.151</v>
      </c>
      <c r="V574">
        <v>435.45</v>
      </c>
    </row>
    <row r="575" spans="2:22">
      <c r="B575">
        <v>574</v>
      </c>
      <c r="C575" t="s">
        <v>595</v>
      </c>
      <c r="D575">
        <v>80</v>
      </c>
      <c r="E575">
        <v>20.725</v>
      </c>
      <c r="F575">
        <v>100511.477</v>
      </c>
      <c r="G575">
        <v>100525.945</v>
      </c>
      <c r="H575">
        <v>100540.414</v>
      </c>
      <c r="I575">
        <v>3</v>
      </c>
      <c r="J575">
        <v>1</v>
      </c>
      <c r="K575">
        <v>0</v>
      </c>
      <c r="L575">
        <v>0.082</v>
      </c>
      <c r="M575">
        <v>439.068</v>
      </c>
      <c r="N575">
        <v>0.081</v>
      </c>
      <c r="O575">
        <v>0</v>
      </c>
      <c r="P575">
        <v>0.001</v>
      </c>
      <c r="Q575">
        <v>0</v>
      </c>
      <c r="R575">
        <v>0</v>
      </c>
      <c r="S575" t="s">
        <v>22</v>
      </c>
      <c r="T575" t="s">
        <v>22</v>
      </c>
      <c r="U575">
        <v>439.068</v>
      </c>
      <c r="V575">
        <v>435.367</v>
      </c>
    </row>
    <row r="576" spans="2:22">
      <c r="B576">
        <v>575</v>
      </c>
      <c r="C576" t="s">
        <v>596</v>
      </c>
      <c r="D576">
        <v>80</v>
      </c>
      <c r="E576">
        <v>18.185</v>
      </c>
      <c r="F576">
        <v>100853.188</v>
      </c>
      <c r="G576">
        <v>100865.883</v>
      </c>
      <c r="H576">
        <v>100878.578</v>
      </c>
      <c r="I576">
        <v>3</v>
      </c>
      <c r="J576">
        <v>1</v>
      </c>
      <c r="K576">
        <v>0</v>
      </c>
      <c r="L576">
        <v>0.063</v>
      </c>
      <c r="M576">
        <v>439.005</v>
      </c>
      <c r="N576">
        <v>0.062</v>
      </c>
      <c r="O576">
        <v>0</v>
      </c>
      <c r="P576">
        <v>0.001</v>
      </c>
      <c r="Q576">
        <v>0</v>
      </c>
      <c r="R576">
        <v>0</v>
      </c>
      <c r="S576" t="s">
        <v>22</v>
      </c>
      <c r="T576" t="s">
        <v>22</v>
      </c>
      <c r="U576">
        <v>439.006</v>
      </c>
      <c r="V576">
        <v>435.305</v>
      </c>
    </row>
    <row r="577" spans="2:22">
      <c r="B577">
        <v>576</v>
      </c>
      <c r="C577" t="s">
        <v>597</v>
      </c>
      <c r="D577">
        <v>80</v>
      </c>
      <c r="E577">
        <v>51.462</v>
      </c>
      <c r="F577">
        <v>101491.672</v>
      </c>
      <c r="G577">
        <v>101527.602</v>
      </c>
      <c r="H577">
        <v>101563.531</v>
      </c>
      <c r="I577">
        <v>3</v>
      </c>
      <c r="J577">
        <v>1</v>
      </c>
      <c r="K577">
        <v>0</v>
      </c>
      <c r="L577">
        <v>0.123</v>
      </c>
      <c r="M577">
        <v>438.883</v>
      </c>
      <c r="N577">
        <v>0.12</v>
      </c>
      <c r="O577">
        <v>0</v>
      </c>
      <c r="P577">
        <v>0.002</v>
      </c>
      <c r="Q577">
        <v>0</v>
      </c>
      <c r="R577">
        <v>0</v>
      </c>
      <c r="S577" t="s">
        <v>22</v>
      </c>
      <c r="T577" t="s">
        <v>22</v>
      </c>
      <c r="U577">
        <v>438.884</v>
      </c>
      <c r="V577">
        <v>435.183</v>
      </c>
    </row>
    <row r="578" spans="2:22">
      <c r="B578">
        <v>577</v>
      </c>
      <c r="C578" t="s">
        <v>598</v>
      </c>
      <c r="D578">
        <v>0</v>
      </c>
      <c r="E578">
        <v>0</v>
      </c>
      <c r="F578">
        <v>101727.438</v>
      </c>
      <c r="G578">
        <v>101727.438</v>
      </c>
      <c r="H578">
        <v>101727.438</v>
      </c>
      <c r="I578">
        <v>3</v>
      </c>
      <c r="J578">
        <v>1</v>
      </c>
      <c r="K578">
        <v>2</v>
      </c>
      <c r="L578">
        <v>0.034</v>
      </c>
      <c r="M578">
        <v>438.849</v>
      </c>
      <c r="N578">
        <v>0.036</v>
      </c>
      <c r="O578">
        <v>-0.002</v>
      </c>
      <c r="P578">
        <v>0</v>
      </c>
      <c r="Q578">
        <v>0</v>
      </c>
      <c r="R578">
        <v>0</v>
      </c>
      <c r="S578">
        <v>438.849</v>
      </c>
      <c r="T578">
        <v>435.116</v>
      </c>
      <c r="U578">
        <v>438.846</v>
      </c>
      <c r="V578">
        <v>435.145</v>
      </c>
    </row>
    <row r="579" spans="2:22">
      <c r="B579">
        <v>578</v>
      </c>
      <c r="C579" t="s">
        <v>599</v>
      </c>
      <c r="D579">
        <v>60</v>
      </c>
      <c r="E579">
        <v>30.989</v>
      </c>
      <c r="F579">
        <v>101744.336</v>
      </c>
      <c r="G579">
        <v>101760.562</v>
      </c>
      <c r="H579">
        <v>101776.789</v>
      </c>
      <c r="I579">
        <v>1</v>
      </c>
      <c r="J579">
        <v>2</v>
      </c>
      <c r="K579">
        <v>0</v>
      </c>
      <c r="L579">
        <v>0.006</v>
      </c>
      <c r="M579">
        <v>438.842</v>
      </c>
      <c r="N579">
        <v>0.005</v>
      </c>
      <c r="O579">
        <v>0</v>
      </c>
      <c r="P579">
        <v>0.001</v>
      </c>
      <c r="Q579">
        <v>0.001</v>
      </c>
      <c r="R579">
        <v>0</v>
      </c>
      <c r="S579" t="s">
        <v>22</v>
      </c>
      <c r="T579" t="s">
        <v>22</v>
      </c>
      <c r="U579">
        <v>438.843</v>
      </c>
      <c r="V579">
        <v>435.11</v>
      </c>
    </row>
    <row r="580" spans="2:22">
      <c r="B580">
        <v>579</v>
      </c>
      <c r="C580" t="s">
        <v>600</v>
      </c>
      <c r="D580">
        <v>0</v>
      </c>
      <c r="E580">
        <v>0</v>
      </c>
      <c r="F580">
        <v>101899.891</v>
      </c>
      <c r="G580">
        <v>101899.891</v>
      </c>
      <c r="H580">
        <v>101899.891</v>
      </c>
      <c r="I580">
        <v>1</v>
      </c>
      <c r="J580">
        <v>4</v>
      </c>
      <c r="K580">
        <v>1</v>
      </c>
      <c r="L580">
        <v>0.025</v>
      </c>
      <c r="M580">
        <v>438.817</v>
      </c>
      <c r="N580">
        <v>0.022</v>
      </c>
      <c r="O580">
        <v>0</v>
      </c>
      <c r="P580">
        <v>0</v>
      </c>
      <c r="Q580">
        <v>0.003</v>
      </c>
      <c r="R580">
        <v>0</v>
      </c>
      <c r="S580">
        <v>438.817</v>
      </c>
      <c r="T580">
        <v>435.084</v>
      </c>
      <c r="U580">
        <v>438.817</v>
      </c>
      <c r="V580">
        <v>435.084</v>
      </c>
    </row>
    <row r="581" spans="2:22">
      <c r="B581">
        <v>580</v>
      </c>
      <c r="C581" t="s">
        <v>601</v>
      </c>
      <c r="D581">
        <v>0</v>
      </c>
      <c r="E581">
        <v>0</v>
      </c>
      <c r="F581">
        <v>101899.891</v>
      </c>
      <c r="G581">
        <v>101899.891</v>
      </c>
      <c r="H581">
        <v>101899.891</v>
      </c>
      <c r="I581">
        <v>1</v>
      </c>
      <c r="J581">
        <v>4</v>
      </c>
      <c r="K581">
        <v>2</v>
      </c>
      <c r="L581">
        <v>0.03</v>
      </c>
      <c r="M581">
        <v>438.787</v>
      </c>
      <c r="N581">
        <v>0</v>
      </c>
      <c r="O581">
        <v>0</v>
      </c>
      <c r="P581">
        <v>0</v>
      </c>
      <c r="Q581">
        <v>0</v>
      </c>
      <c r="R581">
        <v>0.03</v>
      </c>
      <c r="S581">
        <v>438.787</v>
      </c>
      <c r="T581">
        <v>436.11</v>
      </c>
      <c r="U581">
        <v>438.787</v>
      </c>
      <c r="V581">
        <v>436.11</v>
      </c>
    </row>
    <row r="582" spans="2:22">
      <c r="B582">
        <v>581</v>
      </c>
      <c r="C582" t="s">
        <v>602</v>
      </c>
      <c r="D582">
        <v>60</v>
      </c>
      <c r="E582">
        <v>29.021</v>
      </c>
      <c r="F582">
        <v>101913.867</v>
      </c>
      <c r="G582">
        <v>101929.062</v>
      </c>
      <c r="H582">
        <v>101944.258</v>
      </c>
      <c r="I582">
        <v>1</v>
      </c>
      <c r="J582">
        <v>2</v>
      </c>
      <c r="K582">
        <v>0</v>
      </c>
      <c r="L582">
        <v>0.006</v>
      </c>
      <c r="M582">
        <v>438.782</v>
      </c>
      <c r="N582">
        <v>0.004</v>
      </c>
      <c r="O582">
        <v>0</v>
      </c>
      <c r="P582">
        <v>0.001</v>
      </c>
      <c r="Q582">
        <v>0</v>
      </c>
      <c r="R582">
        <v>0</v>
      </c>
      <c r="S582" t="s">
        <v>22</v>
      </c>
      <c r="T582" t="s">
        <v>22</v>
      </c>
      <c r="U582">
        <v>438.782</v>
      </c>
      <c r="V582">
        <v>436.105</v>
      </c>
    </row>
    <row r="583" spans="2:22">
      <c r="B583">
        <v>582</v>
      </c>
      <c r="C583" t="s">
        <v>603</v>
      </c>
      <c r="D583">
        <v>0</v>
      </c>
      <c r="E583">
        <v>0</v>
      </c>
      <c r="F583">
        <v>101959.383</v>
      </c>
      <c r="G583">
        <v>101959.383</v>
      </c>
      <c r="H583">
        <v>101959.383</v>
      </c>
      <c r="I583">
        <v>2</v>
      </c>
      <c r="J583">
        <v>1</v>
      </c>
      <c r="K583">
        <v>1</v>
      </c>
      <c r="L583">
        <v>0.09</v>
      </c>
      <c r="M583">
        <v>438.691</v>
      </c>
      <c r="N583">
        <v>0.004</v>
      </c>
      <c r="O583">
        <v>0.086</v>
      </c>
      <c r="P583">
        <v>0</v>
      </c>
      <c r="Q583">
        <v>0.001</v>
      </c>
      <c r="R583">
        <v>0</v>
      </c>
      <c r="S583">
        <v>438.777</v>
      </c>
      <c r="T583">
        <v>436.1</v>
      </c>
      <c r="U583">
        <v>438.691</v>
      </c>
      <c r="V583">
        <v>435.997</v>
      </c>
    </row>
    <row r="584" spans="2:22">
      <c r="B584">
        <v>583</v>
      </c>
      <c r="C584" t="s">
        <v>604</v>
      </c>
      <c r="D584">
        <v>0</v>
      </c>
      <c r="E584">
        <v>0</v>
      </c>
      <c r="F584">
        <v>102040.172</v>
      </c>
      <c r="G584">
        <v>102040.172</v>
      </c>
      <c r="H584">
        <v>102040.172</v>
      </c>
      <c r="I584">
        <v>2</v>
      </c>
      <c r="J584">
        <v>1</v>
      </c>
      <c r="K584">
        <v>2</v>
      </c>
      <c r="L584">
        <v>-0.008</v>
      </c>
      <c r="M584">
        <v>438.699</v>
      </c>
      <c r="N584">
        <v>0.037</v>
      </c>
      <c r="O584">
        <v>-0.045</v>
      </c>
      <c r="P584">
        <v>0</v>
      </c>
      <c r="Q584">
        <v>0</v>
      </c>
      <c r="R584">
        <v>0</v>
      </c>
      <c r="S584">
        <v>438.699</v>
      </c>
      <c r="T584">
        <v>436.022</v>
      </c>
      <c r="U584">
        <v>438.655</v>
      </c>
      <c r="V584">
        <v>435.961</v>
      </c>
    </row>
    <row r="585" spans="2:22">
      <c r="B585">
        <v>584</v>
      </c>
      <c r="C585" t="s">
        <v>605</v>
      </c>
      <c r="D585">
        <v>0</v>
      </c>
      <c r="E585">
        <v>0</v>
      </c>
      <c r="F585">
        <v>102050.172</v>
      </c>
      <c r="G585">
        <v>102050.172</v>
      </c>
      <c r="H585">
        <v>102050.172</v>
      </c>
      <c r="I585">
        <v>3</v>
      </c>
      <c r="J585">
        <v>2</v>
      </c>
      <c r="K585">
        <v>1</v>
      </c>
      <c r="L585">
        <v>0.046</v>
      </c>
      <c r="M585">
        <v>438.653</v>
      </c>
      <c r="N585">
        <v>0</v>
      </c>
      <c r="O585">
        <v>0.046</v>
      </c>
      <c r="P585">
        <v>0</v>
      </c>
      <c r="Q585">
        <v>0</v>
      </c>
      <c r="R585">
        <v>0</v>
      </c>
      <c r="S585">
        <v>438.699</v>
      </c>
      <c r="T585">
        <v>436.022</v>
      </c>
      <c r="U585">
        <v>438.653</v>
      </c>
      <c r="V585">
        <v>435.969</v>
      </c>
    </row>
    <row r="586" spans="2:22">
      <c r="B586">
        <v>585</v>
      </c>
      <c r="C586" t="s">
        <v>606</v>
      </c>
      <c r="D586">
        <v>0</v>
      </c>
      <c r="E586">
        <v>0</v>
      </c>
      <c r="F586">
        <v>102078.328</v>
      </c>
      <c r="G586">
        <v>102078.328</v>
      </c>
      <c r="H586">
        <v>102078.328</v>
      </c>
      <c r="I586">
        <v>3</v>
      </c>
      <c r="J586">
        <v>2</v>
      </c>
      <c r="K586">
        <v>2</v>
      </c>
      <c r="L586">
        <v>0.01</v>
      </c>
      <c r="M586">
        <v>438.643</v>
      </c>
      <c r="N586">
        <v>0.01</v>
      </c>
      <c r="O586">
        <v>0</v>
      </c>
      <c r="P586">
        <v>0</v>
      </c>
      <c r="Q586">
        <v>0</v>
      </c>
      <c r="R586">
        <v>0</v>
      </c>
      <c r="S586">
        <v>438.643</v>
      </c>
      <c r="T586">
        <v>435.959</v>
      </c>
      <c r="U586">
        <v>438.643</v>
      </c>
      <c r="V586">
        <v>435.959</v>
      </c>
    </row>
    <row r="587" spans="2:22">
      <c r="B587">
        <v>586</v>
      </c>
      <c r="C587" t="s">
        <v>607</v>
      </c>
      <c r="D587">
        <v>0</v>
      </c>
      <c r="E587">
        <v>0</v>
      </c>
      <c r="F587">
        <v>102078.328</v>
      </c>
      <c r="G587">
        <v>102078.328</v>
      </c>
      <c r="H587">
        <v>102078.328</v>
      </c>
      <c r="I587">
        <v>3</v>
      </c>
      <c r="J587">
        <v>1</v>
      </c>
      <c r="K587">
        <v>1</v>
      </c>
      <c r="L587">
        <v>0</v>
      </c>
      <c r="M587">
        <v>438.643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438.643</v>
      </c>
      <c r="T587">
        <v>435.959</v>
      </c>
      <c r="U587">
        <v>438.643</v>
      </c>
      <c r="V587">
        <v>435.959</v>
      </c>
    </row>
    <row r="588" spans="2:22">
      <c r="B588">
        <v>587</v>
      </c>
      <c r="C588" t="s">
        <v>608</v>
      </c>
      <c r="D588">
        <v>60</v>
      </c>
      <c r="E588">
        <v>11.966</v>
      </c>
      <c r="F588">
        <v>102247.852</v>
      </c>
      <c r="G588">
        <v>102254.117</v>
      </c>
      <c r="H588">
        <v>102260.383</v>
      </c>
      <c r="I588">
        <v>3</v>
      </c>
      <c r="J588">
        <v>1</v>
      </c>
      <c r="K588">
        <v>0</v>
      </c>
      <c r="L588">
        <v>0.064</v>
      </c>
      <c r="M588">
        <v>438.58</v>
      </c>
      <c r="N588">
        <v>0.063</v>
      </c>
      <c r="O588">
        <v>0</v>
      </c>
      <c r="P588">
        <v>0.001</v>
      </c>
      <c r="Q588">
        <v>0</v>
      </c>
      <c r="R588">
        <v>0</v>
      </c>
      <c r="S588" t="s">
        <v>22</v>
      </c>
      <c r="T588" t="s">
        <v>22</v>
      </c>
      <c r="U588">
        <v>438.58</v>
      </c>
      <c r="V588">
        <v>435.896</v>
      </c>
    </row>
    <row r="589" spans="2:22">
      <c r="B589">
        <v>588</v>
      </c>
      <c r="C589" t="s">
        <v>609</v>
      </c>
      <c r="D589">
        <v>60</v>
      </c>
      <c r="E589">
        <v>12.997</v>
      </c>
      <c r="F589">
        <v>103361.789</v>
      </c>
      <c r="G589">
        <v>103368.594</v>
      </c>
      <c r="H589">
        <v>103375.398</v>
      </c>
      <c r="I589">
        <v>3</v>
      </c>
      <c r="J589">
        <v>1</v>
      </c>
      <c r="K589">
        <v>0</v>
      </c>
      <c r="L589">
        <v>0.399</v>
      </c>
      <c r="M589">
        <v>438.181</v>
      </c>
      <c r="N589">
        <v>0.398</v>
      </c>
      <c r="O589">
        <v>0</v>
      </c>
      <c r="P589">
        <v>0.001</v>
      </c>
      <c r="Q589">
        <v>0</v>
      </c>
      <c r="R589">
        <v>0</v>
      </c>
      <c r="S589" t="s">
        <v>22</v>
      </c>
      <c r="T589" t="s">
        <v>22</v>
      </c>
      <c r="U589">
        <v>438.182</v>
      </c>
      <c r="V589">
        <v>435.498</v>
      </c>
    </row>
    <row r="590" spans="2:22">
      <c r="B590">
        <v>589</v>
      </c>
      <c r="C590" t="s">
        <v>610</v>
      </c>
      <c r="D590">
        <v>60</v>
      </c>
      <c r="E590">
        <v>30.571</v>
      </c>
      <c r="F590">
        <v>104306.789</v>
      </c>
      <c r="G590">
        <v>104322.797</v>
      </c>
      <c r="H590">
        <v>104338.805</v>
      </c>
      <c r="I590">
        <v>3</v>
      </c>
      <c r="J590">
        <v>1</v>
      </c>
      <c r="K590">
        <v>0</v>
      </c>
      <c r="L590">
        <v>0.343</v>
      </c>
      <c r="M590">
        <v>437.839</v>
      </c>
      <c r="N590">
        <v>0.341</v>
      </c>
      <c r="O590">
        <v>0</v>
      </c>
      <c r="P590">
        <v>0.002</v>
      </c>
      <c r="Q590">
        <v>0</v>
      </c>
      <c r="R590">
        <v>0</v>
      </c>
      <c r="S590" t="s">
        <v>22</v>
      </c>
      <c r="T590" t="s">
        <v>22</v>
      </c>
      <c r="U590">
        <v>437.839</v>
      </c>
      <c r="V590">
        <v>435.155</v>
      </c>
    </row>
    <row r="591" spans="2:22">
      <c r="B591">
        <v>590</v>
      </c>
      <c r="C591" t="s">
        <v>611</v>
      </c>
      <c r="D591">
        <v>60</v>
      </c>
      <c r="E591">
        <v>35.077</v>
      </c>
      <c r="F591">
        <v>104715.766</v>
      </c>
      <c r="G591">
        <v>104734.133</v>
      </c>
      <c r="H591">
        <v>104752.5</v>
      </c>
      <c r="I591">
        <v>3</v>
      </c>
      <c r="J591">
        <v>1</v>
      </c>
      <c r="K591">
        <v>0</v>
      </c>
      <c r="L591">
        <v>0.149</v>
      </c>
      <c r="M591">
        <v>437.689</v>
      </c>
      <c r="N591">
        <v>0.147</v>
      </c>
      <c r="O591">
        <v>0</v>
      </c>
      <c r="P591">
        <v>0.002</v>
      </c>
      <c r="Q591">
        <v>0</v>
      </c>
      <c r="R591">
        <v>0</v>
      </c>
      <c r="S591" t="s">
        <v>22</v>
      </c>
      <c r="T591" t="s">
        <v>22</v>
      </c>
      <c r="U591">
        <v>437.691</v>
      </c>
      <c r="V591">
        <v>435.007</v>
      </c>
    </row>
    <row r="592" spans="2:22">
      <c r="B592">
        <v>591</v>
      </c>
      <c r="C592" t="s">
        <v>612</v>
      </c>
      <c r="D592">
        <v>0</v>
      </c>
      <c r="E592">
        <v>0</v>
      </c>
      <c r="F592">
        <v>104880.828</v>
      </c>
      <c r="G592">
        <v>104880.828</v>
      </c>
      <c r="H592">
        <v>104880.828</v>
      </c>
      <c r="I592">
        <v>3</v>
      </c>
      <c r="J592">
        <v>1</v>
      </c>
      <c r="K592">
        <v>2</v>
      </c>
      <c r="L592">
        <v>0.052</v>
      </c>
      <c r="M592">
        <v>437.637</v>
      </c>
      <c r="N592">
        <v>0.052</v>
      </c>
      <c r="O592">
        <v>0</v>
      </c>
      <c r="P592">
        <v>0</v>
      </c>
      <c r="Q592">
        <v>0</v>
      </c>
      <c r="R592">
        <v>0</v>
      </c>
      <c r="S592">
        <v>437.637</v>
      </c>
      <c r="T592">
        <v>434.953</v>
      </c>
      <c r="U592">
        <v>437.637</v>
      </c>
      <c r="V592">
        <v>434.953</v>
      </c>
    </row>
    <row r="593" spans="2:22">
      <c r="B593">
        <v>592</v>
      </c>
      <c r="C593" t="s">
        <v>613</v>
      </c>
      <c r="D593">
        <v>0</v>
      </c>
      <c r="E593">
        <v>0</v>
      </c>
      <c r="F593">
        <v>104880.828</v>
      </c>
      <c r="G593">
        <v>104880.828</v>
      </c>
      <c r="H593">
        <v>104880.828</v>
      </c>
      <c r="I593">
        <v>3</v>
      </c>
      <c r="J593">
        <v>2</v>
      </c>
      <c r="K593">
        <v>1</v>
      </c>
      <c r="L593">
        <v>0</v>
      </c>
      <c r="M593">
        <v>437.637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437.637</v>
      </c>
      <c r="T593">
        <v>434.953</v>
      </c>
      <c r="U593">
        <v>437.637</v>
      </c>
      <c r="V593">
        <v>434.953</v>
      </c>
    </row>
    <row r="594" spans="2:22">
      <c r="B594">
        <v>593</v>
      </c>
      <c r="C594" t="s">
        <v>614</v>
      </c>
      <c r="D594">
        <v>0</v>
      </c>
      <c r="E594">
        <v>0</v>
      </c>
      <c r="F594">
        <v>104927.531</v>
      </c>
      <c r="G594">
        <v>104927.531</v>
      </c>
      <c r="H594">
        <v>104927.531</v>
      </c>
      <c r="I594">
        <v>3</v>
      </c>
      <c r="J594">
        <v>2</v>
      </c>
      <c r="K594">
        <v>2</v>
      </c>
      <c r="L594">
        <v>0.017</v>
      </c>
      <c r="M594">
        <v>437.62</v>
      </c>
      <c r="N594">
        <v>0.017</v>
      </c>
      <c r="O594">
        <v>0</v>
      </c>
      <c r="P594">
        <v>0</v>
      </c>
      <c r="Q594">
        <v>0</v>
      </c>
      <c r="R594">
        <v>0</v>
      </c>
      <c r="S594">
        <v>437.62</v>
      </c>
      <c r="T594">
        <v>434.936</v>
      </c>
      <c r="U594">
        <v>437.62</v>
      </c>
      <c r="V594">
        <v>434.936</v>
      </c>
    </row>
    <row r="595" spans="2:22">
      <c r="B595">
        <v>594</v>
      </c>
      <c r="C595" t="s">
        <v>615</v>
      </c>
      <c r="D595">
        <v>0</v>
      </c>
      <c r="E595">
        <v>0</v>
      </c>
      <c r="F595">
        <v>104927.531</v>
      </c>
      <c r="G595">
        <v>104927.531</v>
      </c>
      <c r="H595">
        <v>104927.531</v>
      </c>
      <c r="I595">
        <v>3</v>
      </c>
      <c r="J595">
        <v>1</v>
      </c>
      <c r="K595">
        <v>1</v>
      </c>
      <c r="L595">
        <v>0</v>
      </c>
      <c r="M595">
        <v>437.62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437.62</v>
      </c>
      <c r="T595">
        <v>434.936</v>
      </c>
      <c r="U595">
        <v>437.62</v>
      </c>
      <c r="V595">
        <v>434.936</v>
      </c>
    </row>
    <row r="596" spans="2:22">
      <c r="B596">
        <v>595</v>
      </c>
      <c r="C596" t="s">
        <v>616</v>
      </c>
      <c r="D596">
        <v>60</v>
      </c>
      <c r="E596">
        <v>43.208</v>
      </c>
      <c r="F596">
        <v>105009.25</v>
      </c>
      <c r="G596">
        <v>105031.875</v>
      </c>
      <c r="H596">
        <v>105054.5</v>
      </c>
      <c r="I596">
        <v>3</v>
      </c>
      <c r="J596">
        <v>1</v>
      </c>
      <c r="K596">
        <v>0</v>
      </c>
      <c r="L596">
        <v>0.04</v>
      </c>
      <c r="M596">
        <v>437.581</v>
      </c>
      <c r="N596">
        <v>0.037</v>
      </c>
      <c r="O596">
        <v>0</v>
      </c>
      <c r="P596">
        <v>0.003</v>
      </c>
      <c r="Q596">
        <v>0</v>
      </c>
      <c r="R596">
        <v>0</v>
      </c>
      <c r="S596" t="s">
        <v>22</v>
      </c>
      <c r="T596" t="s">
        <v>22</v>
      </c>
      <c r="U596">
        <v>437.582</v>
      </c>
      <c r="V596">
        <v>434.898</v>
      </c>
    </row>
    <row r="597" spans="2:22">
      <c r="B597">
        <v>596</v>
      </c>
      <c r="C597" t="s">
        <v>617</v>
      </c>
      <c r="D597">
        <v>60</v>
      </c>
      <c r="E597">
        <v>46.556</v>
      </c>
      <c r="F597">
        <v>105321.125</v>
      </c>
      <c r="G597">
        <v>105345.5</v>
      </c>
      <c r="H597">
        <v>105369.883</v>
      </c>
      <c r="I597">
        <v>3</v>
      </c>
      <c r="J597">
        <v>1</v>
      </c>
      <c r="K597">
        <v>0</v>
      </c>
      <c r="L597">
        <v>0.115</v>
      </c>
      <c r="M597">
        <v>437.466</v>
      </c>
      <c r="N597">
        <v>0.112</v>
      </c>
      <c r="O597">
        <v>0</v>
      </c>
      <c r="P597">
        <v>0.003</v>
      </c>
      <c r="Q597">
        <v>0</v>
      </c>
      <c r="R597">
        <v>0</v>
      </c>
      <c r="S597" t="s">
        <v>22</v>
      </c>
      <c r="T597" t="s">
        <v>22</v>
      </c>
      <c r="U597">
        <v>437.467</v>
      </c>
      <c r="V597">
        <v>434.783</v>
      </c>
    </row>
    <row r="598" spans="2:22">
      <c r="B598">
        <v>597</v>
      </c>
      <c r="C598" t="s">
        <v>618</v>
      </c>
      <c r="D598">
        <v>0</v>
      </c>
      <c r="E598">
        <v>0</v>
      </c>
      <c r="F598">
        <v>105567.945</v>
      </c>
      <c r="G598">
        <v>105567.945</v>
      </c>
      <c r="H598">
        <v>105567.945</v>
      </c>
      <c r="I598">
        <v>3</v>
      </c>
      <c r="J598">
        <v>1</v>
      </c>
      <c r="K598">
        <v>2</v>
      </c>
      <c r="L598">
        <v>0.056</v>
      </c>
      <c r="M598">
        <v>437.41</v>
      </c>
      <c r="N598">
        <v>0.079</v>
      </c>
      <c r="O598">
        <v>-0.024</v>
      </c>
      <c r="P598">
        <v>0</v>
      </c>
      <c r="Q598">
        <v>0</v>
      </c>
      <c r="R598">
        <v>0</v>
      </c>
      <c r="S598">
        <v>437.41</v>
      </c>
      <c r="T598">
        <v>434.733</v>
      </c>
      <c r="U598">
        <v>437.386</v>
      </c>
      <c r="V598">
        <v>434.702</v>
      </c>
    </row>
    <row r="599" spans="2:22">
      <c r="B599">
        <v>598</v>
      </c>
      <c r="C599" t="s">
        <v>619</v>
      </c>
      <c r="D599">
        <v>0</v>
      </c>
      <c r="E599">
        <v>0</v>
      </c>
      <c r="F599">
        <v>105586.828</v>
      </c>
      <c r="G599">
        <v>105586.828</v>
      </c>
      <c r="H599">
        <v>105586.828</v>
      </c>
      <c r="I599">
        <v>2</v>
      </c>
      <c r="J599">
        <v>1</v>
      </c>
      <c r="K599">
        <v>1</v>
      </c>
      <c r="L599">
        <v>0.087</v>
      </c>
      <c r="M599">
        <v>437.323</v>
      </c>
      <c r="N599">
        <v>0.001</v>
      </c>
      <c r="O599">
        <v>0.086</v>
      </c>
      <c r="P599">
        <v>0</v>
      </c>
      <c r="Q599">
        <v>0</v>
      </c>
      <c r="R599">
        <v>0</v>
      </c>
      <c r="S599">
        <v>437.408</v>
      </c>
      <c r="T599">
        <v>434.731</v>
      </c>
      <c r="U599">
        <v>437.323</v>
      </c>
      <c r="V599">
        <v>434.629</v>
      </c>
    </row>
    <row r="600" spans="2:22">
      <c r="B600">
        <v>599</v>
      </c>
      <c r="C600" t="s">
        <v>620</v>
      </c>
      <c r="D600">
        <v>0</v>
      </c>
      <c r="E600">
        <v>0</v>
      </c>
      <c r="F600">
        <v>105684</v>
      </c>
      <c r="G600">
        <v>105684</v>
      </c>
      <c r="H600">
        <v>105684</v>
      </c>
      <c r="I600">
        <v>2</v>
      </c>
      <c r="J600">
        <v>1</v>
      </c>
      <c r="K600">
        <v>2</v>
      </c>
      <c r="L600">
        <v>0</v>
      </c>
      <c r="M600">
        <v>437.323</v>
      </c>
      <c r="N600">
        <v>0.044</v>
      </c>
      <c r="O600">
        <v>-0.045</v>
      </c>
      <c r="P600">
        <v>0</v>
      </c>
      <c r="Q600">
        <v>0</v>
      </c>
      <c r="R600">
        <v>0</v>
      </c>
      <c r="S600">
        <v>437.323</v>
      </c>
      <c r="T600">
        <v>434.646</v>
      </c>
      <c r="U600">
        <v>437.279</v>
      </c>
      <c r="V600">
        <v>434.585</v>
      </c>
    </row>
    <row r="601" spans="2:22">
      <c r="B601">
        <v>600</v>
      </c>
      <c r="C601" t="s">
        <v>621</v>
      </c>
      <c r="D601">
        <v>0</v>
      </c>
      <c r="E601">
        <v>0</v>
      </c>
      <c r="F601">
        <v>105695.766</v>
      </c>
      <c r="G601">
        <v>105695.766</v>
      </c>
      <c r="H601">
        <v>105695.766</v>
      </c>
      <c r="I601">
        <v>3</v>
      </c>
      <c r="J601">
        <v>1</v>
      </c>
      <c r="K601">
        <v>1</v>
      </c>
      <c r="L601">
        <v>0.046</v>
      </c>
      <c r="M601">
        <v>437.277</v>
      </c>
      <c r="N601">
        <v>0</v>
      </c>
      <c r="O601">
        <v>0.046</v>
      </c>
      <c r="P601">
        <v>0</v>
      </c>
      <c r="Q601">
        <v>0</v>
      </c>
      <c r="R601">
        <v>0</v>
      </c>
      <c r="S601">
        <v>437.323</v>
      </c>
      <c r="T601">
        <v>434.646</v>
      </c>
      <c r="U601">
        <v>437.277</v>
      </c>
      <c r="V601">
        <v>434.593</v>
      </c>
    </row>
    <row r="602" spans="2:22">
      <c r="B602">
        <v>601</v>
      </c>
      <c r="C602" t="s">
        <v>622</v>
      </c>
      <c r="D602">
        <v>60</v>
      </c>
      <c r="E602">
        <v>8.557</v>
      </c>
      <c r="F602">
        <v>105795.828</v>
      </c>
      <c r="G602">
        <v>105800.305</v>
      </c>
      <c r="H602">
        <v>105804.789</v>
      </c>
      <c r="I602">
        <v>3</v>
      </c>
      <c r="J602">
        <v>1</v>
      </c>
      <c r="K602">
        <v>0</v>
      </c>
      <c r="L602">
        <v>0.038</v>
      </c>
      <c r="M602">
        <v>437.239</v>
      </c>
      <c r="N602">
        <v>0.037</v>
      </c>
      <c r="O602">
        <v>0</v>
      </c>
      <c r="P602">
        <v>0.001</v>
      </c>
      <c r="Q602">
        <v>0</v>
      </c>
      <c r="R602">
        <v>0</v>
      </c>
      <c r="S602" t="s">
        <v>22</v>
      </c>
      <c r="T602" t="s">
        <v>22</v>
      </c>
      <c r="U602">
        <v>437.24</v>
      </c>
      <c r="V602">
        <v>434.556</v>
      </c>
    </row>
    <row r="603" spans="2:22">
      <c r="B603">
        <v>602</v>
      </c>
      <c r="C603" t="s">
        <v>623</v>
      </c>
      <c r="D603">
        <v>0</v>
      </c>
      <c r="E603">
        <v>0</v>
      </c>
      <c r="F603">
        <v>105915.336</v>
      </c>
      <c r="G603">
        <v>105915.336</v>
      </c>
      <c r="H603">
        <v>105915.336</v>
      </c>
      <c r="I603">
        <v>3</v>
      </c>
      <c r="J603">
        <v>1</v>
      </c>
      <c r="K603">
        <v>2</v>
      </c>
      <c r="L603">
        <v>0.017</v>
      </c>
      <c r="M603">
        <v>437.222</v>
      </c>
      <c r="N603">
        <v>0.041</v>
      </c>
      <c r="O603">
        <v>-0.024</v>
      </c>
      <c r="P603">
        <v>0</v>
      </c>
      <c r="Q603">
        <v>0</v>
      </c>
      <c r="R603">
        <v>0</v>
      </c>
      <c r="S603">
        <v>437.222</v>
      </c>
      <c r="T603">
        <v>434.545</v>
      </c>
      <c r="U603">
        <v>437.198</v>
      </c>
      <c r="V603">
        <v>434.514</v>
      </c>
    </row>
    <row r="604" spans="2:22">
      <c r="B604">
        <v>603</v>
      </c>
      <c r="C604" t="s">
        <v>624</v>
      </c>
      <c r="D604">
        <v>0</v>
      </c>
      <c r="E604">
        <v>0</v>
      </c>
      <c r="F604">
        <v>105931.422</v>
      </c>
      <c r="G604">
        <v>105931.422</v>
      </c>
      <c r="H604">
        <v>105931.422</v>
      </c>
      <c r="I604">
        <v>2</v>
      </c>
      <c r="J604">
        <v>1</v>
      </c>
      <c r="K604">
        <v>1</v>
      </c>
      <c r="L604">
        <v>0.087</v>
      </c>
      <c r="M604">
        <v>437.135</v>
      </c>
      <c r="N604">
        <v>0.001</v>
      </c>
      <c r="O604">
        <v>0.086</v>
      </c>
      <c r="P604">
        <v>0</v>
      </c>
      <c r="Q604">
        <v>0</v>
      </c>
      <c r="R604">
        <v>0</v>
      </c>
      <c r="S604">
        <v>437.221</v>
      </c>
      <c r="T604">
        <v>434.544</v>
      </c>
      <c r="U604">
        <v>437.135</v>
      </c>
      <c r="V604">
        <v>434.441</v>
      </c>
    </row>
    <row r="605" spans="2:22">
      <c r="B605">
        <v>604</v>
      </c>
      <c r="C605" t="s">
        <v>625</v>
      </c>
      <c r="D605">
        <v>0</v>
      </c>
      <c r="E605">
        <v>0</v>
      </c>
      <c r="F605">
        <v>106092.984</v>
      </c>
      <c r="G605">
        <v>106092.984</v>
      </c>
      <c r="H605">
        <v>106092.984</v>
      </c>
      <c r="I605">
        <v>2</v>
      </c>
      <c r="J605">
        <v>1</v>
      </c>
      <c r="K605">
        <v>2</v>
      </c>
      <c r="L605">
        <v>0.029</v>
      </c>
      <c r="M605">
        <v>437.107</v>
      </c>
      <c r="N605">
        <v>0.073</v>
      </c>
      <c r="O605">
        <v>-0.045</v>
      </c>
      <c r="P605">
        <v>0</v>
      </c>
      <c r="Q605">
        <v>0</v>
      </c>
      <c r="R605">
        <v>0</v>
      </c>
      <c r="S605">
        <v>437.107</v>
      </c>
      <c r="T605">
        <v>434.43</v>
      </c>
      <c r="U605">
        <v>437.062</v>
      </c>
      <c r="V605">
        <v>434.368</v>
      </c>
    </row>
    <row r="606" spans="2:22">
      <c r="B606">
        <v>605</v>
      </c>
      <c r="C606" t="s">
        <v>626</v>
      </c>
      <c r="D606">
        <v>60</v>
      </c>
      <c r="E606">
        <v>7.798</v>
      </c>
      <c r="F606">
        <v>106122.281</v>
      </c>
      <c r="G606">
        <v>106126.367</v>
      </c>
      <c r="H606">
        <v>106130.445</v>
      </c>
      <c r="I606">
        <v>1</v>
      </c>
      <c r="J606">
        <v>2</v>
      </c>
      <c r="K606">
        <v>0</v>
      </c>
      <c r="L606">
        <v>0.006</v>
      </c>
      <c r="M606">
        <v>437.101</v>
      </c>
      <c r="N606">
        <v>0.005</v>
      </c>
      <c r="O606">
        <v>0</v>
      </c>
      <c r="P606">
        <v>0</v>
      </c>
      <c r="Q606">
        <v>0.001</v>
      </c>
      <c r="R606">
        <v>0</v>
      </c>
      <c r="S606" t="s">
        <v>22</v>
      </c>
      <c r="T606" t="s">
        <v>22</v>
      </c>
      <c r="U606">
        <v>437.101</v>
      </c>
      <c r="V606">
        <v>434.424</v>
      </c>
    </row>
    <row r="607" spans="2:22">
      <c r="B607">
        <v>606</v>
      </c>
      <c r="C607" t="s">
        <v>627</v>
      </c>
      <c r="D607">
        <v>40</v>
      </c>
      <c r="E607">
        <v>69.816</v>
      </c>
      <c r="F607">
        <v>106172.281</v>
      </c>
      <c r="G607">
        <v>106196.648</v>
      </c>
      <c r="H607">
        <v>106221.023</v>
      </c>
      <c r="I607">
        <v>1</v>
      </c>
      <c r="J607">
        <v>2</v>
      </c>
      <c r="K607">
        <v>0</v>
      </c>
      <c r="L607">
        <v>0.015</v>
      </c>
      <c r="M607">
        <v>437.086</v>
      </c>
      <c r="N607">
        <v>0.012</v>
      </c>
      <c r="O607">
        <v>0</v>
      </c>
      <c r="P607">
        <v>0.002</v>
      </c>
      <c r="Q607">
        <v>0.001</v>
      </c>
      <c r="R607">
        <v>0</v>
      </c>
      <c r="S607" t="s">
        <v>22</v>
      </c>
      <c r="T607" t="s">
        <v>22</v>
      </c>
      <c r="U607">
        <v>437.087</v>
      </c>
      <c r="V607">
        <v>434.41</v>
      </c>
    </row>
    <row r="608" spans="2:22">
      <c r="B608">
        <v>607</v>
      </c>
      <c r="C608" t="s">
        <v>628</v>
      </c>
      <c r="D608">
        <v>40</v>
      </c>
      <c r="E608">
        <v>31.871</v>
      </c>
      <c r="F608">
        <v>106230.93</v>
      </c>
      <c r="G608">
        <v>106242.055</v>
      </c>
      <c r="H608">
        <v>106253.18</v>
      </c>
      <c r="I608">
        <v>1</v>
      </c>
      <c r="J608">
        <v>2</v>
      </c>
      <c r="K608">
        <v>0</v>
      </c>
      <c r="L608">
        <v>0.009</v>
      </c>
      <c r="M608">
        <v>437.077</v>
      </c>
      <c r="N608">
        <v>0.008</v>
      </c>
      <c r="O608">
        <v>0</v>
      </c>
      <c r="P608">
        <v>0.001</v>
      </c>
      <c r="Q608">
        <v>0.001</v>
      </c>
      <c r="R608">
        <v>0</v>
      </c>
      <c r="S608" t="s">
        <v>22</v>
      </c>
      <c r="T608" t="s">
        <v>22</v>
      </c>
      <c r="U608">
        <v>437.077</v>
      </c>
      <c r="V608">
        <v>434.4</v>
      </c>
    </row>
    <row r="609" spans="2:22">
      <c r="B609">
        <v>608</v>
      </c>
      <c r="C609" t="s">
        <v>629</v>
      </c>
      <c r="D609">
        <v>40</v>
      </c>
      <c r="E609">
        <v>21.117</v>
      </c>
      <c r="F609">
        <v>106280.875</v>
      </c>
      <c r="G609">
        <v>106288.242</v>
      </c>
      <c r="H609">
        <v>106295.617</v>
      </c>
      <c r="I609">
        <v>1</v>
      </c>
      <c r="J609">
        <v>2</v>
      </c>
      <c r="K609">
        <v>0</v>
      </c>
      <c r="L609">
        <v>0.009</v>
      </c>
      <c r="M609">
        <v>437.067</v>
      </c>
      <c r="N609">
        <v>0.008</v>
      </c>
      <c r="O609">
        <v>0</v>
      </c>
      <c r="P609">
        <v>0.001</v>
      </c>
      <c r="Q609">
        <v>0.001</v>
      </c>
      <c r="R609">
        <v>0</v>
      </c>
      <c r="S609" t="s">
        <v>22</v>
      </c>
      <c r="T609" t="s">
        <v>22</v>
      </c>
      <c r="U609">
        <v>437.068</v>
      </c>
      <c r="V609">
        <v>434.391</v>
      </c>
    </row>
    <row r="610" spans="2:22">
      <c r="B610">
        <v>609</v>
      </c>
      <c r="C610" t="s">
        <v>630</v>
      </c>
      <c r="D610">
        <v>0</v>
      </c>
      <c r="E610">
        <v>0</v>
      </c>
      <c r="F610">
        <v>106328.43</v>
      </c>
      <c r="G610">
        <v>106328.43</v>
      </c>
      <c r="H610">
        <v>106328.43</v>
      </c>
      <c r="I610">
        <v>2</v>
      </c>
      <c r="J610">
        <v>1</v>
      </c>
      <c r="K610">
        <v>1</v>
      </c>
      <c r="L610">
        <v>0.092</v>
      </c>
      <c r="M610">
        <v>436.975</v>
      </c>
      <c r="N610">
        <v>0.006</v>
      </c>
      <c r="O610">
        <v>0.086</v>
      </c>
      <c r="P610">
        <v>0</v>
      </c>
      <c r="Q610">
        <v>0.001</v>
      </c>
      <c r="R610">
        <v>0</v>
      </c>
      <c r="S610">
        <v>437.061</v>
      </c>
      <c r="T610">
        <v>434.384</v>
      </c>
      <c r="U610">
        <v>436.975</v>
      </c>
      <c r="V610">
        <v>434.281</v>
      </c>
    </row>
    <row r="611" spans="2:22">
      <c r="B611">
        <v>610</v>
      </c>
      <c r="C611" t="s">
        <v>631</v>
      </c>
      <c r="D611">
        <v>40</v>
      </c>
      <c r="E611">
        <v>23.999</v>
      </c>
      <c r="F611">
        <v>106338.93</v>
      </c>
      <c r="G611">
        <v>106347.312</v>
      </c>
      <c r="H611">
        <v>106355.688</v>
      </c>
      <c r="I611">
        <v>2</v>
      </c>
      <c r="J611">
        <v>1</v>
      </c>
      <c r="K611">
        <v>0</v>
      </c>
      <c r="L611">
        <v>0.01</v>
      </c>
      <c r="M611">
        <v>436.965</v>
      </c>
      <c r="N611">
        <v>0.009</v>
      </c>
      <c r="O611">
        <v>0</v>
      </c>
      <c r="P611">
        <v>0.002</v>
      </c>
      <c r="Q611">
        <v>0</v>
      </c>
      <c r="R611">
        <v>0</v>
      </c>
      <c r="S611" t="s">
        <v>22</v>
      </c>
      <c r="T611" t="s">
        <v>22</v>
      </c>
      <c r="U611">
        <v>436.966</v>
      </c>
      <c r="V611">
        <v>434.272</v>
      </c>
    </row>
    <row r="612" spans="2:22">
      <c r="B612">
        <v>611</v>
      </c>
      <c r="C612" t="s">
        <v>632</v>
      </c>
      <c r="D612">
        <v>0</v>
      </c>
      <c r="E612">
        <v>0</v>
      </c>
      <c r="F612">
        <v>106441.484</v>
      </c>
      <c r="G612">
        <v>106441.484</v>
      </c>
      <c r="H612">
        <v>106441.484</v>
      </c>
      <c r="I612">
        <v>2</v>
      </c>
      <c r="J612">
        <v>1</v>
      </c>
      <c r="K612">
        <v>2</v>
      </c>
      <c r="L612">
        <v>-0.002</v>
      </c>
      <c r="M612">
        <v>436.967</v>
      </c>
      <c r="N612">
        <v>0.043</v>
      </c>
      <c r="O612">
        <v>-0.045</v>
      </c>
      <c r="P612">
        <v>0</v>
      </c>
      <c r="Q612">
        <v>0</v>
      </c>
      <c r="R612">
        <v>0</v>
      </c>
      <c r="S612">
        <v>436.967</v>
      </c>
      <c r="T612">
        <v>434.29</v>
      </c>
      <c r="U612">
        <v>436.922</v>
      </c>
      <c r="V612">
        <v>434.228</v>
      </c>
    </row>
    <row r="613" spans="2:22">
      <c r="B613">
        <v>612</v>
      </c>
      <c r="C613" t="s">
        <v>633</v>
      </c>
      <c r="D613">
        <v>40</v>
      </c>
      <c r="E613">
        <v>38.487</v>
      </c>
      <c r="F613">
        <v>106448.758</v>
      </c>
      <c r="G613">
        <v>106462.195</v>
      </c>
      <c r="H613">
        <v>106475.633</v>
      </c>
      <c r="I613">
        <v>1</v>
      </c>
      <c r="J613">
        <v>2</v>
      </c>
      <c r="K613">
        <v>0</v>
      </c>
      <c r="L613">
        <v>0.004</v>
      </c>
      <c r="M613">
        <v>436.963</v>
      </c>
      <c r="N613">
        <v>0.003</v>
      </c>
      <c r="O613">
        <v>0</v>
      </c>
      <c r="P613">
        <v>0.001</v>
      </c>
      <c r="Q613">
        <v>0</v>
      </c>
      <c r="R613">
        <v>0</v>
      </c>
      <c r="S613" t="s">
        <v>22</v>
      </c>
      <c r="T613" t="s">
        <v>22</v>
      </c>
      <c r="U613">
        <v>436.963</v>
      </c>
      <c r="V613">
        <v>434.286</v>
      </c>
    </row>
    <row r="614" spans="2:22">
      <c r="B614">
        <v>613</v>
      </c>
      <c r="C614" t="s">
        <v>634</v>
      </c>
      <c r="D614">
        <v>60</v>
      </c>
      <c r="E614">
        <v>37.697</v>
      </c>
      <c r="F614">
        <v>106514.852</v>
      </c>
      <c r="G614">
        <v>106534.594</v>
      </c>
      <c r="H614">
        <v>106554.328</v>
      </c>
      <c r="I614">
        <v>1</v>
      </c>
      <c r="J614">
        <v>2</v>
      </c>
      <c r="K614">
        <v>0</v>
      </c>
      <c r="L614">
        <v>0.015</v>
      </c>
      <c r="M614">
        <v>436.948</v>
      </c>
      <c r="N614">
        <v>0.012</v>
      </c>
      <c r="O614">
        <v>0</v>
      </c>
      <c r="P614">
        <v>0.001</v>
      </c>
      <c r="Q614">
        <v>0.001</v>
      </c>
      <c r="R614">
        <v>0</v>
      </c>
      <c r="S614" t="s">
        <v>22</v>
      </c>
      <c r="T614" t="s">
        <v>22</v>
      </c>
      <c r="U614">
        <v>436.948</v>
      </c>
      <c r="V614">
        <v>434.271</v>
      </c>
    </row>
    <row r="615" spans="2:22">
      <c r="B615">
        <v>614</v>
      </c>
      <c r="C615" t="s">
        <v>635</v>
      </c>
      <c r="D615">
        <v>0</v>
      </c>
      <c r="E615">
        <v>0</v>
      </c>
      <c r="F615">
        <v>106562.906</v>
      </c>
      <c r="G615">
        <v>106562.906</v>
      </c>
      <c r="H615">
        <v>106562.906</v>
      </c>
      <c r="I615">
        <v>2</v>
      </c>
      <c r="J615">
        <v>1</v>
      </c>
      <c r="K615">
        <v>1</v>
      </c>
      <c r="L615">
        <v>0.09</v>
      </c>
      <c r="M615">
        <v>436.858</v>
      </c>
      <c r="N615">
        <v>0.004</v>
      </c>
      <c r="O615">
        <v>0.086</v>
      </c>
      <c r="P615">
        <v>0</v>
      </c>
      <c r="Q615">
        <v>0</v>
      </c>
      <c r="R615">
        <v>0</v>
      </c>
      <c r="S615">
        <v>436.943</v>
      </c>
      <c r="T615">
        <v>434.266</v>
      </c>
      <c r="U615">
        <v>436.858</v>
      </c>
      <c r="V615">
        <v>434.164</v>
      </c>
    </row>
    <row r="616" spans="2:22">
      <c r="B616">
        <v>615</v>
      </c>
      <c r="C616" t="s">
        <v>636</v>
      </c>
      <c r="D616">
        <v>0</v>
      </c>
      <c r="E616">
        <v>0</v>
      </c>
      <c r="F616">
        <v>106623.977</v>
      </c>
      <c r="G616">
        <v>106623.977</v>
      </c>
      <c r="H616">
        <v>106623.977</v>
      </c>
      <c r="I616">
        <v>2</v>
      </c>
      <c r="J616">
        <v>1</v>
      </c>
      <c r="K616">
        <v>2</v>
      </c>
      <c r="L616">
        <v>-0.017</v>
      </c>
      <c r="M616">
        <v>436.875</v>
      </c>
      <c r="N616">
        <v>0.028</v>
      </c>
      <c r="O616">
        <v>-0.045</v>
      </c>
      <c r="P616">
        <v>0</v>
      </c>
      <c r="Q616">
        <v>0</v>
      </c>
      <c r="R616">
        <v>0</v>
      </c>
      <c r="S616">
        <v>436.875</v>
      </c>
      <c r="T616">
        <v>434.198</v>
      </c>
      <c r="U616">
        <v>436.83</v>
      </c>
      <c r="V616">
        <v>434.136</v>
      </c>
    </row>
    <row r="617" spans="2:22">
      <c r="B617">
        <v>616</v>
      </c>
      <c r="C617" t="s">
        <v>637</v>
      </c>
      <c r="D617">
        <v>0</v>
      </c>
      <c r="E617">
        <v>0</v>
      </c>
      <c r="F617">
        <v>106735.625</v>
      </c>
      <c r="G617">
        <v>106735.625</v>
      </c>
      <c r="H617">
        <v>106735.625</v>
      </c>
      <c r="I617">
        <v>3</v>
      </c>
      <c r="J617">
        <v>1</v>
      </c>
      <c r="K617">
        <v>1</v>
      </c>
      <c r="L617">
        <v>0.065</v>
      </c>
      <c r="M617">
        <v>436.81</v>
      </c>
      <c r="N617">
        <v>0.017</v>
      </c>
      <c r="O617">
        <v>0.046</v>
      </c>
      <c r="P617">
        <v>0</v>
      </c>
      <c r="Q617">
        <v>0.002</v>
      </c>
      <c r="R617">
        <v>0</v>
      </c>
      <c r="S617">
        <v>436.856</v>
      </c>
      <c r="T617">
        <v>434.179</v>
      </c>
      <c r="U617">
        <v>436.81</v>
      </c>
      <c r="V617">
        <v>434.126</v>
      </c>
    </row>
    <row r="618" spans="2:22">
      <c r="B618">
        <v>617</v>
      </c>
      <c r="C618" t="s">
        <v>638</v>
      </c>
      <c r="D618">
        <v>0</v>
      </c>
      <c r="E618">
        <v>0</v>
      </c>
      <c r="F618">
        <v>106990.93</v>
      </c>
      <c r="G618">
        <v>106990.93</v>
      </c>
      <c r="H618">
        <v>106990.93</v>
      </c>
      <c r="I618">
        <v>3</v>
      </c>
      <c r="J618">
        <v>1</v>
      </c>
      <c r="K618">
        <v>2</v>
      </c>
      <c r="L618">
        <v>0.067</v>
      </c>
      <c r="M618">
        <v>436.743</v>
      </c>
      <c r="N618">
        <v>0.091</v>
      </c>
      <c r="O618">
        <v>-0.024</v>
      </c>
      <c r="P618">
        <v>0</v>
      </c>
      <c r="Q618">
        <v>0</v>
      </c>
      <c r="R618">
        <v>0</v>
      </c>
      <c r="S618">
        <v>436.743</v>
      </c>
      <c r="T618">
        <v>434.066</v>
      </c>
      <c r="U618">
        <v>436.719</v>
      </c>
      <c r="V618">
        <v>434.035</v>
      </c>
    </row>
    <row r="619" spans="2:22">
      <c r="B619">
        <v>618</v>
      </c>
      <c r="C619" t="s">
        <v>639</v>
      </c>
      <c r="D619">
        <v>0</v>
      </c>
      <c r="E619">
        <v>0</v>
      </c>
      <c r="F619">
        <v>107067.852</v>
      </c>
      <c r="G619">
        <v>107067.852</v>
      </c>
      <c r="H619">
        <v>107067.852</v>
      </c>
      <c r="I619">
        <v>2</v>
      </c>
      <c r="J619">
        <v>1</v>
      </c>
      <c r="K619">
        <v>1</v>
      </c>
      <c r="L619">
        <v>0.098</v>
      </c>
      <c r="M619">
        <v>436.645</v>
      </c>
      <c r="N619">
        <v>0.011</v>
      </c>
      <c r="O619">
        <v>0.086</v>
      </c>
      <c r="P619">
        <v>0</v>
      </c>
      <c r="Q619">
        <v>0.001</v>
      </c>
      <c r="R619">
        <v>0</v>
      </c>
      <c r="S619">
        <v>436.73</v>
      </c>
      <c r="T619">
        <v>434.053</v>
      </c>
      <c r="U619">
        <v>436.645</v>
      </c>
      <c r="V619">
        <v>433.951</v>
      </c>
    </row>
    <row r="620" spans="2:22">
      <c r="B620">
        <v>619</v>
      </c>
      <c r="C620" t="s">
        <v>640</v>
      </c>
      <c r="D620">
        <v>60</v>
      </c>
      <c r="E620">
        <v>26.946</v>
      </c>
      <c r="F620">
        <v>107105.984</v>
      </c>
      <c r="G620">
        <v>107120.094</v>
      </c>
      <c r="H620">
        <v>107134.203</v>
      </c>
      <c r="I620">
        <v>2</v>
      </c>
      <c r="J620">
        <v>1</v>
      </c>
      <c r="K620">
        <v>0</v>
      </c>
      <c r="L620">
        <v>0.026</v>
      </c>
      <c r="M620">
        <v>436.619</v>
      </c>
      <c r="N620">
        <v>0.024</v>
      </c>
      <c r="O620">
        <v>0</v>
      </c>
      <c r="P620">
        <v>0.002</v>
      </c>
      <c r="Q620">
        <v>0</v>
      </c>
      <c r="R620">
        <v>0</v>
      </c>
      <c r="S620" t="s">
        <v>22</v>
      </c>
      <c r="T620" t="s">
        <v>22</v>
      </c>
      <c r="U620">
        <v>436.62</v>
      </c>
      <c r="V620">
        <v>433.926</v>
      </c>
    </row>
    <row r="621" spans="2:22">
      <c r="B621">
        <v>620</v>
      </c>
      <c r="C621" t="s">
        <v>641</v>
      </c>
      <c r="D621">
        <v>0</v>
      </c>
      <c r="E621">
        <v>0</v>
      </c>
      <c r="F621">
        <v>107140.453</v>
      </c>
      <c r="G621">
        <v>107140.453</v>
      </c>
      <c r="H621">
        <v>107140.453</v>
      </c>
      <c r="I621">
        <v>2</v>
      </c>
      <c r="J621">
        <v>1</v>
      </c>
      <c r="K621">
        <v>2</v>
      </c>
      <c r="L621">
        <v>-0.035</v>
      </c>
      <c r="M621">
        <v>436.654</v>
      </c>
      <c r="N621">
        <v>0.009</v>
      </c>
      <c r="O621">
        <v>-0.045</v>
      </c>
      <c r="P621">
        <v>0</v>
      </c>
      <c r="Q621">
        <v>0</v>
      </c>
      <c r="R621">
        <v>0</v>
      </c>
      <c r="S621">
        <v>436.654</v>
      </c>
      <c r="T621">
        <v>433.977</v>
      </c>
      <c r="U621">
        <v>436.609</v>
      </c>
      <c r="V621">
        <v>433.915</v>
      </c>
    </row>
    <row r="622" spans="2:22">
      <c r="B622">
        <v>621</v>
      </c>
      <c r="C622" t="s">
        <v>642</v>
      </c>
      <c r="D622">
        <v>60</v>
      </c>
      <c r="E622">
        <v>40.865</v>
      </c>
      <c r="F622">
        <v>107165.383</v>
      </c>
      <c r="G622">
        <v>107186.781</v>
      </c>
      <c r="H622">
        <v>107208.18</v>
      </c>
      <c r="I622">
        <v>1</v>
      </c>
      <c r="J622">
        <v>2</v>
      </c>
      <c r="K622">
        <v>0</v>
      </c>
      <c r="L622">
        <v>0.009</v>
      </c>
      <c r="M622">
        <v>436.645</v>
      </c>
      <c r="N622">
        <v>0.007</v>
      </c>
      <c r="O622">
        <v>0</v>
      </c>
      <c r="P622">
        <v>0.001</v>
      </c>
      <c r="Q622">
        <v>0.001</v>
      </c>
      <c r="R622">
        <v>0</v>
      </c>
      <c r="S622" t="s">
        <v>22</v>
      </c>
      <c r="T622" t="s">
        <v>22</v>
      </c>
      <c r="U622">
        <v>436.646</v>
      </c>
      <c r="V622">
        <v>433.969</v>
      </c>
    </row>
    <row r="623" spans="2:22">
      <c r="B623">
        <v>622</v>
      </c>
      <c r="C623" t="s">
        <v>643</v>
      </c>
      <c r="D623">
        <v>60</v>
      </c>
      <c r="E623">
        <v>15.543</v>
      </c>
      <c r="F623">
        <v>107336.211</v>
      </c>
      <c r="G623">
        <v>107344.352</v>
      </c>
      <c r="H623">
        <v>107352.484</v>
      </c>
      <c r="I623">
        <v>1</v>
      </c>
      <c r="J623">
        <v>2</v>
      </c>
      <c r="K623">
        <v>0</v>
      </c>
      <c r="L623">
        <v>0.03</v>
      </c>
      <c r="M623">
        <v>436.615</v>
      </c>
      <c r="N623">
        <v>0.026</v>
      </c>
      <c r="O623">
        <v>0</v>
      </c>
      <c r="P623">
        <v>0.001</v>
      </c>
      <c r="Q623">
        <v>0.003</v>
      </c>
      <c r="R623">
        <v>0</v>
      </c>
      <c r="S623" t="s">
        <v>22</v>
      </c>
      <c r="T623" t="s">
        <v>22</v>
      </c>
      <c r="U623">
        <v>436.615</v>
      </c>
      <c r="V623">
        <v>433.938</v>
      </c>
    </row>
    <row r="624" spans="2:22">
      <c r="B624">
        <v>623</v>
      </c>
      <c r="C624" t="s">
        <v>644</v>
      </c>
      <c r="D624">
        <v>0</v>
      </c>
      <c r="E624">
        <v>0</v>
      </c>
      <c r="F624">
        <v>107506.953</v>
      </c>
      <c r="G624">
        <v>107506.953</v>
      </c>
      <c r="H624">
        <v>107506.953</v>
      </c>
      <c r="I624">
        <v>2</v>
      </c>
      <c r="J624">
        <v>1</v>
      </c>
      <c r="K624">
        <v>1</v>
      </c>
      <c r="L624">
        <v>0.115</v>
      </c>
      <c r="M624">
        <v>436.5</v>
      </c>
      <c r="N624">
        <v>0.026</v>
      </c>
      <c r="O624">
        <v>0.086</v>
      </c>
      <c r="P624">
        <v>0</v>
      </c>
      <c r="Q624">
        <v>0.003</v>
      </c>
      <c r="R624">
        <v>0</v>
      </c>
      <c r="S624">
        <v>436.585</v>
      </c>
      <c r="T624">
        <v>433.908</v>
      </c>
      <c r="U624">
        <v>436.5</v>
      </c>
      <c r="V624">
        <v>433.806</v>
      </c>
    </row>
    <row r="625" spans="2:22">
      <c r="B625">
        <v>624</v>
      </c>
      <c r="C625" t="s">
        <v>645</v>
      </c>
      <c r="D625">
        <v>60</v>
      </c>
      <c r="E625">
        <v>11.892</v>
      </c>
      <c r="F625">
        <v>107599.578</v>
      </c>
      <c r="G625">
        <v>107605.805</v>
      </c>
      <c r="H625">
        <v>107612.031</v>
      </c>
      <c r="I625">
        <v>2</v>
      </c>
      <c r="J625">
        <v>1</v>
      </c>
      <c r="K625">
        <v>0</v>
      </c>
      <c r="L625">
        <v>0.046</v>
      </c>
      <c r="M625">
        <v>436.454</v>
      </c>
      <c r="N625">
        <v>0.045</v>
      </c>
      <c r="O625">
        <v>0</v>
      </c>
      <c r="P625">
        <v>0.001</v>
      </c>
      <c r="Q625">
        <v>0</v>
      </c>
      <c r="R625">
        <v>0</v>
      </c>
      <c r="S625" t="s">
        <v>22</v>
      </c>
      <c r="T625" t="s">
        <v>22</v>
      </c>
      <c r="U625">
        <v>436.454</v>
      </c>
      <c r="V625">
        <v>433.76</v>
      </c>
    </row>
    <row r="626" spans="2:22">
      <c r="B626">
        <v>625</v>
      </c>
      <c r="C626" t="s">
        <v>646</v>
      </c>
      <c r="D626">
        <v>0</v>
      </c>
      <c r="E626">
        <v>0</v>
      </c>
      <c r="F626">
        <v>107667.773</v>
      </c>
      <c r="G626">
        <v>107667.773</v>
      </c>
      <c r="H626">
        <v>107667.773</v>
      </c>
      <c r="I626">
        <v>2</v>
      </c>
      <c r="J626">
        <v>1</v>
      </c>
      <c r="K626">
        <v>2</v>
      </c>
      <c r="L626">
        <v>-0.016</v>
      </c>
      <c r="M626">
        <v>436.47</v>
      </c>
      <c r="N626">
        <v>0.028</v>
      </c>
      <c r="O626">
        <v>-0.045</v>
      </c>
      <c r="P626">
        <v>0</v>
      </c>
      <c r="Q626">
        <v>0</v>
      </c>
      <c r="R626">
        <v>0</v>
      </c>
      <c r="S626">
        <v>436.47</v>
      </c>
      <c r="T626">
        <v>433.793</v>
      </c>
      <c r="U626">
        <v>436.426</v>
      </c>
      <c r="V626">
        <v>433.732</v>
      </c>
    </row>
    <row r="627" spans="2:22">
      <c r="B627">
        <v>626</v>
      </c>
      <c r="C627" t="s">
        <v>647</v>
      </c>
      <c r="D627">
        <v>40</v>
      </c>
      <c r="E627">
        <v>65.241</v>
      </c>
      <c r="F627">
        <v>107680.758</v>
      </c>
      <c r="G627">
        <v>107703.531</v>
      </c>
      <c r="H627">
        <v>107726.305</v>
      </c>
      <c r="I627">
        <v>1</v>
      </c>
      <c r="J627">
        <v>2</v>
      </c>
      <c r="K627">
        <v>0</v>
      </c>
      <c r="L627">
        <v>0.008</v>
      </c>
      <c r="M627">
        <v>436.463</v>
      </c>
      <c r="N627">
        <v>0.005</v>
      </c>
      <c r="O627">
        <v>0</v>
      </c>
      <c r="P627">
        <v>0.002</v>
      </c>
      <c r="Q627">
        <v>0.001</v>
      </c>
      <c r="R627">
        <v>0</v>
      </c>
      <c r="S627" t="s">
        <v>22</v>
      </c>
      <c r="T627" t="s">
        <v>22</v>
      </c>
      <c r="U627">
        <v>436.464</v>
      </c>
      <c r="V627">
        <v>433.787</v>
      </c>
    </row>
    <row r="628" spans="2:22">
      <c r="B628">
        <v>627</v>
      </c>
      <c r="C628" t="s">
        <v>648</v>
      </c>
      <c r="D628">
        <v>60</v>
      </c>
      <c r="E628">
        <v>46.47</v>
      </c>
      <c r="F628">
        <v>107807.602</v>
      </c>
      <c r="G628">
        <v>107831.938</v>
      </c>
      <c r="H628">
        <v>107856.266</v>
      </c>
      <c r="I628">
        <v>1</v>
      </c>
      <c r="J628">
        <v>2</v>
      </c>
      <c r="K628">
        <v>0</v>
      </c>
      <c r="L628">
        <v>0.026</v>
      </c>
      <c r="M628">
        <v>436.437</v>
      </c>
      <c r="N628">
        <v>0.021</v>
      </c>
      <c r="O628">
        <v>0</v>
      </c>
      <c r="P628">
        <v>0.002</v>
      </c>
      <c r="Q628">
        <v>0.003</v>
      </c>
      <c r="R628">
        <v>0</v>
      </c>
      <c r="S628" t="s">
        <v>22</v>
      </c>
      <c r="T628" t="s">
        <v>22</v>
      </c>
      <c r="U628">
        <v>436.438</v>
      </c>
      <c r="V628">
        <v>433.761</v>
      </c>
    </row>
    <row r="629" spans="2:22">
      <c r="B629">
        <v>628</v>
      </c>
      <c r="C629" t="s">
        <v>649</v>
      </c>
      <c r="D629">
        <v>0</v>
      </c>
      <c r="E629">
        <v>0</v>
      </c>
      <c r="F629">
        <v>107871.797</v>
      </c>
      <c r="G629">
        <v>107871.797</v>
      </c>
      <c r="H629">
        <v>107871.797</v>
      </c>
      <c r="I629">
        <v>1</v>
      </c>
      <c r="J629">
        <v>5</v>
      </c>
      <c r="K629">
        <v>1</v>
      </c>
      <c r="L629">
        <v>0.007</v>
      </c>
      <c r="M629">
        <v>436.43</v>
      </c>
      <c r="N629">
        <v>0.007</v>
      </c>
      <c r="O629">
        <v>0</v>
      </c>
      <c r="P629">
        <v>0</v>
      </c>
      <c r="Q629">
        <v>0.001</v>
      </c>
      <c r="R629">
        <v>0</v>
      </c>
      <c r="S629">
        <v>436.43</v>
      </c>
      <c r="T629">
        <v>433.738</v>
      </c>
      <c r="U629">
        <v>436.43</v>
      </c>
      <c r="V629">
        <v>433.738</v>
      </c>
    </row>
    <row r="630" spans="2:22">
      <c r="B630">
        <v>629</v>
      </c>
      <c r="C630" t="s">
        <v>650</v>
      </c>
      <c r="D630">
        <v>0</v>
      </c>
      <c r="E630">
        <v>0</v>
      </c>
      <c r="F630">
        <v>108518.055</v>
      </c>
      <c r="G630">
        <v>108518.055</v>
      </c>
      <c r="H630">
        <v>108518.055</v>
      </c>
      <c r="I630">
        <v>1</v>
      </c>
      <c r="J630">
        <v>5</v>
      </c>
      <c r="K630">
        <v>2</v>
      </c>
      <c r="L630">
        <v>0.65</v>
      </c>
      <c r="M630">
        <v>435.78</v>
      </c>
      <c r="N630">
        <v>0</v>
      </c>
      <c r="O630">
        <v>0</v>
      </c>
      <c r="P630">
        <v>0</v>
      </c>
      <c r="Q630">
        <v>0</v>
      </c>
      <c r="R630">
        <v>0.65</v>
      </c>
      <c r="S630">
        <v>435.78</v>
      </c>
      <c r="T630">
        <v>433.088</v>
      </c>
      <c r="U630">
        <v>435.78</v>
      </c>
      <c r="V630">
        <v>433.088</v>
      </c>
    </row>
    <row r="631" spans="2:22">
      <c r="B631">
        <v>630</v>
      </c>
      <c r="C631" t="s">
        <v>651</v>
      </c>
      <c r="D631">
        <v>0</v>
      </c>
      <c r="E631">
        <v>0</v>
      </c>
      <c r="F631">
        <v>108550.641</v>
      </c>
      <c r="G631">
        <v>108550.641</v>
      </c>
      <c r="H631">
        <v>108550.641</v>
      </c>
      <c r="I631">
        <v>3</v>
      </c>
      <c r="J631">
        <v>1</v>
      </c>
      <c r="K631">
        <v>1</v>
      </c>
      <c r="L631">
        <v>0.051</v>
      </c>
      <c r="M631">
        <v>435.729</v>
      </c>
      <c r="N631">
        <v>0.005</v>
      </c>
      <c r="O631">
        <v>0.046</v>
      </c>
      <c r="P631">
        <v>0</v>
      </c>
      <c r="Q631">
        <v>0.001</v>
      </c>
      <c r="R631">
        <v>0</v>
      </c>
      <c r="S631">
        <v>435.774</v>
      </c>
      <c r="T631">
        <v>433.097</v>
      </c>
      <c r="U631">
        <v>435.729</v>
      </c>
      <c r="V631">
        <v>433.045</v>
      </c>
    </row>
    <row r="632" spans="2:22">
      <c r="B632">
        <v>631</v>
      </c>
      <c r="C632" t="s">
        <v>652</v>
      </c>
      <c r="D632">
        <v>60</v>
      </c>
      <c r="E632">
        <v>42.847</v>
      </c>
      <c r="F632">
        <v>108597.289</v>
      </c>
      <c r="G632">
        <v>108619.727</v>
      </c>
      <c r="H632">
        <v>108642.156</v>
      </c>
      <c r="I632">
        <v>3</v>
      </c>
      <c r="J632">
        <v>1</v>
      </c>
      <c r="K632">
        <v>0</v>
      </c>
      <c r="L632">
        <v>0.027</v>
      </c>
      <c r="M632">
        <v>435.701</v>
      </c>
      <c r="N632">
        <v>0.025</v>
      </c>
      <c r="O632">
        <v>0</v>
      </c>
      <c r="P632">
        <v>0.003</v>
      </c>
      <c r="Q632">
        <v>0</v>
      </c>
      <c r="R632">
        <v>0</v>
      </c>
      <c r="S632" t="s">
        <v>22</v>
      </c>
      <c r="T632" t="s">
        <v>22</v>
      </c>
      <c r="U632">
        <v>435.703</v>
      </c>
      <c r="V632">
        <v>433.019</v>
      </c>
    </row>
    <row r="633" spans="2:22">
      <c r="B633">
        <v>632</v>
      </c>
      <c r="C633" t="s">
        <v>653</v>
      </c>
      <c r="D633">
        <v>60</v>
      </c>
      <c r="E633">
        <v>36.573</v>
      </c>
      <c r="F633">
        <v>108762.258</v>
      </c>
      <c r="G633">
        <v>108781.406</v>
      </c>
      <c r="H633">
        <v>108800.555</v>
      </c>
      <c r="I633">
        <v>3</v>
      </c>
      <c r="J633">
        <v>1</v>
      </c>
      <c r="K633">
        <v>0</v>
      </c>
      <c r="L633">
        <v>0.06</v>
      </c>
      <c r="M633">
        <v>435.641</v>
      </c>
      <c r="N633">
        <v>0.058</v>
      </c>
      <c r="O633">
        <v>0</v>
      </c>
      <c r="P633">
        <v>0.002</v>
      </c>
      <c r="Q633">
        <v>0</v>
      </c>
      <c r="R633">
        <v>0</v>
      </c>
      <c r="S633" t="s">
        <v>22</v>
      </c>
      <c r="T633" t="s">
        <v>22</v>
      </c>
      <c r="U633">
        <v>435.642</v>
      </c>
      <c r="V633">
        <v>432.958</v>
      </c>
    </row>
    <row r="634" spans="2:22">
      <c r="B634">
        <v>633</v>
      </c>
      <c r="C634" t="s">
        <v>654</v>
      </c>
      <c r="D634">
        <v>60</v>
      </c>
      <c r="E634">
        <v>34.583</v>
      </c>
      <c r="F634">
        <v>109008.773</v>
      </c>
      <c r="G634">
        <v>109026.883</v>
      </c>
      <c r="H634">
        <v>109044.992</v>
      </c>
      <c r="I634">
        <v>3</v>
      </c>
      <c r="J634">
        <v>1</v>
      </c>
      <c r="K634">
        <v>0</v>
      </c>
      <c r="L634">
        <v>0.09</v>
      </c>
      <c r="M634">
        <v>435.552</v>
      </c>
      <c r="N634">
        <v>0.088</v>
      </c>
      <c r="O634">
        <v>0</v>
      </c>
      <c r="P634">
        <v>0.002</v>
      </c>
      <c r="Q634">
        <v>0</v>
      </c>
      <c r="R634">
        <v>0</v>
      </c>
      <c r="S634" t="s">
        <v>22</v>
      </c>
      <c r="T634" t="s">
        <v>22</v>
      </c>
      <c r="U634">
        <v>435.553</v>
      </c>
      <c r="V634">
        <v>432.869</v>
      </c>
    </row>
    <row r="635" spans="2:22">
      <c r="B635">
        <v>634</v>
      </c>
      <c r="C635" t="s">
        <v>655</v>
      </c>
      <c r="D635">
        <v>0</v>
      </c>
      <c r="E635">
        <v>0</v>
      </c>
      <c r="F635">
        <v>109115.289</v>
      </c>
      <c r="G635">
        <v>109115.289</v>
      </c>
      <c r="H635">
        <v>109115.289</v>
      </c>
      <c r="I635">
        <v>3</v>
      </c>
      <c r="J635">
        <v>1</v>
      </c>
      <c r="K635">
        <v>2</v>
      </c>
      <c r="L635">
        <v>0.008</v>
      </c>
      <c r="M635">
        <v>435.544</v>
      </c>
      <c r="N635">
        <v>0.032</v>
      </c>
      <c r="O635">
        <v>-0.024</v>
      </c>
      <c r="P635">
        <v>0</v>
      </c>
      <c r="Q635">
        <v>0</v>
      </c>
      <c r="R635">
        <v>0</v>
      </c>
      <c r="S635">
        <v>435.544</v>
      </c>
      <c r="T635">
        <v>432.867</v>
      </c>
      <c r="U635">
        <v>435.52</v>
      </c>
      <c r="V635">
        <v>432.836</v>
      </c>
    </row>
    <row r="636" spans="2:22">
      <c r="B636">
        <v>635</v>
      </c>
      <c r="C636" t="s">
        <v>656</v>
      </c>
      <c r="D636">
        <v>60</v>
      </c>
      <c r="E636">
        <v>57.679</v>
      </c>
      <c r="F636">
        <v>109142.164</v>
      </c>
      <c r="G636">
        <v>109172.367</v>
      </c>
      <c r="H636">
        <v>109202.57</v>
      </c>
      <c r="I636">
        <v>1</v>
      </c>
      <c r="J636">
        <v>2</v>
      </c>
      <c r="K636">
        <v>0</v>
      </c>
      <c r="L636">
        <v>0.012</v>
      </c>
      <c r="M636">
        <v>435.532</v>
      </c>
      <c r="N636">
        <v>0.009</v>
      </c>
      <c r="O636">
        <v>0</v>
      </c>
      <c r="P636">
        <v>0.002</v>
      </c>
      <c r="Q636">
        <v>0.001</v>
      </c>
      <c r="R636">
        <v>0</v>
      </c>
      <c r="S636" t="s">
        <v>22</v>
      </c>
      <c r="T636" t="s">
        <v>22</v>
      </c>
      <c r="U636">
        <v>435.533</v>
      </c>
      <c r="V636">
        <v>432.856</v>
      </c>
    </row>
    <row r="637" spans="2:22">
      <c r="B637">
        <v>636</v>
      </c>
      <c r="C637" t="s">
        <v>657</v>
      </c>
      <c r="D637">
        <v>60</v>
      </c>
      <c r="E637">
        <v>53.73</v>
      </c>
      <c r="F637">
        <v>109225.883</v>
      </c>
      <c r="G637">
        <v>109254.016</v>
      </c>
      <c r="H637">
        <v>109282.148</v>
      </c>
      <c r="I637">
        <v>1</v>
      </c>
      <c r="J637">
        <v>2</v>
      </c>
      <c r="K637">
        <v>0</v>
      </c>
      <c r="L637">
        <v>0.017</v>
      </c>
      <c r="M637">
        <v>435.515</v>
      </c>
      <c r="N637">
        <v>0.014</v>
      </c>
      <c r="O637">
        <v>0</v>
      </c>
      <c r="P637">
        <v>0.002</v>
      </c>
      <c r="Q637">
        <v>0.002</v>
      </c>
      <c r="R637">
        <v>0</v>
      </c>
      <c r="S637" t="s">
        <v>22</v>
      </c>
      <c r="T637" t="s">
        <v>22</v>
      </c>
      <c r="U637">
        <v>435.516</v>
      </c>
      <c r="V637">
        <v>432.839</v>
      </c>
    </row>
    <row r="638" spans="2:22">
      <c r="B638">
        <v>637</v>
      </c>
      <c r="C638" t="s">
        <v>658</v>
      </c>
      <c r="D638">
        <v>60</v>
      </c>
      <c r="E638">
        <v>32.152</v>
      </c>
      <c r="F638">
        <v>109360.961</v>
      </c>
      <c r="G638">
        <v>109377.797</v>
      </c>
      <c r="H638">
        <v>109394.633</v>
      </c>
      <c r="I638">
        <v>1</v>
      </c>
      <c r="J638">
        <v>2</v>
      </c>
      <c r="K638">
        <v>0</v>
      </c>
      <c r="L638">
        <v>0.024</v>
      </c>
      <c r="M638">
        <v>435.491</v>
      </c>
      <c r="N638">
        <v>0.021</v>
      </c>
      <c r="O638">
        <v>0</v>
      </c>
      <c r="P638">
        <v>0.001</v>
      </c>
      <c r="Q638">
        <v>0.002</v>
      </c>
      <c r="R638">
        <v>0</v>
      </c>
      <c r="S638" t="s">
        <v>22</v>
      </c>
      <c r="T638" t="s">
        <v>22</v>
      </c>
      <c r="U638">
        <v>435.491</v>
      </c>
      <c r="V638">
        <v>432.814</v>
      </c>
    </row>
    <row r="639" spans="2:22">
      <c r="B639">
        <v>638</v>
      </c>
      <c r="C639" t="s">
        <v>659</v>
      </c>
      <c r="D639">
        <v>0</v>
      </c>
      <c r="E639">
        <v>0</v>
      </c>
      <c r="F639">
        <v>109428.906</v>
      </c>
      <c r="G639">
        <v>109428.906</v>
      </c>
      <c r="H639">
        <v>109428.906</v>
      </c>
      <c r="I639">
        <v>2</v>
      </c>
      <c r="J639">
        <v>1</v>
      </c>
      <c r="K639">
        <v>1</v>
      </c>
      <c r="L639">
        <v>0.094</v>
      </c>
      <c r="M639">
        <v>435.396</v>
      </c>
      <c r="N639">
        <v>0.008</v>
      </c>
      <c r="O639">
        <v>0.086</v>
      </c>
      <c r="P639">
        <v>0</v>
      </c>
      <c r="Q639">
        <v>0.001</v>
      </c>
      <c r="R639">
        <v>0</v>
      </c>
      <c r="S639">
        <v>435.482</v>
      </c>
      <c r="T639">
        <v>432.805</v>
      </c>
      <c r="U639">
        <v>435.396</v>
      </c>
      <c r="V639">
        <v>432.702</v>
      </c>
    </row>
    <row r="640" spans="2:22">
      <c r="B640">
        <v>639</v>
      </c>
      <c r="C640" t="s">
        <v>660</v>
      </c>
      <c r="D640">
        <v>60</v>
      </c>
      <c r="E640">
        <v>31.434</v>
      </c>
      <c r="F640">
        <v>109473.242</v>
      </c>
      <c r="G640">
        <v>109489.703</v>
      </c>
      <c r="H640">
        <v>109506.164</v>
      </c>
      <c r="I640">
        <v>2</v>
      </c>
      <c r="J640">
        <v>1</v>
      </c>
      <c r="K640">
        <v>0</v>
      </c>
      <c r="L640">
        <v>0.03</v>
      </c>
      <c r="M640">
        <v>435.366</v>
      </c>
      <c r="N640">
        <v>0.028</v>
      </c>
      <c r="O640">
        <v>0</v>
      </c>
      <c r="P640">
        <v>0.003</v>
      </c>
      <c r="Q640">
        <v>0</v>
      </c>
      <c r="R640">
        <v>0</v>
      </c>
      <c r="S640" t="s">
        <v>22</v>
      </c>
      <c r="T640" t="s">
        <v>22</v>
      </c>
      <c r="U640">
        <v>435.367</v>
      </c>
      <c r="V640">
        <v>432.673</v>
      </c>
    </row>
    <row r="641" spans="2:22">
      <c r="B641">
        <v>640</v>
      </c>
      <c r="C641" t="s">
        <v>661</v>
      </c>
      <c r="D641">
        <v>0</v>
      </c>
      <c r="E641">
        <v>0</v>
      </c>
      <c r="F641">
        <v>109855.836</v>
      </c>
      <c r="G641">
        <v>109855.836</v>
      </c>
      <c r="H641">
        <v>109855.836</v>
      </c>
      <c r="I641">
        <v>2</v>
      </c>
      <c r="J641">
        <v>1</v>
      </c>
      <c r="K641">
        <v>2</v>
      </c>
      <c r="L641">
        <v>0.122</v>
      </c>
      <c r="M641">
        <v>435.244</v>
      </c>
      <c r="N641">
        <v>0.166</v>
      </c>
      <c r="O641">
        <v>-0.045</v>
      </c>
      <c r="P641">
        <v>0</v>
      </c>
      <c r="Q641">
        <v>0</v>
      </c>
      <c r="R641">
        <v>0</v>
      </c>
      <c r="S641">
        <v>435.244</v>
      </c>
      <c r="T641">
        <v>432.567</v>
      </c>
      <c r="U641">
        <v>435.2</v>
      </c>
      <c r="V641">
        <v>432.506</v>
      </c>
    </row>
    <row r="642" spans="2:22">
      <c r="B642">
        <v>641</v>
      </c>
      <c r="C642" t="s">
        <v>662</v>
      </c>
      <c r="D642">
        <v>60</v>
      </c>
      <c r="E642">
        <v>19.486</v>
      </c>
      <c r="F642">
        <v>109911.25</v>
      </c>
      <c r="G642">
        <v>109921.453</v>
      </c>
      <c r="H642">
        <v>109931.656</v>
      </c>
      <c r="I642">
        <v>1</v>
      </c>
      <c r="J642">
        <v>2</v>
      </c>
      <c r="K642">
        <v>0</v>
      </c>
      <c r="L642">
        <v>0.012</v>
      </c>
      <c r="M642">
        <v>435.232</v>
      </c>
      <c r="N642">
        <v>0.01</v>
      </c>
      <c r="O642">
        <v>0</v>
      </c>
      <c r="P642">
        <v>0.001</v>
      </c>
      <c r="Q642">
        <v>0.001</v>
      </c>
      <c r="R642">
        <v>0</v>
      </c>
      <c r="S642" t="s">
        <v>22</v>
      </c>
      <c r="T642" t="s">
        <v>22</v>
      </c>
      <c r="U642">
        <v>435.233</v>
      </c>
      <c r="V642">
        <v>432.556</v>
      </c>
    </row>
    <row r="643" spans="2:22">
      <c r="B643">
        <v>642</v>
      </c>
      <c r="C643" t="s">
        <v>663</v>
      </c>
      <c r="D643">
        <v>0</v>
      </c>
      <c r="E643">
        <v>0</v>
      </c>
      <c r="F643">
        <v>109948.039</v>
      </c>
      <c r="G643">
        <v>109948.039</v>
      </c>
      <c r="H643">
        <v>109948.039</v>
      </c>
      <c r="I643">
        <v>2</v>
      </c>
      <c r="J643">
        <v>1</v>
      </c>
      <c r="K643">
        <v>1</v>
      </c>
      <c r="L643">
        <v>0.09</v>
      </c>
      <c r="M643">
        <v>435.143</v>
      </c>
      <c r="N643">
        <v>0.004</v>
      </c>
      <c r="O643">
        <v>0.086</v>
      </c>
      <c r="P643">
        <v>0</v>
      </c>
      <c r="Q643">
        <v>0</v>
      </c>
      <c r="R643">
        <v>0</v>
      </c>
      <c r="S643">
        <v>435.228</v>
      </c>
      <c r="T643">
        <v>432.551</v>
      </c>
      <c r="U643">
        <v>435.143</v>
      </c>
      <c r="V643">
        <v>432.449</v>
      </c>
    </row>
    <row r="644" spans="2:22">
      <c r="B644">
        <v>643</v>
      </c>
      <c r="C644" t="s">
        <v>664</v>
      </c>
      <c r="D644">
        <v>0</v>
      </c>
      <c r="E644">
        <v>0</v>
      </c>
      <c r="F644">
        <v>110014.742</v>
      </c>
      <c r="G644">
        <v>110014.742</v>
      </c>
      <c r="H644">
        <v>110014.742</v>
      </c>
      <c r="I644">
        <v>2</v>
      </c>
      <c r="J644">
        <v>1</v>
      </c>
      <c r="K644">
        <v>2</v>
      </c>
      <c r="L644">
        <v>-0.014</v>
      </c>
      <c r="M644">
        <v>435.157</v>
      </c>
      <c r="N644">
        <v>0.03</v>
      </c>
      <c r="O644">
        <v>-0.045</v>
      </c>
      <c r="P644">
        <v>0</v>
      </c>
      <c r="Q644">
        <v>0</v>
      </c>
      <c r="R644">
        <v>0</v>
      </c>
      <c r="S644">
        <v>435.157</v>
      </c>
      <c r="T644">
        <v>432.48</v>
      </c>
      <c r="U644">
        <v>435.112</v>
      </c>
      <c r="V644">
        <v>432.418</v>
      </c>
    </row>
    <row r="645" spans="2:22">
      <c r="B645">
        <v>644</v>
      </c>
      <c r="C645" t="s">
        <v>665</v>
      </c>
      <c r="D645">
        <v>0</v>
      </c>
      <c r="E645">
        <v>0</v>
      </c>
      <c r="F645">
        <v>110029.969</v>
      </c>
      <c r="G645">
        <v>110029.969</v>
      </c>
      <c r="H645">
        <v>110029.969</v>
      </c>
      <c r="I645">
        <v>3</v>
      </c>
      <c r="J645">
        <v>1</v>
      </c>
      <c r="K645">
        <v>1</v>
      </c>
      <c r="L645">
        <v>0.047</v>
      </c>
      <c r="M645">
        <v>435.11</v>
      </c>
      <c r="N645">
        <v>0.001</v>
      </c>
      <c r="O645">
        <v>0.046</v>
      </c>
      <c r="P645">
        <v>0</v>
      </c>
      <c r="Q645">
        <v>0</v>
      </c>
      <c r="R645">
        <v>0</v>
      </c>
      <c r="S645">
        <v>435.156</v>
      </c>
      <c r="T645">
        <v>432.479</v>
      </c>
      <c r="U645">
        <v>435.11</v>
      </c>
      <c r="V645">
        <v>432.426</v>
      </c>
    </row>
    <row r="646" spans="2:22">
      <c r="B646">
        <v>645</v>
      </c>
      <c r="C646" t="s">
        <v>666</v>
      </c>
      <c r="D646">
        <v>0</v>
      </c>
      <c r="E646">
        <v>0</v>
      </c>
      <c r="F646">
        <v>110125.164</v>
      </c>
      <c r="G646">
        <v>110125.164</v>
      </c>
      <c r="H646">
        <v>110125.164</v>
      </c>
      <c r="I646">
        <v>3</v>
      </c>
      <c r="J646">
        <v>1</v>
      </c>
      <c r="K646">
        <v>2</v>
      </c>
      <c r="L646">
        <v>0.01</v>
      </c>
      <c r="M646">
        <v>435.1</v>
      </c>
      <c r="N646">
        <v>0.034</v>
      </c>
      <c r="O646">
        <v>-0.024</v>
      </c>
      <c r="P646">
        <v>0</v>
      </c>
      <c r="Q646">
        <v>0</v>
      </c>
      <c r="R646">
        <v>0</v>
      </c>
      <c r="S646">
        <v>435.1</v>
      </c>
      <c r="T646">
        <v>432.423</v>
      </c>
      <c r="U646">
        <v>435.076</v>
      </c>
      <c r="V646">
        <v>432.392</v>
      </c>
    </row>
    <row r="647" spans="2:22">
      <c r="B647">
        <v>646</v>
      </c>
      <c r="C647" t="s">
        <v>667</v>
      </c>
      <c r="D647">
        <v>60</v>
      </c>
      <c r="E647">
        <v>28.681</v>
      </c>
      <c r="F647">
        <v>110133.242</v>
      </c>
      <c r="G647">
        <v>110148.258</v>
      </c>
      <c r="H647">
        <v>110163.273</v>
      </c>
      <c r="I647">
        <v>1</v>
      </c>
      <c r="J647">
        <v>2</v>
      </c>
      <c r="K647">
        <v>0</v>
      </c>
      <c r="L647">
        <v>0.004</v>
      </c>
      <c r="M647">
        <v>435.096</v>
      </c>
      <c r="N647">
        <v>0.003</v>
      </c>
      <c r="O647">
        <v>0</v>
      </c>
      <c r="P647">
        <v>0.001</v>
      </c>
      <c r="Q647">
        <v>0</v>
      </c>
      <c r="R647">
        <v>0</v>
      </c>
      <c r="S647" t="s">
        <v>22</v>
      </c>
      <c r="T647" t="s">
        <v>22</v>
      </c>
      <c r="U647">
        <v>435.096</v>
      </c>
      <c r="V647">
        <v>432.419</v>
      </c>
    </row>
    <row r="648" spans="2:22">
      <c r="B648">
        <v>647</v>
      </c>
      <c r="C648" t="s">
        <v>668</v>
      </c>
      <c r="D648">
        <v>0</v>
      </c>
      <c r="E648">
        <v>0</v>
      </c>
      <c r="F648">
        <v>110175.625</v>
      </c>
      <c r="G648">
        <v>110175.625</v>
      </c>
      <c r="H648">
        <v>110175.625</v>
      </c>
      <c r="I648">
        <v>3</v>
      </c>
      <c r="J648">
        <v>1</v>
      </c>
      <c r="K648">
        <v>1</v>
      </c>
      <c r="L648">
        <v>0.05</v>
      </c>
      <c r="M648">
        <v>435.046</v>
      </c>
      <c r="N648">
        <v>0.004</v>
      </c>
      <c r="O648">
        <v>0.046</v>
      </c>
      <c r="P648">
        <v>0</v>
      </c>
      <c r="Q648">
        <v>0</v>
      </c>
      <c r="R648">
        <v>0</v>
      </c>
      <c r="S648">
        <v>435.092</v>
      </c>
      <c r="T648">
        <v>432.415</v>
      </c>
      <c r="U648">
        <v>435.046</v>
      </c>
      <c r="V648">
        <v>432.362</v>
      </c>
    </row>
    <row r="649" spans="2:22">
      <c r="B649">
        <v>648</v>
      </c>
      <c r="C649" t="s">
        <v>669</v>
      </c>
      <c r="D649">
        <v>60</v>
      </c>
      <c r="E649">
        <v>48.894</v>
      </c>
      <c r="F649">
        <v>110296.359</v>
      </c>
      <c r="G649">
        <v>110321.953</v>
      </c>
      <c r="H649">
        <v>110347.555</v>
      </c>
      <c r="I649">
        <v>3</v>
      </c>
      <c r="J649">
        <v>1</v>
      </c>
      <c r="K649">
        <v>0</v>
      </c>
      <c r="L649">
        <v>0.055</v>
      </c>
      <c r="M649">
        <v>434.991</v>
      </c>
      <c r="N649">
        <v>0.052</v>
      </c>
      <c r="O649">
        <v>0</v>
      </c>
      <c r="P649">
        <v>0.003</v>
      </c>
      <c r="Q649">
        <v>0</v>
      </c>
      <c r="R649">
        <v>0</v>
      </c>
      <c r="S649" t="s">
        <v>22</v>
      </c>
      <c r="T649" t="s">
        <v>22</v>
      </c>
      <c r="U649">
        <v>434.992</v>
      </c>
      <c r="V649">
        <v>432.308</v>
      </c>
    </row>
    <row r="650" spans="2:22">
      <c r="B650">
        <v>649</v>
      </c>
      <c r="C650" t="s">
        <v>670</v>
      </c>
      <c r="D650">
        <v>0</v>
      </c>
      <c r="E650">
        <v>0</v>
      </c>
      <c r="F650">
        <v>110423.898</v>
      </c>
      <c r="G650">
        <v>110423.898</v>
      </c>
      <c r="H650">
        <v>110423.898</v>
      </c>
      <c r="I650">
        <v>3</v>
      </c>
      <c r="J650">
        <v>1</v>
      </c>
      <c r="K650">
        <v>2</v>
      </c>
      <c r="L650">
        <v>0.013</v>
      </c>
      <c r="M650">
        <v>434.978</v>
      </c>
      <c r="N650">
        <v>0.036</v>
      </c>
      <c r="O650">
        <v>-0.024</v>
      </c>
      <c r="P650">
        <v>0</v>
      </c>
      <c r="Q650">
        <v>0</v>
      </c>
      <c r="R650">
        <v>0</v>
      </c>
      <c r="S650">
        <v>434.978</v>
      </c>
      <c r="T650">
        <v>432.301</v>
      </c>
      <c r="U650">
        <v>434.954</v>
      </c>
      <c r="V650">
        <v>432.27</v>
      </c>
    </row>
    <row r="651" spans="2:22">
      <c r="B651">
        <v>650</v>
      </c>
      <c r="C651" t="s">
        <v>671</v>
      </c>
      <c r="D651">
        <v>40</v>
      </c>
      <c r="E651">
        <v>73.125</v>
      </c>
      <c r="F651">
        <v>110465.812</v>
      </c>
      <c r="G651">
        <v>110491.336</v>
      </c>
      <c r="H651">
        <v>110516.859</v>
      </c>
      <c r="I651">
        <v>1</v>
      </c>
      <c r="J651">
        <v>2</v>
      </c>
      <c r="K651">
        <v>0</v>
      </c>
      <c r="L651">
        <v>0.014</v>
      </c>
      <c r="M651">
        <v>434.964</v>
      </c>
      <c r="N651">
        <v>0.01</v>
      </c>
      <c r="O651">
        <v>0</v>
      </c>
      <c r="P651">
        <v>0.002</v>
      </c>
      <c r="Q651">
        <v>0.001</v>
      </c>
      <c r="R651">
        <v>0</v>
      </c>
      <c r="S651" t="s">
        <v>22</v>
      </c>
      <c r="T651" t="s">
        <v>22</v>
      </c>
      <c r="U651">
        <v>434.965</v>
      </c>
      <c r="V651">
        <v>432.288</v>
      </c>
    </row>
    <row r="652" spans="2:22">
      <c r="B652">
        <v>651</v>
      </c>
      <c r="C652" t="s">
        <v>672</v>
      </c>
      <c r="D652">
        <v>40</v>
      </c>
      <c r="E652">
        <v>62.869</v>
      </c>
      <c r="F652">
        <v>110538.156</v>
      </c>
      <c r="G652">
        <v>110560.102</v>
      </c>
      <c r="H652">
        <v>110582.047</v>
      </c>
      <c r="I652">
        <v>1</v>
      </c>
      <c r="J652">
        <v>2</v>
      </c>
      <c r="K652">
        <v>0</v>
      </c>
      <c r="L652">
        <v>0.015</v>
      </c>
      <c r="M652">
        <v>434.95</v>
      </c>
      <c r="N652">
        <v>0.011</v>
      </c>
      <c r="O652">
        <v>0</v>
      </c>
      <c r="P652">
        <v>0.002</v>
      </c>
      <c r="Q652">
        <v>0.001</v>
      </c>
      <c r="R652">
        <v>0</v>
      </c>
      <c r="S652" t="s">
        <v>22</v>
      </c>
      <c r="T652" t="s">
        <v>22</v>
      </c>
      <c r="U652">
        <v>434.95</v>
      </c>
      <c r="V652">
        <v>432.273</v>
      </c>
    </row>
    <row r="653" spans="2:22">
      <c r="B653">
        <v>652</v>
      </c>
      <c r="C653" t="s">
        <v>673</v>
      </c>
      <c r="D653">
        <v>0</v>
      </c>
      <c r="E653">
        <v>0.001</v>
      </c>
      <c r="F653">
        <v>110662.273</v>
      </c>
      <c r="G653">
        <v>110662.273</v>
      </c>
      <c r="H653">
        <v>110662.273</v>
      </c>
      <c r="I653">
        <v>2</v>
      </c>
      <c r="J653">
        <v>1</v>
      </c>
      <c r="K653">
        <v>1</v>
      </c>
      <c r="L653">
        <v>0.104</v>
      </c>
      <c r="M653">
        <v>434.846</v>
      </c>
      <c r="N653">
        <v>0.016</v>
      </c>
      <c r="O653">
        <v>0.086</v>
      </c>
      <c r="P653">
        <v>0</v>
      </c>
      <c r="Q653">
        <v>0.002</v>
      </c>
      <c r="R653">
        <v>0</v>
      </c>
      <c r="S653">
        <v>434.931</v>
      </c>
      <c r="T653">
        <v>432.254</v>
      </c>
      <c r="U653">
        <v>434.846</v>
      </c>
      <c r="V653">
        <v>432.152</v>
      </c>
    </row>
    <row r="654" spans="2:22">
      <c r="B654">
        <v>653</v>
      </c>
      <c r="C654" t="s">
        <v>674</v>
      </c>
      <c r="D654">
        <v>40</v>
      </c>
      <c r="E654">
        <v>33.041</v>
      </c>
      <c r="F654">
        <v>110735.742</v>
      </c>
      <c r="G654">
        <v>110747.273</v>
      </c>
      <c r="H654">
        <v>110758.805</v>
      </c>
      <c r="I654">
        <v>2</v>
      </c>
      <c r="J654">
        <v>1</v>
      </c>
      <c r="K654">
        <v>0</v>
      </c>
      <c r="L654">
        <v>0.041</v>
      </c>
      <c r="M654">
        <v>434.805</v>
      </c>
      <c r="N654">
        <v>0.039</v>
      </c>
      <c r="O654">
        <v>0</v>
      </c>
      <c r="P654">
        <v>0.002</v>
      </c>
      <c r="Q654">
        <v>0</v>
      </c>
      <c r="R654">
        <v>0</v>
      </c>
      <c r="S654" t="s">
        <v>22</v>
      </c>
      <c r="T654" t="s">
        <v>22</v>
      </c>
      <c r="U654">
        <v>434.806</v>
      </c>
      <c r="V654">
        <v>432.112</v>
      </c>
    </row>
    <row r="655" spans="2:22">
      <c r="B655">
        <v>654</v>
      </c>
      <c r="C655" t="s">
        <v>675</v>
      </c>
      <c r="D655">
        <v>40</v>
      </c>
      <c r="E655">
        <v>35.596</v>
      </c>
      <c r="F655">
        <v>110837.047</v>
      </c>
      <c r="G655">
        <v>110849.469</v>
      </c>
      <c r="H655">
        <v>110861.898</v>
      </c>
      <c r="I655">
        <v>2</v>
      </c>
      <c r="J655">
        <v>1</v>
      </c>
      <c r="K655">
        <v>0</v>
      </c>
      <c r="L655">
        <v>0.049</v>
      </c>
      <c r="M655">
        <v>434.756</v>
      </c>
      <c r="N655">
        <v>0.046</v>
      </c>
      <c r="O655">
        <v>0</v>
      </c>
      <c r="P655">
        <v>0.002</v>
      </c>
      <c r="Q655">
        <v>0</v>
      </c>
      <c r="R655">
        <v>0</v>
      </c>
      <c r="S655" t="s">
        <v>22</v>
      </c>
      <c r="T655" t="s">
        <v>22</v>
      </c>
      <c r="U655">
        <v>434.757</v>
      </c>
      <c r="V655">
        <v>432.063</v>
      </c>
    </row>
    <row r="656" spans="2:22">
      <c r="B656">
        <v>655</v>
      </c>
      <c r="C656" t="s">
        <v>676</v>
      </c>
      <c r="D656">
        <v>0</v>
      </c>
      <c r="E656">
        <v>0</v>
      </c>
      <c r="F656">
        <v>110990.312</v>
      </c>
      <c r="G656">
        <v>110990.312</v>
      </c>
      <c r="H656">
        <v>110990.312</v>
      </c>
      <c r="I656">
        <v>2</v>
      </c>
      <c r="J656">
        <v>1</v>
      </c>
      <c r="K656">
        <v>2</v>
      </c>
      <c r="L656">
        <v>0.019</v>
      </c>
      <c r="M656">
        <v>434.737</v>
      </c>
      <c r="N656">
        <v>0.064</v>
      </c>
      <c r="O656">
        <v>-0.045</v>
      </c>
      <c r="P656">
        <v>0</v>
      </c>
      <c r="Q656">
        <v>0</v>
      </c>
      <c r="R656">
        <v>0</v>
      </c>
      <c r="S656">
        <v>434.737</v>
      </c>
      <c r="T656">
        <v>432.06</v>
      </c>
      <c r="U656">
        <v>434.692</v>
      </c>
      <c r="V656">
        <v>431.998</v>
      </c>
    </row>
    <row r="657" spans="2:22">
      <c r="B657">
        <v>656</v>
      </c>
      <c r="C657" t="s">
        <v>677</v>
      </c>
      <c r="D657">
        <v>0</v>
      </c>
      <c r="E657">
        <v>0</v>
      </c>
      <c r="F657">
        <v>111116.672</v>
      </c>
      <c r="G657">
        <v>111116.672</v>
      </c>
      <c r="H657">
        <v>111116.672</v>
      </c>
      <c r="I657">
        <v>2</v>
      </c>
      <c r="J657">
        <v>1</v>
      </c>
      <c r="K657">
        <v>1</v>
      </c>
      <c r="L657">
        <v>0.107</v>
      </c>
      <c r="M657">
        <v>434.629</v>
      </c>
      <c r="N657">
        <v>0.019</v>
      </c>
      <c r="O657">
        <v>0.086</v>
      </c>
      <c r="P657">
        <v>0</v>
      </c>
      <c r="Q657">
        <v>0.002</v>
      </c>
      <c r="R657">
        <v>0</v>
      </c>
      <c r="S657">
        <v>434.715</v>
      </c>
      <c r="T657">
        <v>432.038</v>
      </c>
      <c r="U657">
        <v>434.629</v>
      </c>
      <c r="V657">
        <v>431.935</v>
      </c>
    </row>
    <row r="658" spans="2:22">
      <c r="B658">
        <v>657</v>
      </c>
      <c r="C658" t="s">
        <v>678</v>
      </c>
      <c r="D658">
        <v>40</v>
      </c>
      <c r="E658">
        <v>37.208</v>
      </c>
      <c r="F658">
        <v>111157.844</v>
      </c>
      <c r="G658">
        <v>111170.836</v>
      </c>
      <c r="H658">
        <v>111183.82</v>
      </c>
      <c r="I658">
        <v>2</v>
      </c>
      <c r="J658">
        <v>1</v>
      </c>
      <c r="K658">
        <v>0</v>
      </c>
      <c r="L658">
        <v>0.027</v>
      </c>
      <c r="M658">
        <v>434.602</v>
      </c>
      <c r="N658">
        <v>0.025</v>
      </c>
      <c r="O658">
        <v>0</v>
      </c>
      <c r="P658">
        <v>0.003</v>
      </c>
      <c r="Q658">
        <v>0</v>
      </c>
      <c r="R658">
        <v>0</v>
      </c>
      <c r="S658" t="s">
        <v>22</v>
      </c>
      <c r="T658" t="s">
        <v>22</v>
      </c>
      <c r="U658">
        <v>434.603</v>
      </c>
      <c r="V658">
        <v>431.909</v>
      </c>
    </row>
    <row r="659" spans="2:22">
      <c r="B659">
        <v>658</v>
      </c>
      <c r="C659" t="s">
        <v>679</v>
      </c>
      <c r="D659">
        <v>0</v>
      </c>
      <c r="E659">
        <v>0</v>
      </c>
      <c r="F659">
        <v>111261.93</v>
      </c>
      <c r="G659">
        <v>111261.93</v>
      </c>
      <c r="H659">
        <v>111261.93</v>
      </c>
      <c r="I659">
        <v>2</v>
      </c>
      <c r="J659">
        <v>1</v>
      </c>
      <c r="K659">
        <v>2</v>
      </c>
      <c r="L659">
        <v>-0.003</v>
      </c>
      <c r="M659">
        <v>434.605</v>
      </c>
      <c r="N659">
        <v>0.041</v>
      </c>
      <c r="O659">
        <v>-0.045</v>
      </c>
      <c r="P659">
        <v>0</v>
      </c>
      <c r="Q659">
        <v>0</v>
      </c>
      <c r="R659">
        <v>0</v>
      </c>
      <c r="S659">
        <v>434.605</v>
      </c>
      <c r="T659">
        <v>431.928</v>
      </c>
      <c r="U659">
        <v>434.561</v>
      </c>
      <c r="V659">
        <v>431.867</v>
      </c>
    </row>
    <row r="660" spans="2:22">
      <c r="B660">
        <v>659</v>
      </c>
      <c r="C660" t="s">
        <v>680</v>
      </c>
      <c r="D660">
        <v>40</v>
      </c>
      <c r="E660">
        <v>20.195</v>
      </c>
      <c r="F660">
        <v>111286.195</v>
      </c>
      <c r="G660">
        <v>111293.242</v>
      </c>
      <c r="H660">
        <v>111300.289</v>
      </c>
      <c r="I660">
        <v>1</v>
      </c>
      <c r="J660">
        <v>2</v>
      </c>
      <c r="K660">
        <v>0</v>
      </c>
      <c r="L660">
        <v>0.006</v>
      </c>
      <c r="M660">
        <v>434.6</v>
      </c>
      <c r="N660">
        <v>0.004</v>
      </c>
      <c r="O660">
        <v>0</v>
      </c>
      <c r="P660">
        <v>0.001</v>
      </c>
      <c r="Q660">
        <v>0.001</v>
      </c>
      <c r="R660">
        <v>0</v>
      </c>
      <c r="S660" t="s">
        <v>22</v>
      </c>
      <c r="T660" t="s">
        <v>22</v>
      </c>
      <c r="U660">
        <v>434.6</v>
      </c>
      <c r="V660">
        <v>431.923</v>
      </c>
    </row>
    <row r="661" spans="2:22">
      <c r="B661">
        <v>660</v>
      </c>
      <c r="C661" t="s">
        <v>681</v>
      </c>
      <c r="D661">
        <v>40</v>
      </c>
      <c r="E661">
        <v>35.832</v>
      </c>
      <c r="F661">
        <v>111361.609</v>
      </c>
      <c r="G661">
        <v>111374.117</v>
      </c>
      <c r="H661">
        <v>111386.625</v>
      </c>
      <c r="I661">
        <v>1</v>
      </c>
      <c r="J661">
        <v>2</v>
      </c>
      <c r="K661">
        <v>0</v>
      </c>
      <c r="L661">
        <v>0.016</v>
      </c>
      <c r="M661">
        <v>434.584</v>
      </c>
      <c r="N661">
        <v>0.013</v>
      </c>
      <c r="O661">
        <v>0</v>
      </c>
      <c r="P661">
        <v>0.001</v>
      </c>
      <c r="Q661">
        <v>0.002</v>
      </c>
      <c r="R661">
        <v>0</v>
      </c>
      <c r="S661" t="s">
        <v>22</v>
      </c>
      <c r="T661" t="s">
        <v>22</v>
      </c>
      <c r="U661">
        <v>434.584</v>
      </c>
      <c r="V661">
        <v>431.907</v>
      </c>
    </row>
    <row r="662" spans="2:22">
      <c r="B662">
        <v>661</v>
      </c>
      <c r="C662" t="s">
        <v>682</v>
      </c>
      <c r="D662">
        <v>0</v>
      </c>
      <c r="E662">
        <v>0</v>
      </c>
      <c r="F662">
        <v>111403.234</v>
      </c>
      <c r="G662">
        <v>111403.234</v>
      </c>
      <c r="H662">
        <v>111403.234</v>
      </c>
      <c r="I662">
        <v>2</v>
      </c>
      <c r="J662">
        <v>1</v>
      </c>
      <c r="K662">
        <v>1</v>
      </c>
      <c r="L662">
        <v>0.09</v>
      </c>
      <c r="M662">
        <v>434.494</v>
      </c>
      <c r="N662">
        <v>0.004</v>
      </c>
      <c r="O662">
        <v>0.086</v>
      </c>
      <c r="P662">
        <v>0</v>
      </c>
      <c r="Q662">
        <v>0</v>
      </c>
      <c r="R662">
        <v>0</v>
      </c>
      <c r="S662">
        <v>434.579</v>
      </c>
      <c r="T662">
        <v>431.902</v>
      </c>
      <c r="U662">
        <v>434.494</v>
      </c>
      <c r="V662">
        <v>431.8</v>
      </c>
    </row>
    <row r="663" spans="2:22">
      <c r="B663">
        <v>662</v>
      </c>
      <c r="C663" t="s">
        <v>683</v>
      </c>
      <c r="D663">
        <v>0</v>
      </c>
      <c r="E663">
        <v>0</v>
      </c>
      <c r="F663">
        <v>111710.523</v>
      </c>
      <c r="G663">
        <v>111710.523</v>
      </c>
      <c r="H663">
        <v>111710.523</v>
      </c>
      <c r="I663">
        <v>2</v>
      </c>
      <c r="J663">
        <v>1</v>
      </c>
      <c r="K663">
        <v>2</v>
      </c>
      <c r="L663">
        <v>0.095</v>
      </c>
      <c r="M663">
        <v>434.399</v>
      </c>
      <c r="N663">
        <v>0.14</v>
      </c>
      <c r="O663">
        <v>-0.045</v>
      </c>
      <c r="P663">
        <v>0</v>
      </c>
      <c r="Q663">
        <v>0</v>
      </c>
      <c r="R663">
        <v>0</v>
      </c>
      <c r="S663">
        <v>434.399</v>
      </c>
      <c r="T663">
        <v>431.722</v>
      </c>
      <c r="U663">
        <v>434.354</v>
      </c>
      <c r="V663">
        <v>431.66</v>
      </c>
    </row>
    <row r="664" spans="2:22">
      <c r="B664">
        <v>663</v>
      </c>
      <c r="C664" t="s">
        <v>684</v>
      </c>
      <c r="D664">
        <v>60</v>
      </c>
      <c r="E664">
        <v>36.983</v>
      </c>
      <c r="F664">
        <v>111756.789</v>
      </c>
      <c r="G664">
        <v>111776.156</v>
      </c>
      <c r="H664">
        <v>111795.516</v>
      </c>
      <c r="I664">
        <v>1</v>
      </c>
      <c r="J664">
        <v>2</v>
      </c>
      <c r="K664">
        <v>0</v>
      </c>
      <c r="L664">
        <v>0.013</v>
      </c>
      <c r="M664">
        <v>434.386</v>
      </c>
      <c r="N664">
        <v>0.01</v>
      </c>
      <c r="O664">
        <v>0</v>
      </c>
      <c r="P664">
        <v>0.001</v>
      </c>
      <c r="Q664">
        <v>0.001</v>
      </c>
      <c r="R664">
        <v>0</v>
      </c>
      <c r="S664" t="s">
        <v>22</v>
      </c>
      <c r="T664" t="s">
        <v>22</v>
      </c>
      <c r="U664">
        <v>434.387</v>
      </c>
      <c r="V664">
        <v>431.71</v>
      </c>
    </row>
    <row r="665" spans="2:22">
      <c r="B665">
        <v>664</v>
      </c>
      <c r="C665" t="s">
        <v>685</v>
      </c>
      <c r="D665">
        <v>60</v>
      </c>
      <c r="E665">
        <v>21.177</v>
      </c>
      <c r="F665">
        <v>111859.195</v>
      </c>
      <c r="G665">
        <v>111870.281</v>
      </c>
      <c r="H665">
        <v>111881.367</v>
      </c>
      <c r="I665">
        <v>1</v>
      </c>
      <c r="J665">
        <v>2</v>
      </c>
      <c r="K665">
        <v>0</v>
      </c>
      <c r="L665">
        <v>0.018</v>
      </c>
      <c r="M665">
        <v>434.368</v>
      </c>
      <c r="N665">
        <v>0.016</v>
      </c>
      <c r="O665">
        <v>0</v>
      </c>
      <c r="P665">
        <v>0.001</v>
      </c>
      <c r="Q665">
        <v>0.002</v>
      </c>
      <c r="R665">
        <v>0</v>
      </c>
      <c r="S665" t="s">
        <v>22</v>
      </c>
      <c r="T665" t="s">
        <v>22</v>
      </c>
      <c r="U665">
        <v>434.368</v>
      </c>
      <c r="V665">
        <v>431.691</v>
      </c>
    </row>
    <row r="666" spans="2:22">
      <c r="B666">
        <v>665</v>
      </c>
      <c r="C666" t="s">
        <v>686</v>
      </c>
      <c r="D666">
        <v>60</v>
      </c>
      <c r="E666">
        <v>41.07</v>
      </c>
      <c r="F666">
        <v>111924.055</v>
      </c>
      <c r="G666">
        <v>111945.562</v>
      </c>
      <c r="H666">
        <v>111967.062</v>
      </c>
      <c r="I666">
        <v>1</v>
      </c>
      <c r="J666">
        <v>2</v>
      </c>
      <c r="K666">
        <v>0</v>
      </c>
      <c r="L666">
        <v>0.016</v>
      </c>
      <c r="M666">
        <v>434.352</v>
      </c>
      <c r="N666">
        <v>0.013</v>
      </c>
      <c r="O666">
        <v>0</v>
      </c>
      <c r="P666">
        <v>0.001</v>
      </c>
      <c r="Q666">
        <v>0.002</v>
      </c>
      <c r="R666">
        <v>0</v>
      </c>
      <c r="S666" t="s">
        <v>22</v>
      </c>
      <c r="T666" t="s">
        <v>22</v>
      </c>
      <c r="U666">
        <v>434.353</v>
      </c>
      <c r="V666">
        <v>431.676</v>
      </c>
    </row>
    <row r="667" spans="2:22">
      <c r="B667">
        <v>666</v>
      </c>
      <c r="C667" t="s">
        <v>687</v>
      </c>
      <c r="D667">
        <v>0</v>
      </c>
      <c r="E667">
        <v>0</v>
      </c>
      <c r="F667">
        <v>112021.477</v>
      </c>
      <c r="G667">
        <v>112021.477</v>
      </c>
      <c r="H667">
        <v>112021.477</v>
      </c>
      <c r="I667">
        <v>3</v>
      </c>
      <c r="J667">
        <v>1</v>
      </c>
      <c r="K667">
        <v>1</v>
      </c>
      <c r="L667">
        <v>0.059</v>
      </c>
      <c r="M667">
        <v>434.293</v>
      </c>
      <c r="N667">
        <v>0.012</v>
      </c>
      <c r="O667">
        <v>0.046</v>
      </c>
      <c r="P667">
        <v>0</v>
      </c>
      <c r="Q667">
        <v>0.001</v>
      </c>
      <c r="R667">
        <v>0</v>
      </c>
      <c r="S667">
        <v>434.339</v>
      </c>
      <c r="T667">
        <v>431.662</v>
      </c>
      <c r="U667">
        <v>434.293</v>
      </c>
      <c r="V667">
        <v>431.609</v>
      </c>
    </row>
    <row r="668" spans="2:22">
      <c r="B668">
        <v>667</v>
      </c>
      <c r="C668" t="s">
        <v>688</v>
      </c>
      <c r="D668">
        <v>60</v>
      </c>
      <c r="E668">
        <v>43.319</v>
      </c>
      <c r="F668">
        <v>112125.836</v>
      </c>
      <c r="G668">
        <v>112148.523</v>
      </c>
      <c r="H668">
        <v>112171.203</v>
      </c>
      <c r="I668">
        <v>3</v>
      </c>
      <c r="J668">
        <v>1</v>
      </c>
      <c r="K668">
        <v>0</v>
      </c>
      <c r="L668">
        <v>0.048</v>
      </c>
      <c r="M668">
        <v>434.245</v>
      </c>
      <c r="N668">
        <v>0.045</v>
      </c>
      <c r="O668">
        <v>0</v>
      </c>
      <c r="P668">
        <v>0.003</v>
      </c>
      <c r="Q668">
        <v>0</v>
      </c>
      <c r="R668">
        <v>0</v>
      </c>
      <c r="S668" t="s">
        <v>22</v>
      </c>
      <c r="T668" t="s">
        <v>22</v>
      </c>
      <c r="U668">
        <v>434.246</v>
      </c>
      <c r="V668">
        <v>431.562</v>
      </c>
    </row>
    <row r="669" spans="2:22">
      <c r="B669">
        <v>668</v>
      </c>
      <c r="C669" t="s">
        <v>689</v>
      </c>
      <c r="D669">
        <v>60</v>
      </c>
      <c r="E669">
        <v>30.127</v>
      </c>
      <c r="F669">
        <v>112239.148</v>
      </c>
      <c r="G669">
        <v>112254.93</v>
      </c>
      <c r="H669">
        <v>112270.703</v>
      </c>
      <c r="I669">
        <v>3</v>
      </c>
      <c r="J669">
        <v>1</v>
      </c>
      <c r="K669">
        <v>0</v>
      </c>
      <c r="L669">
        <v>0.04</v>
      </c>
      <c r="M669">
        <v>434.205</v>
      </c>
      <c r="N669">
        <v>0.038</v>
      </c>
      <c r="O669">
        <v>0</v>
      </c>
      <c r="P669">
        <v>0.002</v>
      </c>
      <c r="Q669">
        <v>0</v>
      </c>
      <c r="R669">
        <v>0</v>
      </c>
      <c r="S669" t="s">
        <v>22</v>
      </c>
      <c r="T669" t="s">
        <v>22</v>
      </c>
      <c r="U669">
        <v>434.206</v>
      </c>
      <c r="V669">
        <v>431.522</v>
      </c>
    </row>
    <row r="670" spans="2:22">
      <c r="B670">
        <v>669</v>
      </c>
      <c r="C670" t="s">
        <v>690</v>
      </c>
      <c r="D670">
        <v>60</v>
      </c>
      <c r="E670">
        <v>52.77</v>
      </c>
      <c r="F670">
        <v>112503.422</v>
      </c>
      <c r="G670">
        <v>112531.047</v>
      </c>
      <c r="H670">
        <v>112558.68</v>
      </c>
      <c r="I670">
        <v>3</v>
      </c>
      <c r="J670">
        <v>1</v>
      </c>
      <c r="K670">
        <v>0</v>
      </c>
      <c r="L670">
        <v>0.102</v>
      </c>
      <c r="M670">
        <v>434.103</v>
      </c>
      <c r="N670">
        <v>0.099</v>
      </c>
      <c r="O670">
        <v>0</v>
      </c>
      <c r="P670">
        <v>0.003</v>
      </c>
      <c r="Q670">
        <v>0</v>
      </c>
      <c r="R670">
        <v>0</v>
      </c>
      <c r="S670" t="s">
        <v>22</v>
      </c>
      <c r="T670" t="s">
        <v>22</v>
      </c>
      <c r="U670">
        <v>434.105</v>
      </c>
      <c r="V670">
        <v>431.421</v>
      </c>
    </row>
    <row r="671" spans="2:22">
      <c r="B671">
        <v>670</v>
      </c>
      <c r="C671" t="s">
        <v>691</v>
      </c>
      <c r="D671">
        <v>60</v>
      </c>
      <c r="E671">
        <v>16.059</v>
      </c>
      <c r="F671">
        <v>112689.969</v>
      </c>
      <c r="G671">
        <v>112698.375</v>
      </c>
      <c r="H671">
        <v>112706.781</v>
      </c>
      <c r="I671">
        <v>3</v>
      </c>
      <c r="J671">
        <v>1</v>
      </c>
      <c r="K671">
        <v>0</v>
      </c>
      <c r="L671">
        <v>0.061</v>
      </c>
      <c r="M671">
        <v>434.043</v>
      </c>
      <c r="N671">
        <v>0.06</v>
      </c>
      <c r="O671">
        <v>0</v>
      </c>
      <c r="P671">
        <v>0.001</v>
      </c>
      <c r="Q671">
        <v>0</v>
      </c>
      <c r="R671">
        <v>0</v>
      </c>
      <c r="S671" t="s">
        <v>22</v>
      </c>
      <c r="T671" t="s">
        <v>22</v>
      </c>
      <c r="U671">
        <v>434.043</v>
      </c>
      <c r="V671">
        <v>431.359</v>
      </c>
    </row>
    <row r="672" spans="2:22">
      <c r="B672">
        <v>671</v>
      </c>
      <c r="C672" t="s">
        <v>692</v>
      </c>
      <c r="D672">
        <v>0</v>
      </c>
      <c r="E672">
        <v>0</v>
      </c>
      <c r="F672">
        <v>112791.672</v>
      </c>
      <c r="G672">
        <v>112791.672</v>
      </c>
      <c r="H672">
        <v>112791.672</v>
      </c>
      <c r="I672">
        <v>3</v>
      </c>
      <c r="J672">
        <v>1</v>
      </c>
      <c r="K672">
        <v>2</v>
      </c>
      <c r="L672">
        <v>0.033</v>
      </c>
      <c r="M672">
        <v>434.009</v>
      </c>
      <c r="N672">
        <v>0.033</v>
      </c>
      <c r="O672">
        <v>0</v>
      </c>
      <c r="P672">
        <v>0</v>
      </c>
      <c r="Q672">
        <v>0</v>
      </c>
      <c r="R672">
        <v>0</v>
      </c>
      <c r="S672">
        <v>434.009</v>
      </c>
      <c r="T672">
        <v>431.325</v>
      </c>
      <c r="U672">
        <v>434.009</v>
      </c>
      <c r="V672">
        <v>431.325</v>
      </c>
    </row>
    <row r="673" spans="2:22">
      <c r="B673">
        <v>672</v>
      </c>
      <c r="C673" t="s">
        <v>693</v>
      </c>
      <c r="D673">
        <v>0</v>
      </c>
      <c r="E673">
        <v>0</v>
      </c>
      <c r="F673">
        <v>112791.672</v>
      </c>
      <c r="G673">
        <v>112791.672</v>
      </c>
      <c r="H673">
        <v>112791.672</v>
      </c>
      <c r="I673">
        <v>3</v>
      </c>
      <c r="J673">
        <v>2</v>
      </c>
      <c r="K673">
        <v>1</v>
      </c>
      <c r="L673">
        <v>0</v>
      </c>
      <c r="M673">
        <v>434.009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434.009</v>
      </c>
      <c r="T673">
        <v>431.325</v>
      </c>
      <c r="U673">
        <v>434.009</v>
      </c>
      <c r="V673">
        <v>431.325</v>
      </c>
    </row>
    <row r="674" spans="2:22">
      <c r="B674">
        <v>673</v>
      </c>
      <c r="C674" t="s">
        <v>694</v>
      </c>
      <c r="D674">
        <v>0</v>
      </c>
      <c r="E674">
        <v>0</v>
      </c>
      <c r="F674">
        <v>112801.477</v>
      </c>
      <c r="G674">
        <v>112801.477</v>
      </c>
      <c r="H674">
        <v>112801.477</v>
      </c>
      <c r="I674">
        <v>3</v>
      </c>
      <c r="J674">
        <v>2</v>
      </c>
      <c r="K674">
        <v>2</v>
      </c>
      <c r="L674">
        <v>-0.02</v>
      </c>
      <c r="M674">
        <v>434.03</v>
      </c>
      <c r="N674">
        <v>0.004</v>
      </c>
      <c r="O674">
        <v>-0.024</v>
      </c>
      <c r="P674">
        <v>0</v>
      </c>
      <c r="Q674">
        <v>0</v>
      </c>
      <c r="R674">
        <v>0</v>
      </c>
      <c r="S674">
        <v>434.03</v>
      </c>
      <c r="T674">
        <v>431.353</v>
      </c>
      <c r="U674">
        <v>434.006</v>
      </c>
      <c r="V674">
        <v>431.322</v>
      </c>
    </row>
    <row r="675" spans="2:22">
      <c r="B675">
        <v>674</v>
      </c>
      <c r="C675" t="s">
        <v>695</v>
      </c>
      <c r="D675">
        <v>60</v>
      </c>
      <c r="E675">
        <v>23.536</v>
      </c>
      <c r="F675">
        <v>112833.93</v>
      </c>
      <c r="G675">
        <v>112846.25</v>
      </c>
      <c r="H675">
        <v>112858.578</v>
      </c>
      <c r="I675">
        <v>1</v>
      </c>
      <c r="J675">
        <v>2</v>
      </c>
      <c r="K675">
        <v>0</v>
      </c>
      <c r="L675">
        <v>0.008</v>
      </c>
      <c r="M675">
        <v>434.021</v>
      </c>
      <c r="N675">
        <v>0.007</v>
      </c>
      <c r="O675">
        <v>0</v>
      </c>
      <c r="P675">
        <v>0.001</v>
      </c>
      <c r="Q675">
        <v>0.001</v>
      </c>
      <c r="R675">
        <v>0</v>
      </c>
      <c r="S675" t="s">
        <v>22</v>
      </c>
      <c r="T675" t="s">
        <v>22</v>
      </c>
      <c r="U675">
        <v>434.022</v>
      </c>
      <c r="V675">
        <v>431.345</v>
      </c>
    </row>
    <row r="676" spans="2:22">
      <c r="B676">
        <v>675</v>
      </c>
      <c r="C676" t="s">
        <v>696</v>
      </c>
      <c r="D676">
        <v>60</v>
      </c>
      <c r="E676">
        <v>11.049</v>
      </c>
      <c r="F676">
        <v>112941.016</v>
      </c>
      <c r="G676">
        <v>112946.805</v>
      </c>
      <c r="H676">
        <v>112952.586</v>
      </c>
      <c r="I676">
        <v>1</v>
      </c>
      <c r="J676">
        <v>2</v>
      </c>
      <c r="K676">
        <v>0</v>
      </c>
      <c r="L676">
        <v>0.019</v>
      </c>
      <c r="M676">
        <v>434.002</v>
      </c>
      <c r="N676">
        <v>0.017</v>
      </c>
      <c r="O676">
        <v>0</v>
      </c>
      <c r="P676">
        <v>0</v>
      </c>
      <c r="Q676">
        <v>0.002</v>
      </c>
      <c r="R676">
        <v>0</v>
      </c>
      <c r="S676" t="s">
        <v>22</v>
      </c>
      <c r="T676" t="s">
        <v>22</v>
      </c>
      <c r="U676">
        <v>434.002</v>
      </c>
      <c r="V676">
        <v>431.325</v>
      </c>
    </row>
    <row r="677" spans="2:22">
      <c r="B677">
        <v>676</v>
      </c>
      <c r="C677" t="s">
        <v>697</v>
      </c>
      <c r="D677">
        <v>0</v>
      </c>
      <c r="E677">
        <v>0</v>
      </c>
      <c r="F677">
        <v>113011.594</v>
      </c>
      <c r="G677">
        <v>113011.594</v>
      </c>
      <c r="H677">
        <v>113011.594</v>
      </c>
      <c r="I677">
        <v>2</v>
      </c>
      <c r="J677">
        <v>1</v>
      </c>
      <c r="K677">
        <v>1</v>
      </c>
      <c r="L677">
        <v>0.097</v>
      </c>
      <c r="M677">
        <v>433.905</v>
      </c>
      <c r="N677">
        <v>0.01</v>
      </c>
      <c r="O677">
        <v>0.086</v>
      </c>
      <c r="P677">
        <v>0</v>
      </c>
      <c r="Q677">
        <v>0.001</v>
      </c>
      <c r="R677">
        <v>0</v>
      </c>
      <c r="S677">
        <v>433.991</v>
      </c>
      <c r="T677">
        <v>431.314</v>
      </c>
      <c r="U677">
        <v>433.905</v>
      </c>
      <c r="V677">
        <v>431.211</v>
      </c>
    </row>
    <row r="678" spans="2:22">
      <c r="B678">
        <v>677</v>
      </c>
      <c r="C678" t="s">
        <v>698</v>
      </c>
      <c r="D678">
        <v>60</v>
      </c>
      <c r="E678">
        <v>45.342</v>
      </c>
      <c r="F678">
        <v>113057.531</v>
      </c>
      <c r="G678">
        <v>113081.273</v>
      </c>
      <c r="H678">
        <v>113105.008</v>
      </c>
      <c r="I678">
        <v>2</v>
      </c>
      <c r="J678">
        <v>1</v>
      </c>
      <c r="K678">
        <v>0</v>
      </c>
      <c r="L678">
        <v>0.036</v>
      </c>
      <c r="M678">
        <v>433.87</v>
      </c>
      <c r="N678">
        <v>0.032</v>
      </c>
      <c r="O678">
        <v>0</v>
      </c>
      <c r="P678">
        <v>0.004</v>
      </c>
      <c r="Q678">
        <v>0</v>
      </c>
      <c r="R678">
        <v>0</v>
      </c>
      <c r="S678" t="s">
        <v>22</v>
      </c>
      <c r="T678" t="s">
        <v>22</v>
      </c>
      <c r="U678">
        <v>433.872</v>
      </c>
      <c r="V678">
        <v>431.178</v>
      </c>
    </row>
    <row r="679" spans="2:22">
      <c r="B679">
        <v>678</v>
      </c>
      <c r="C679" t="s">
        <v>699</v>
      </c>
      <c r="D679">
        <v>0</v>
      </c>
      <c r="E679">
        <v>0</v>
      </c>
      <c r="F679">
        <v>113295.469</v>
      </c>
      <c r="G679">
        <v>113295.469</v>
      </c>
      <c r="H679">
        <v>113295.469</v>
      </c>
      <c r="I679">
        <v>2</v>
      </c>
      <c r="J679">
        <v>1</v>
      </c>
      <c r="K679">
        <v>2</v>
      </c>
      <c r="L679">
        <v>0.053</v>
      </c>
      <c r="M679">
        <v>433.817</v>
      </c>
      <c r="N679">
        <v>0.097</v>
      </c>
      <c r="O679">
        <v>-0.045</v>
      </c>
      <c r="P679">
        <v>0</v>
      </c>
      <c r="Q679">
        <v>0</v>
      </c>
      <c r="R679">
        <v>0</v>
      </c>
      <c r="S679">
        <v>433.817</v>
      </c>
      <c r="T679">
        <v>431.14</v>
      </c>
      <c r="U679">
        <v>433.772</v>
      </c>
      <c r="V679">
        <v>431.078</v>
      </c>
    </row>
    <row r="680" spans="2:22">
      <c r="B680">
        <v>679</v>
      </c>
      <c r="C680" t="s">
        <v>700</v>
      </c>
      <c r="D680">
        <v>0</v>
      </c>
      <c r="E680">
        <v>0</v>
      </c>
      <c r="F680">
        <v>113343.047</v>
      </c>
      <c r="G680">
        <v>113343.047</v>
      </c>
      <c r="H680">
        <v>113343.047</v>
      </c>
      <c r="I680">
        <v>3</v>
      </c>
      <c r="J680">
        <v>1</v>
      </c>
      <c r="K680">
        <v>1</v>
      </c>
      <c r="L680">
        <v>0.053</v>
      </c>
      <c r="M680">
        <v>433.764</v>
      </c>
      <c r="N680">
        <v>0.006</v>
      </c>
      <c r="O680">
        <v>0.046</v>
      </c>
      <c r="P680">
        <v>0</v>
      </c>
      <c r="Q680">
        <v>0.001</v>
      </c>
      <c r="R680">
        <v>0</v>
      </c>
      <c r="S680">
        <v>433.81</v>
      </c>
      <c r="T680">
        <v>431.133</v>
      </c>
      <c r="U680">
        <v>433.764</v>
      </c>
      <c r="V680">
        <v>431.08</v>
      </c>
    </row>
    <row r="681" spans="2:22">
      <c r="B681">
        <v>680</v>
      </c>
      <c r="C681" t="s">
        <v>701</v>
      </c>
      <c r="D681">
        <v>60</v>
      </c>
      <c r="E681">
        <v>36.207</v>
      </c>
      <c r="F681">
        <v>113382.352</v>
      </c>
      <c r="G681">
        <v>113401.312</v>
      </c>
      <c r="H681">
        <v>113420.273</v>
      </c>
      <c r="I681">
        <v>3</v>
      </c>
      <c r="J681">
        <v>1</v>
      </c>
      <c r="K681">
        <v>0</v>
      </c>
      <c r="L681">
        <v>0.023</v>
      </c>
      <c r="M681">
        <v>433.741</v>
      </c>
      <c r="N681">
        <v>0.021</v>
      </c>
      <c r="O681">
        <v>0</v>
      </c>
      <c r="P681">
        <v>0.002</v>
      </c>
      <c r="Q681">
        <v>0</v>
      </c>
      <c r="R681">
        <v>0</v>
      </c>
      <c r="S681" t="s">
        <v>22</v>
      </c>
      <c r="T681" t="s">
        <v>22</v>
      </c>
      <c r="U681">
        <v>433.742</v>
      </c>
      <c r="V681">
        <v>431.058</v>
      </c>
    </row>
    <row r="682" spans="2:22">
      <c r="B682">
        <v>681</v>
      </c>
      <c r="C682" t="s">
        <v>702</v>
      </c>
      <c r="D682">
        <v>60</v>
      </c>
      <c r="E682">
        <v>23.291</v>
      </c>
      <c r="F682">
        <v>113653.945</v>
      </c>
      <c r="G682">
        <v>113666.141</v>
      </c>
      <c r="H682">
        <v>113678.336</v>
      </c>
      <c r="I682">
        <v>3</v>
      </c>
      <c r="J682">
        <v>1</v>
      </c>
      <c r="K682">
        <v>0</v>
      </c>
      <c r="L682">
        <v>0.096</v>
      </c>
      <c r="M682">
        <v>433.645</v>
      </c>
      <c r="N682">
        <v>0.095</v>
      </c>
      <c r="O682">
        <v>0</v>
      </c>
      <c r="P682">
        <v>0.001</v>
      </c>
      <c r="Q682">
        <v>0</v>
      </c>
      <c r="R682">
        <v>0</v>
      </c>
      <c r="S682" t="s">
        <v>22</v>
      </c>
      <c r="T682" t="s">
        <v>22</v>
      </c>
      <c r="U682">
        <v>433.646</v>
      </c>
      <c r="V682">
        <v>430.962</v>
      </c>
    </row>
    <row r="683" spans="2:22">
      <c r="B683">
        <v>682</v>
      </c>
      <c r="C683" t="s">
        <v>703</v>
      </c>
      <c r="D683">
        <v>0</v>
      </c>
      <c r="E683">
        <v>0</v>
      </c>
      <c r="F683">
        <v>113797.109</v>
      </c>
      <c r="G683">
        <v>113797.109</v>
      </c>
      <c r="H683">
        <v>113797.109</v>
      </c>
      <c r="I683">
        <v>3</v>
      </c>
      <c r="J683">
        <v>1</v>
      </c>
      <c r="K683">
        <v>2</v>
      </c>
      <c r="L683">
        <v>0.023</v>
      </c>
      <c r="M683">
        <v>433.622</v>
      </c>
      <c r="N683">
        <v>0.047</v>
      </c>
      <c r="O683">
        <v>-0.024</v>
      </c>
      <c r="P683">
        <v>0</v>
      </c>
      <c r="Q683">
        <v>0</v>
      </c>
      <c r="R683">
        <v>0</v>
      </c>
      <c r="S683">
        <v>433.622</v>
      </c>
      <c r="T683">
        <v>430.945</v>
      </c>
      <c r="U683">
        <v>433.599</v>
      </c>
      <c r="V683">
        <v>430.915</v>
      </c>
    </row>
    <row r="684" spans="2:22">
      <c r="B684">
        <v>683</v>
      </c>
      <c r="C684" t="s">
        <v>704</v>
      </c>
      <c r="D684">
        <v>60</v>
      </c>
      <c r="E684">
        <v>66.362</v>
      </c>
      <c r="F684">
        <v>113818.461</v>
      </c>
      <c r="G684">
        <v>113853.211</v>
      </c>
      <c r="H684">
        <v>113887.953</v>
      </c>
      <c r="I684">
        <v>1</v>
      </c>
      <c r="J684">
        <v>2</v>
      </c>
      <c r="K684">
        <v>0</v>
      </c>
      <c r="L684">
        <v>0.012</v>
      </c>
      <c r="M684">
        <v>433.611</v>
      </c>
      <c r="N684">
        <v>0.009</v>
      </c>
      <c r="O684">
        <v>0</v>
      </c>
      <c r="P684">
        <v>0.002</v>
      </c>
      <c r="Q684">
        <v>0.001</v>
      </c>
      <c r="R684">
        <v>0</v>
      </c>
      <c r="S684" t="s">
        <v>22</v>
      </c>
      <c r="T684" t="s">
        <v>22</v>
      </c>
      <c r="U684">
        <v>433.612</v>
      </c>
      <c r="V684">
        <v>430.935</v>
      </c>
    </row>
    <row r="685" spans="2:22">
      <c r="B685">
        <v>684</v>
      </c>
      <c r="C685" t="s">
        <v>705</v>
      </c>
      <c r="D685">
        <v>40</v>
      </c>
      <c r="E685">
        <v>53.024</v>
      </c>
      <c r="F685">
        <v>113936.141</v>
      </c>
      <c r="G685">
        <v>113954.648</v>
      </c>
      <c r="H685">
        <v>113973.156</v>
      </c>
      <c r="I685">
        <v>1</v>
      </c>
      <c r="J685">
        <v>2</v>
      </c>
      <c r="K685">
        <v>0</v>
      </c>
      <c r="L685">
        <v>0.02</v>
      </c>
      <c r="M685">
        <v>433.59</v>
      </c>
      <c r="N685">
        <v>0.017</v>
      </c>
      <c r="O685">
        <v>0</v>
      </c>
      <c r="P685">
        <v>0.002</v>
      </c>
      <c r="Q685">
        <v>0.002</v>
      </c>
      <c r="R685">
        <v>0</v>
      </c>
      <c r="S685" t="s">
        <v>22</v>
      </c>
      <c r="T685" t="s">
        <v>22</v>
      </c>
      <c r="U685">
        <v>433.591</v>
      </c>
      <c r="V685">
        <v>430.914</v>
      </c>
    </row>
    <row r="686" spans="2:22">
      <c r="B686">
        <v>685</v>
      </c>
      <c r="C686" t="s">
        <v>706</v>
      </c>
      <c r="D686">
        <v>0</v>
      </c>
      <c r="E686">
        <v>0</v>
      </c>
      <c r="F686">
        <v>113984.797</v>
      </c>
      <c r="G686">
        <v>113984.797</v>
      </c>
      <c r="H686">
        <v>113984.797</v>
      </c>
      <c r="I686">
        <v>2</v>
      </c>
      <c r="J686">
        <v>1</v>
      </c>
      <c r="K686">
        <v>1</v>
      </c>
      <c r="L686">
        <v>0.09</v>
      </c>
      <c r="M686">
        <v>433.5</v>
      </c>
      <c r="N686">
        <v>0.004</v>
      </c>
      <c r="O686">
        <v>0.086</v>
      </c>
      <c r="P686">
        <v>0</v>
      </c>
      <c r="Q686">
        <v>0.001</v>
      </c>
      <c r="R686">
        <v>0</v>
      </c>
      <c r="S686">
        <v>433.585</v>
      </c>
      <c r="T686">
        <v>430.908</v>
      </c>
      <c r="U686">
        <v>433.5</v>
      </c>
      <c r="V686">
        <v>430.806</v>
      </c>
    </row>
    <row r="687" spans="2:22">
      <c r="B687">
        <v>686</v>
      </c>
      <c r="C687" t="s">
        <v>707</v>
      </c>
      <c r="D687">
        <v>60</v>
      </c>
      <c r="E687">
        <v>20.963</v>
      </c>
      <c r="F687">
        <v>114065.477</v>
      </c>
      <c r="G687">
        <v>114076.445</v>
      </c>
      <c r="H687">
        <v>114087.422</v>
      </c>
      <c r="I687">
        <v>2</v>
      </c>
      <c r="J687">
        <v>1</v>
      </c>
      <c r="K687">
        <v>0</v>
      </c>
      <c r="L687">
        <v>0.043</v>
      </c>
      <c r="M687">
        <v>433.456</v>
      </c>
      <c r="N687">
        <v>0.042</v>
      </c>
      <c r="O687">
        <v>0</v>
      </c>
      <c r="P687">
        <v>0.002</v>
      </c>
      <c r="Q687">
        <v>0</v>
      </c>
      <c r="R687">
        <v>0</v>
      </c>
      <c r="S687" t="s">
        <v>22</v>
      </c>
      <c r="T687" t="s">
        <v>22</v>
      </c>
      <c r="U687">
        <v>433.457</v>
      </c>
      <c r="V687">
        <v>430.763</v>
      </c>
    </row>
    <row r="688" spans="2:22">
      <c r="B688">
        <v>687</v>
      </c>
      <c r="C688" t="s">
        <v>708</v>
      </c>
      <c r="D688">
        <v>0</v>
      </c>
      <c r="E688">
        <v>0</v>
      </c>
      <c r="F688">
        <v>114109.273</v>
      </c>
      <c r="G688">
        <v>114109.273</v>
      </c>
      <c r="H688">
        <v>114109.273</v>
      </c>
      <c r="I688">
        <v>2</v>
      </c>
      <c r="J688">
        <v>1</v>
      </c>
      <c r="K688">
        <v>2</v>
      </c>
      <c r="L688">
        <v>-0.03</v>
      </c>
      <c r="M688">
        <v>433.486</v>
      </c>
      <c r="N688">
        <v>0.015</v>
      </c>
      <c r="O688">
        <v>-0.045</v>
      </c>
      <c r="P688">
        <v>0</v>
      </c>
      <c r="Q688">
        <v>0</v>
      </c>
      <c r="R688">
        <v>0</v>
      </c>
      <c r="S688">
        <v>433.486</v>
      </c>
      <c r="T688">
        <v>430.809</v>
      </c>
      <c r="U688">
        <v>433.441</v>
      </c>
      <c r="V688">
        <v>430.747</v>
      </c>
    </row>
    <row r="689" spans="2:22">
      <c r="B689">
        <v>688</v>
      </c>
      <c r="C689" t="s">
        <v>709</v>
      </c>
      <c r="D689">
        <v>0</v>
      </c>
      <c r="E689">
        <v>0</v>
      </c>
      <c r="F689">
        <v>114130.992</v>
      </c>
      <c r="G689">
        <v>114130.992</v>
      </c>
      <c r="H689">
        <v>114130.992</v>
      </c>
      <c r="I689">
        <v>3</v>
      </c>
      <c r="J689">
        <v>1</v>
      </c>
      <c r="K689">
        <v>1</v>
      </c>
      <c r="L689">
        <v>0.048</v>
      </c>
      <c r="M689">
        <v>433.438</v>
      </c>
      <c r="N689">
        <v>0.002</v>
      </c>
      <c r="O689">
        <v>0.046</v>
      </c>
      <c r="P689">
        <v>0</v>
      </c>
      <c r="Q689">
        <v>0</v>
      </c>
      <c r="R689">
        <v>0</v>
      </c>
      <c r="S689">
        <v>433.484</v>
      </c>
      <c r="T689">
        <v>430.807</v>
      </c>
      <c r="U689">
        <v>433.438</v>
      </c>
      <c r="V689">
        <v>430.754</v>
      </c>
    </row>
    <row r="690" spans="2:22">
      <c r="B690">
        <v>689</v>
      </c>
      <c r="C690" t="s">
        <v>710</v>
      </c>
      <c r="D690">
        <v>60</v>
      </c>
      <c r="E690">
        <v>9.853</v>
      </c>
      <c r="F690">
        <v>114298.68</v>
      </c>
      <c r="G690">
        <v>114303.844</v>
      </c>
      <c r="H690">
        <v>114309</v>
      </c>
      <c r="I690">
        <v>3</v>
      </c>
      <c r="J690">
        <v>1</v>
      </c>
      <c r="K690">
        <v>0</v>
      </c>
      <c r="L690">
        <v>0.062</v>
      </c>
      <c r="M690">
        <v>433.376</v>
      </c>
      <c r="N690">
        <v>0.062</v>
      </c>
      <c r="O690">
        <v>0</v>
      </c>
      <c r="P690">
        <v>0.001</v>
      </c>
      <c r="Q690">
        <v>0</v>
      </c>
      <c r="R690">
        <v>0</v>
      </c>
      <c r="S690" t="s">
        <v>22</v>
      </c>
      <c r="T690" t="s">
        <v>22</v>
      </c>
      <c r="U690">
        <v>433.376</v>
      </c>
      <c r="V690">
        <v>430.692</v>
      </c>
    </row>
    <row r="691" spans="2:22">
      <c r="B691">
        <v>690</v>
      </c>
      <c r="C691" t="s">
        <v>711</v>
      </c>
      <c r="D691">
        <v>0</v>
      </c>
      <c r="E691">
        <v>0</v>
      </c>
      <c r="F691">
        <v>114474.883</v>
      </c>
      <c r="G691">
        <v>114474.883</v>
      </c>
      <c r="H691">
        <v>114474.883</v>
      </c>
      <c r="I691">
        <v>3</v>
      </c>
      <c r="J691">
        <v>1</v>
      </c>
      <c r="K691">
        <v>2</v>
      </c>
      <c r="L691">
        <v>0.037</v>
      </c>
      <c r="M691">
        <v>433.339</v>
      </c>
      <c r="N691">
        <v>0.061</v>
      </c>
      <c r="O691">
        <v>-0.024</v>
      </c>
      <c r="P691">
        <v>0</v>
      </c>
      <c r="Q691">
        <v>0</v>
      </c>
      <c r="R691">
        <v>0</v>
      </c>
      <c r="S691">
        <v>433.339</v>
      </c>
      <c r="T691">
        <v>430.662</v>
      </c>
      <c r="U691">
        <v>433.315</v>
      </c>
      <c r="V691">
        <v>430.631</v>
      </c>
    </row>
    <row r="692" spans="2:22">
      <c r="B692">
        <v>691</v>
      </c>
      <c r="C692" t="s">
        <v>712</v>
      </c>
      <c r="D692">
        <v>0</v>
      </c>
      <c r="E692">
        <v>0</v>
      </c>
      <c r="F692">
        <v>114485.078</v>
      </c>
      <c r="G692">
        <v>114485.078</v>
      </c>
      <c r="H692">
        <v>114485.078</v>
      </c>
      <c r="I692">
        <v>2</v>
      </c>
      <c r="J692">
        <v>1</v>
      </c>
      <c r="K692">
        <v>1</v>
      </c>
      <c r="L692">
        <v>0.086</v>
      </c>
      <c r="M692">
        <v>433.253</v>
      </c>
      <c r="N692">
        <v>0</v>
      </c>
      <c r="O692">
        <v>0.086</v>
      </c>
      <c r="P692">
        <v>0</v>
      </c>
      <c r="Q692">
        <v>0</v>
      </c>
      <c r="R692">
        <v>0</v>
      </c>
      <c r="S692">
        <v>433.339</v>
      </c>
      <c r="T692">
        <v>430.661</v>
      </c>
      <c r="U692">
        <v>433.253</v>
      </c>
      <c r="V692">
        <v>430.559</v>
      </c>
    </row>
    <row r="693" spans="2:22">
      <c r="B693">
        <v>692</v>
      </c>
      <c r="C693" t="s">
        <v>713</v>
      </c>
      <c r="D693">
        <v>0</v>
      </c>
      <c r="E693">
        <v>0</v>
      </c>
      <c r="F693">
        <v>114614.484</v>
      </c>
      <c r="G693">
        <v>114614.484</v>
      </c>
      <c r="H693">
        <v>114614.484</v>
      </c>
      <c r="I693">
        <v>2</v>
      </c>
      <c r="J693">
        <v>1</v>
      </c>
      <c r="K693">
        <v>2</v>
      </c>
      <c r="L693">
        <v>0.014</v>
      </c>
      <c r="M693">
        <v>433.239</v>
      </c>
      <c r="N693">
        <v>0.059</v>
      </c>
      <c r="O693">
        <v>-0.045</v>
      </c>
      <c r="P693">
        <v>0</v>
      </c>
      <c r="Q693">
        <v>0</v>
      </c>
      <c r="R693">
        <v>0</v>
      </c>
      <c r="S693">
        <v>433.239</v>
      </c>
      <c r="T693">
        <v>430.562</v>
      </c>
      <c r="U693">
        <v>433.194</v>
      </c>
      <c r="V693">
        <v>430.5</v>
      </c>
    </row>
    <row r="694" spans="2:22">
      <c r="B694">
        <v>693</v>
      </c>
      <c r="C694" t="s">
        <v>714</v>
      </c>
      <c r="D694">
        <v>0</v>
      </c>
      <c r="E694">
        <v>0</v>
      </c>
      <c r="F694">
        <v>114638.43</v>
      </c>
      <c r="G694">
        <v>114638.43</v>
      </c>
      <c r="H694">
        <v>114638.43</v>
      </c>
      <c r="I694">
        <v>3</v>
      </c>
      <c r="J694">
        <v>1</v>
      </c>
      <c r="K694">
        <v>1</v>
      </c>
      <c r="L694">
        <v>0.048</v>
      </c>
      <c r="M694">
        <v>433.19</v>
      </c>
      <c r="N694">
        <v>0.002</v>
      </c>
      <c r="O694">
        <v>0.046</v>
      </c>
      <c r="P694">
        <v>0</v>
      </c>
      <c r="Q694">
        <v>0</v>
      </c>
      <c r="R694">
        <v>0</v>
      </c>
      <c r="S694">
        <v>433.236</v>
      </c>
      <c r="T694">
        <v>430.559</v>
      </c>
      <c r="U694">
        <v>433.19</v>
      </c>
      <c r="V694">
        <v>430.506</v>
      </c>
    </row>
    <row r="695" spans="2:22">
      <c r="B695">
        <v>694</v>
      </c>
      <c r="C695" t="s">
        <v>715</v>
      </c>
      <c r="D695">
        <v>60</v>
      </c>
      <c r="E695">
        <v>30.889</v>
      </c>
      <c r="F695">
        <v>115100.133</v>
      </c>
      <c r="G695">
        <v>115116.305</v>
      </c>
      <c r="H695">
        <v>115132.477</v>
      </c>
      <c r="I695">
        <v>3</v>
      </c>
      <c r="J695">
        <v>1</v>
      </c>
      <c r="K695">
        <v>0</v>
      </c>
      <c r="L695">
        <v>0.173</v>
      </c>
      <c r="M695">
        <v>433.018</v>
      </c>
      <c r="N695">
        <v>0.171</v>
      </c>
      <c r="O695">
        <v>0</v>
      </c>
      <c r="P695">
        <v>0.002</v>
      </c>
      <c r="Q695">
        <v>0</v>
      </c>
      <c r="R695">
        <v>0</v>
      </c>
      <c r="S695" t="s">
        <v>22</v>
      </c>
      <c r="T695" t="s">
        <v>22</v>
      </c>
      <c r="U695">
        <v>433.019</v>
      </c>
      <c r="V695">
        <v>430.335</v>
      </c>
    </row>
    <row r="696" spans="2:22">
      <c r="B696">
        <v>695</v>
      </c>
      <c r="C696" t="s">
        <v>716</v>
      </c>
      <c r="D696">
        <v>60</v>
      </c>
      <c r="E696">
        <v>13.116</v>
      </c>
      <c r="F696">
        <v>116573.078</v>
      </c>
      <c r="G696">
        <v>116579.945</v>
      </c>
      <c r="H696">
        <v>116586.812</v>
      </c>
      <c r="I696">
        <v>3</v>
      </c>
      <c r="J696">
        <v>1</v>
      </c>
      <c r="K696">
        <v>0</v>
      </c>
      <c r="L696">
        <v>0.523</v>
      </c>
      <c r="M696">
        <v>432.494</v>
      </c>
      <c r="N696">
        <v>0.523</v>
      </c>
      <c r="O696">
        <v>0</v>
      </c>
      <c r="P696">
        <v>0.001</v>
      </c>
      <c r="Q696">
        <v>0</v>
      </c>
      <c r="R696">
        <v>0</v>
      </c>
      <c r="S696" t="s">
        <v>22</v>
      </c>
      <c r="T696" t="s">
        <v>22</v>
      </c>
      <c r="U696">
        <v>432.495</v>
      </c>
      <c r="V696">
        <v>429.811</v>
      </c>
    </row>
    <row r="697" spans="2:22">
      <c r="B697">
        <v>696</v>
      </c>
      <c r="C697" t="s">
        <v>717</v>
      </c>
      <c r="D697">
        <v>60</v>
      </c>
      <c r="E697">
        <v>36.325</v>
      </c>
      <c r="F697">
        <v>118295.469</v>
      </c>
      <c r="G697">
        <v>118314.484</v>
      </c>
      <c r="H697">
        <v>118333.508</v>
      </c>
      <c r="I697">
        <v>3</v>
      </c>
      <c r="J697">
        <v>1</v>
      </c>
      <c r="K697">
        <v>0</v>
      </c>
      <c r="L697">
        <v>0.622</v>
      </c>
      <c r="M697">
        <v>431.873</v>
      </c>
      <c r="N697">
        <v>0.619</v>
      </c>
      <c r="O697">
        <v>0</v>
      </c>
      <c r="P697">
        <v>0.002</v>
      </c>
      <c r="Q697">
        <v>0</v>
      </c>
      <c r="R697">
        <v>0</v>
      </c>
      <c r="S697" t="s">
        <v>22</v>
      </c>
      <c r="T697" t="s">
        <v>22</v>
      </c>
      <c r="U697">
        <v>431.874</v>
      </c>
      <c r="V697">
        <v>429.19</v>
      </c>
    </row>
    <row r="698" spans="2:22">
      <c r="B698">
        <v>697</v>
      </c>
      <c r="C698" t="s">
        <v>718</v>
      </c>
      <c r="D698">
        <v>0</v>
      </c>
      <c r="E698">
        <v>0</v>
      </c>
      <c r="F698">
        <v>118377.516</v>
      </c>
      <c r="G698">
        <v>118377.516</v>
      </c>
      <c r="H698">
        <v>118377.516</v>
      </c>
      <c r="I698">
        <v>3</v>
      </c>
      <c r="J698">
        <v>1</v>
      </c>
      <c r="K698">
        <v>2</v>
      </c>
      <c r="L698">
        <v>-0.001</v>
      </c>
      <c r="M698">
        <v>431.874</v>
      </c>
      <c r="N698">
        <v>0.023</v>
      </c>
      <c r="O698">
        <v>-0.024</v>
      </c>
      <c r="P698">
        <v>0</v>
      </c>
      <c r="Q698">
        <v>0</v>
      </c>
      <c r="R698">
        <v>0</v>
      </c>
      <c r="S698">
        <v>431.874</v>
      </c>
      <c r="T698">
        <v>429.197</v>
      </c>
      <c r="U698">
        <v>431.85</v>
      </c>
      <c r="V698">
        <v>429.166</v>
      </c>
    </row>
    <row r="699" spans="2:22">
      <c r="B699">
        <v>698</v>
      </c>
      <c r="C699" t="s">
        <v>719</v>
      </c>
      <c r="D699">
        <v>0</v>
      </c>
      <c r="E699">
        <v>0</v>
      </c>
      <c r="F699">
        <v>118459.172</v>
      </c>
      <c r="G699">
        <v>118459.172</v>
      </c>
      <c r="H699">
        <v>118459.172</v>
      </c>
      <c r="I699">
        <v>3</v>
      </c>
      <c r="J699">
        <v>1</v>
      </c>
      <c r="K699">
        <v>1</v>
      </c>
      <c r="L699">
        <v>0.059</v>
      </c>
      <c r="M699">
        <v>431.815</v>
      </c>
      <c r="N699">
        <v>0.012</v>
      </c>
      <c r="O699">
        <v>0.046</v>
      </c>
      <c r="P699">
        <v>0</v>
      </c>
      <c r="Q699">
        <v>0.001</v>
      </c>
      <c r="R699">
        <v>0</v>
      </c>
      <c r="S699">
        <v>431.861</v>
      </c>
      <c r="T699">
        <v>429.184</v>
      </c>
      <c r="U699">
        <v>431.815</v>
      </c>
      <c r="V699">
        <v>429.131</v>
      </c>
    </row>
    <row r="700" spans="2:22">
      <c r="B700">
        <v>699</v>
      </c>
      <c r="C700" t="s">
        <v>720</v>
      </c>
      <c r="D700">
        <v>60</v>
      </c>
      <c r="E700">
        <v>10.018</v>
      </c>
      <c r="F700">
        <v>118662.18</v>
      </c>
      <c r="G700">
        <v>118667.422</v>
      </c>
      <c r="H700">
        <v>118672.672</v>
      </c>
      <c r="I700">
        <v>3</v>
      </c>
      <c r="J700">
        <v>1</v>
      </c>
      <c r="K700">
        <v>0</v>
      </c>
      <c r="L700">
        <v>0.075</v>
      </c>
      <c r="M700">
        <v>431.74</v>
      </c>
      <c r="N700">
        <v>0.074</v>
      </c>
      <c r="O700">
        <v>0</v>
      </c>
      <c r="P700">
        <v>0.001</v>
      </c>
      <c r="Q700">
        <v>0</v>
      </c>
      <c r="R700">
        <v>0</v>
      </c>
      <c r="S700" t="s">
        <v>22</v>
      </c>
      <c r="T700" t="s">
        <v>22</v>
      </c>
      <c r="U700">
        <v>431.74</v>
      </c>
      <c r="V700">
        <v>429.056</v>
      </c>
    </row>
    <row r="701" spans="2:22">
      <c r="B701">
        <v>700</v>
      </c>
      <c r="C701" t="s">
        <v>721</v>
      </c>
      <c r="D701">
        <v>0</v>
      </c>
      <c r="E701">
        <v>0</v>
      </c>
      <c r="F701">
        <v>118725.492</v>
      </c>
      <c r="G701">
        <v>118725.492</v>
      </c>
      <c r="H701">
        <v>118725.492</v>
      </c>
      <c r="I701">
        <v>3</v>
      </c>
      <c r="J701">
        <v>1</v>
      </c>
      <c r="K701">
        <v>2</v>
      </c>
      <c r="L701">
        <v>-0.003</v>
      </c>
      <c r="M701">
        <v>431.743</v>
      </c>
      <c r="N701">
        <v>0.021</v>
      </c>
      <c r="O701">
        <v>-0.024</v>
      </c>
      <c r="P701">
        <v>0</v>
      </c>
      <c r="Q701">
        <v>0</v>
      </c>
      <c r="R701">
        <v>0</v>
      </c>
      <c r="S701">
        <v>431.743</v>
      </c>
      <c r="T701">
        <v>429.066</v>
      </c>
      <c r="U701">
        <v>431.719</v>
      </c>
      <c r="V701">
        <v>429.035</v>
      </c>
    </row>
    <row r="702" spans="2:22">
      <c r="B702">
        <v>701</v>
      </c>
      <c r="C702" t="s">
        <v>722</v>
      </c>
      <c r="D702">
        <v>0</v>
      </c>
      <c r="E702">
        <v>0</v>
      </c>
      <c r="F702">
        <v>118780.484</v>
      </c>
      <c r="G702">
        <v>118780.484</v>
      </c>
      <c r="H702">
        <v>118780.484</v>
      </c>
      <c r="I702">
        <v>3</v>
      </c>
      <c r="J702">
        <v>1</v>
      </c>
      <c r="K702">
        <v>1</v>
      </c>
      <c r="L702">
        <v>0.054</v>
      </c>
      <c r="M702">
        <v>431.689</v>
      </c>
      <c r="N702">
        <v>0.007</v>
      </c>
      <c r="O702">
        <v>0.046</v>
      </c>
      <c r="P702">
        <v>0</v>
      </c>
      <c r="Q702">
        <v>0.001</v>
      </c>
      <c r="R702">
        <v>0</v>
      </c>
      <c r="S702">
        <v>431.735</v>
      </c>
      <c r="T702">
        <v>429.058</v>
      </c>
      <c r="U702">
        <v>431.689</v>
      </c>
      <c r="V702">
        <v>429.005</v>
      </c>
    </row>
    <row r="703" spans="2:22">
      <c r="B703">
        <v>702</v>
      </c>
      <c r="C703" t="s">
        <v>723</v>
      </c>
      <c r="D703">
        <v>60</v>
      </c>
      <c r="E703">
        <v>6.903</v>
      </c>
      <c r="F703">
        <v>118834.898</v>
      </c>
      <c r="G703">
        <v>118838.508</v>
      </c>
      <c r="H703">
        <v>118842.125</v>
      </c>
      <c r="I703">
        <v>3</v>
      </c>
      <c r="J703">
        <v>1</v>
      </c>
      <c r="K703">
        <v>0</v>
      </c>
      <c r="L703">
        <v>0.021</v>
      </c>
      <c r="M703">
        <v>431.668</v>
      </c>
      <c r="N703">
        <v>0.021</v>
      </c>
      <c r="O703">
        <v>0</v>
      </c>
      <c r="P703">
        <v>0</v>
      </c>
      <c r="Q703">
        <v>0</v>
      </c>
      <c r="R703">
        <v>0</v>
      </c>
      <c r="S703" t="s">
        <v>22</v>
      </c>
      <c r="T703" t="s">
        <v>22</v>
      </c>
      <c r="U703">
        <v>431.668</v>
      </c>
      <c r="V703">
        <v>428.984</v>
      </c>
    </row>
    <row r="704" spans="2:22">
      <c r="B704">
        <v>703</v>
      </c>
      <c r="C704" t="s">
        <v>724</v>
      </c>
      <c r="D704">
        <v>0</v>
      </c>
      <c r="E704">
        <v>0</v>
      </c>
      <c r="F704">
        <v>118889.336</v>
      </c>
      <c r="G704">
        <v>118889.336</v>
      </c>
      <c r="H704">
        <v>118889.336</v>
      </c>
      <c r="I704">
        <v>3</v>
      </c>
      <c r="J704">
        <v>1</v>
      </c>
      <c r="K704">
        <v>2</v>
      </c>
      <c r="L704">
        <v>-0.006</v>
      </c>
      <c r="M704">
        <v>431.674</v>
      </c>
      <c r="N704">
        <v>0.018</v>
      </c>
      <c r="O704">
        <v>-0.024</v>
      </c>
      <c r="P704">
        <v>0</v>
      </c>
      <c r="Q704">
        <v>0</v>
      </c>
      <c r="R704">
        <v>0</v>
      </c>
      <c r="S704">
        <v>431.674</v>
      </c>
      <c r="T704">
        <v>428.997</v>
      </c>
      <c r="U704">
        <v>431.65</v>
      </c>
      <c r="V704">
        <v>428.966</v>
      </c>
    </row>
    <row r="705" spans="2:22">
      <c r="B705">
        <v>704</v>
      </c>
      <c r="C705" t="s">
        <v>725</v>
      </c>
      <c r="D705">
        <v>0</v>
      </c>
      <c r="E705">
        <v>0</v>
      </c>
      <c r="F705">
        <v>118923.211</v>
      </c>
      <c r="G705">
        <v>118923.211</v>
      </c>
      <c r="H705">
        <v>118923.211</v>
      </c>
      <c r="I705">
        <v>3</v>
      </c>
      <c r="J705">
        <v>1</v>
      </c>
      <c r="K705">
        <v>1</v>
      </c>
      <c r="L705">
        <v>0.05</v>
      </c>
      <c r="M705">
        <v>431.623</v>
      </c>
      <c r="N705">
        <v>0.004</v>
      </c>
      <c r="O705">
        <v>0.046</v>
      </c>
      <c r="P705">
        <v>0</v>
      </c>
      <c r="Q705">
        <v>0</v>
      </c>
      <c r="R705">
        <v>0</v>
      </c>
      <c r="S705">
        <v>431.669</v>
      </c>
      <c r="T705">
        <v>428.992</v>
      </c>
      <c r="U705">
        <v>431.623</v>
      </c>
      <c r="V705">
        <v>428.939</v>
      </c>
    </row>
    <row r="706" spans="2:22">
      <c r="B706">
        <v>705</v>
      </c>
      <c r="C706" t="s">
        <v>726</v>
      </c>
      <c r="D706">
        <v>60</v>
      </c>
      <c r="E706">
        <v>23.048</v>
      </c>
      <c r="F706">
        <v>119105.719</v>
      </c>
      <c r="G706">
        <v>119117.789</v>
      </c>
      <c r="H706">
        <v>119129.852</v>
      </c>
      <c r="I706">
        <v>3</v>
      </c>
      <c r="J706">
        <v>1</v>
      </c>
      <c r="K706">
        <v>0</v>
      </c>
      <c r="L706">
        <v>0.071</v>
      </c>
      <c r="M706">
        <v>431.552</v>
      </c>
      <c r="N706">
        <v>0.069</v>
      </c>
      <c r="O706">
        <v>0</v>
      </c>
      <c r="P706">
        <v>0.001</v>
      </c>
      <c r="Q706">
        <v>0</v>
      </c>
      <c r="R706">
        <v>0</v>
      </c>
      <c r="S706" t="s">
        <v>22</v>
      </c>
      <c r="T706" t="s">
        <v>22</v>
      </c>
      <c r="U706">
        <v>431.553</v>
      </c>
      <c r="V706">
        <v>428.869</v>
      </c>
    </row>
    <row r="707" spans="2:22">
      <c r="B707">
        <v>706</v>
      </c>
      <c r="C707" t="s">
        <v>727</v>
      </c>
      <c r="D707">
        <v>0</v>
      </c>
      <c r="E707">
        <v>0</v>
      </c>
      <c r="F707">
        <v>119162</v>
      </c>
      <c r="G707">
        <v>119162</v>
      </c>
      <c r="H707">
        <v>119162</v>
      </c>
      <c r="I707">
        <v>3</v>
      </c>
      <c r="J707">
        <v>1</v>
      </c>
      <c r="K707">
        <v>2</v>
      </c>
      <c r="L707">
        <v>-0.008</v>
      </c>
      <c r="M707">
        <v>431.561</v>
      </c>
      <c r="N707">
        <v>0.016</v>
      </c>
      <c r="O707">
        <v>-0.024</v>
      </c>
      <c r="P707">
        <v>0</v>
      </c>
      <c r="Q707">
        <v>0</v>
      </c>
      <c r="R707">
        <v>0</v>
      </c>
      <c r="S707">
        <v>431.561</v>
      </c>
      <c r="T707">
        <v>428.884</v>
      </c>
      <c r="U707">
        <v>431.537</v>
      </c>
      <c r="V707">
        <v>428.853</v>
      </c>
    </row>
    <row r="708" spans="2:22">
      <c r="B708">
        <v>707</v>
      </c>
      <c r="C708" t="s">
        <v>728</v>
      </c>
      <c r="D708">
        <v>0</v>
      </c>
      <c r="E708">
        <v>0</v>
      </c>
      <c r="F708">
        <v>119214.133</v>
      </c>
      <c r="G708">
        <v>119214.133</v>
      </c>
      <c r="H708">
        <v>119214.133</v>
      </c>
      <c r="I708">
        <v>3</v>
      </c>
      <c r="J708">
        <v>1</v>
      </c>
      <c r="K708">
        <v>1</v>
      </c>
      <c r="L708">
        <v>0.054</v>
      </c>
      <c r="M708">
        <v>431.507</v>
      </c>
      <c r="N708">
        <v>0.007</v>
      </c>
      <c r="O708">
        <v>0.046</v>
      </c>
      <c r="P708">
        <v>0</v>
      </c>
      <c r="Q708">
        <v>0.001</v>
      </c>
      <c r="R708">
        <v>0</v>
      </c>
      <c r="S708">
        <v>431.553</v>
      </c>
      <c r="T708">
        <v>428.876</v>
      </c>
      <c r="U708">
        <v>431.507</v>
      </c>
      <c r="V708">
        <v>428.823</v>
      </c>
    </row>
    <row r="709" spans="2:22">
      <c r="B709">
        <v>708</v>
      </c>
      <c r="C709" t="s">
        <v>729</v>
      </c>
      <c r="D709">
        <v>0</v>
      </c>
      <c r="E709">
        <v>0</v>
      </c>
      <c r="F709">
        <v>119520.352</v>
      </c>
      <c r="G709">
        <v>119520.352</v>
      </c>
      <c r="H709">
        <v>119520.352</v>
      </c>
      <c r="I709">
        <v>3</v>
      </c>
      <c r="J709">
        <v>1</v>
      </c>
      <c r="K709">
        <v>2</v>
      </c>
      <c r="L709">
        <v>0.085</v>
      </c>
      <c r="M709">
        <v>431.421</v>
      </c>
      <c r="N709">
        <v>0.109</v>
      </c>
      <c r="O709">
        <v>-0.024</v>
      </c>
      <c r="P709">
        <v>0</v>
      </c>
      <c r="Q709">
        <v>0</v>
      </c>
      <c r="R709">
        <v>0</v>
      </c>
      <c r="S709">
        <v>431.421</v>
      </c>
      <c r="T709">
        <v>428.744</v>
      </c>
      <c r="U709">
        <v>431.398</v>
      </c>
      <c r="V709">
        <v>428.714</v>
      </c>
    </row>
    <row r="710" spans="2:22">
      <c r="B710">
        <v>709</v>
      </c>
      <c r="C710" t="s">
        <v>730</v>
      </c>
      <c r="D710">
        <v>0</v>
      </c>
      <c r="E710">
        <v>0</v>
      </c>
      <c r="F710">
        <v>119563.336</v>
      </c>
      <c r="G710">
        <v>119563.336</v>
      </c>
      <c r="H710">
        <v>119563.336</v>
      </c>
      <c r="I710">
        <v>3</v>
      </c>
      <c r="J710">
        <v>1</v>
      </c>
      <c r="K710">
        <v>1</v>
      </c>
      <c r="L710">
        <v>0.052</v>
      </c>
      <c r="M710">
        <v>431.369</v>
      </c>
      <c r="N710">
        <v>0.005</v>
      </c>
      <c r="O710">
        <v>0.046</v>
      </c>
      <c r="P710">
        <v>0</v>
      </c>
      <c r="Q710">
        <v>0.001</v>
      </c>
      <c r="R710">
        <v>0</v>
      </c>
      <c r="S710">
        <v>431.415</v>
      </c>
      <c r="T710">
        <v>428.738</v>
      </c>
      <c r="U710">
        <v>431.369</v>
      </c>
      <c r="V710">
        <v>428.685</v>
      </c>
    </row>
    <row r="711" spans="2:22">
      <c r="B711">
        <v>710</v>
      </c>
      <c r="C711" t="s">
        <v>731</v>
      </c>
      <c r="D711">
        <v>0</v>
      </c>
      <c r="E711">
        <v>0</v>
      </c>
      <c r="F711">
        <v>119884.477</v>
      </c>
      <c r="G711">
        <v>119884.477</v>
      </c>
      <c r="H711">
        <v>119884.477</v>
      </c>
      <c r="I711">
        <v>3</v>
      </c>
      <c r="J711">
        <v>1</v>
      </c>
      <c r="K711">
        <v>2</v>
      </c>
      <c r="L711">
        <v>0.091</v>
      </c>
      <c r="M711">
        <v>431.279</v>
      </c>
      <c r="N711">
        <v>0.115</v>
      </c>
      <c r="O711">
        <v>-0.024</v>
      </c>
      <c r="P711">
        <v>0</v>
      </c>
      <c r="Q711">
        <v>0</v>
      </c>
      <c r="R711">
        <v>0</v>
      </c>
      <c r="S711">
        <v>431.279</v>
      </c>
      <c r="T711">
        <v>428.602</v>
      </c>
      <c r="U711">
        <v>431.255</v>
      </c>
      <c r="V711">
        <v>428.571</v>
      </c>
    </row>
    <row r="712" spans="2:22">
      <c r="B712">
        <v>711</v>
      </c>
      <c r="C712" t="s">
        <v>732</v>
      </c>
      <c r="D712">
        <v>0</v>
      </c>
      <c r="E712">
        <v>0</v>
      </c>
      <c r="F712">
        <v>119937.227</v>
      </c>
      <c r="G712">
        <v>119937.227</v>
      </c>
      <c r="H712">
        <v>119937.227</v>
      </c>
      <c r="I712">
        <v>3</v>
      </c>
      <c r="J712">
        <v>1</v>
      </c>
      <c r="K712">
        <v>1</v>
      </c>
      <c r="L712">
        <v>0.054</v>
      </c>
      <c r="M712">
        <v>431.225</v>
      </c>
      <c r="N712">
        <v>0.007</v>
      </c>
      <c r="O712">
        <v>0.046</v>
      </c>
      <c r="P712">
        <v>0</v>
      </c>
      <c r="Q712">
        <v>0.001</v>
      </c>
      <c r="R712">
        <v>0</v>
      </c>
      <c r="S712">
        <v>431.271</v>
      </c>
      <c r="T712">
        <v>428.594</v>
      </c>
      <c r="U712">
        <v>431.225</v>
      </c>
      <c r="V712">
        <v>428.541</v>
      </c>
    </row>
    <row r="713" spans="2:22">
      <c r="B713">
        <v>712</v>
      </c>
      <c r="C713" t="s">
        <v>733</v>
      </c>
      <c r="D713">
        <v>60</v>
      </c>
      <c r="E713">
        <v>20.178</v>
      </c>
      <c r="F713">
        <v>120311.039</v>
      </c>
      <c r="G713">
        <v>120321.609</v>
      </c>
      <c r="H713">
        <v>120332.172</v>
      </c>
      <c r="I713">
        <v>3</v>
      </c>
      <c r="J713">
        <v>1</v>
      </c>
      <c r="K713">
        <v>0</v>
      </c>
      <c r="L713">
        <v>0.139</v>
      </c>
      <c r="M713">
        <v>431.086</v>
      </c>
      <c r="N713">
        <v>0.137</v>
      </c>
      <c r="O713">
        <v>0</v>
      </c>
      <c r="P713">
        <v>0.001</v>
      </c>
      <c r="Q713">
        <v>0</v>
      </c>
      <c r="R713">
        <v>0</v>
      </c>
      <c r="S713" t="s">
        <v>22</v>
      </c>
      <c r="T713" t="s">
        <v>22</v>
      </c>
      <c r="U713">
        <v>431.087</v>
      </c>
      <c r="V713">
        <v>428.403</v>
      </c>
    </row>
    <row r="714" spans="2:22">
      <c r="B714">
        <v>713</v>
      </c>
      <c r="C714" t="s">
        <v>734</v>
      </c>
      <c r="D714">
        <v>0</v>
      </c>
      <c r="E714">
        <v>0</v>
      </c>
      <c r="F714">
        <v>120361.273</v>
      </c>
      <c r="G714">
        <v>120361.273</v>
      </c>
      <c r="H714">
        <v>120361.273</v>
      </c>
      <c r="I714">
        <v>3</v>
      </c>
      <c r="J714">
        <v>1</v>
      </c>
      <c r="K714">
        <v>2</v>
      </c>
      <c r="L714">
        <v>-0.01</v>
      </c>
      <c r="M714">
        <v>431.096</v>
      </c>
      <c r="N714">
        <v>0.014</v>
      </c>
      <c r="O714">
        <v>-0.024</v>
      </c>
      <c r="P714">
        <v>0</v>
      </c>
      <c r="Q714">
        <v>0</v>
      </c>
      <c r="R714">
        <v>0</v>
      </c>
      <c r="S714">
        <v>431.096</v>
      </c>
      <c r="T714">
        <v>428.419</v>
      </c>
      <c r="U714">
        <v>431.072</v>
      </c>
      <c r="V714">
        <v>428.388</v>
      </c>
    </row>
    <row r="715" spans="2:22">
      <c r="B715">
        <v>714</v>
      </c>
      <c r="C715" t="s">
        <v>735</v>
      </c>
      <c r="D715">
        <v>0</v>
      </c>
      <c r="E715">
        <v>0</v>
      </c>
      <c r="F715">
        <v>120420.617</v>
      </c>
      <c r="G715">
        <v>120420.617</v>
      </c>
      <c r="H715">
        <v>120420.617</v>
      </c>
      <c r="I715">
        <v>3</v>
      </c>
      <c r="J715">
        <v>1</v>
      </c>
      <c r="K715">
        <v>1</v>
      </c>
      <c r="L715">
        <v>0.055</v>
      </c>
      <c r="M715">
        <v>431.041</v>
      </c>
      <c r="N715">
        <v>0.008</v>
      </c>
      <c r="O715">
        <v>0.046</v>
      </c>
      <c r="P715">
        <v>0</v>
      </c>
      <c r="Q715">
        <v>0.001</v>
      </c>
      <c r="R715">
        <v>0</v>
      </c>
      <c r="S715">
        <v>431.087</v>
      </c>
      <c r="T715">
        <v>428.41</v>
      </c>
      <c r="U715">
        <v>431.041</v>
      </c>
      <c r="V715">
        <v>428.357</v>
      </c>
    </row>
    <row r="716" spans="2:22">
      <c r="B716">
        <v>715</v>
      </c>
      <c r="C716" t="s">
        <v>736</v>
      </c>
      <c r="D716">
        <v>60</v>
      </c>
      <c r="E716">
        <v>54.205</v>
      </c>
      <c r="F716">
        <v>120446.656</v>
      </c>
      <c r="G716">
        <v>120475.039</v>
      </c>
      <c r="H716">
        <v>120503.422</v>
      </c>
      <c r="I716">
        <v>3</v>
      </c>
      <c r="J716">
        <v>1</v>
      </c>
      <c r="K716">
        <v>0</v>
      </c>
      <c r="L716">
        <v>0.023</v>
      </c>
      <c r="M716">
        <v>431.018</v>
      </c>
      <c r="N716">
        <v>0.019</v>
      </c>
      <c r="O716">
        <v>0</v>
      </c>
      <c r="P716">
        <v>0.003</v>
      </c>
      <c r="Q716">
        <v>0</v>
      </c>
      <c r="R716">
        <v>0</v>
      </c>
      <c r="S716" t="s">
        <v>22</v>
      </c>
      <c r="T716" t="s">
        <v>22</v>
      </c>
      <c r="U716">
        <v>431.02</v>
      </c>
      <c r="V716">
        <v>428.336</v>
      </c>
    </row>
    <row r="717" spans="2:22">
      <c r="B717">
        <v>716</v>
      </c>
      <c r="C717" t="s">
        <v>737</v>
      </c>
      <c r="D717">
        <v>0</v>
      </c>
      <c r="E717">
        <v>0</v>
      </c>
      <c r="F717">
        <v>120791.516</v>
      </c>
      <c r="G717">
        <v>120791.516</v>
      </c>
      <c r="H717">
        <v>120791.516</v>
      </c>
      <c r="I717">
        <v>3</v>
      </c>
      <c r="J717">
        <v>1</v>
      </c>
      <c r="K717">
        <v>2</v>
      </c>
      <c r="L717">
        <v>0.089</v>
      </c>
      <c r="M717">
        <v>430.929</v>
      </c>
      <c r="N717">
        <v>0.113</v>
      </c>
      <c r="O717">
        <v>-0.024</v>
      </c>
      <c r="P717">
        <v>0</v>
      </c>
      <c r="Q717">
        <v>0</v>
      </c>
      <c r="R717">
        <v>0</v>
      </c>
      <c r="S717">
        <v>430.929</v>
      </c>
      <c r="T717">
        <v>428.252</v>
      </c>
      <c r="U717">
        <v>430.905</v>
      </c>
      <c r="V717">
        <v>428.221</v>
      </c>
    </row>
    <row r="718" spans="2:22">
      <c r="B718">
        <v>717</v>
      </c>
      <c r="C718" t="s">
        <v>738</v>
      </c>
      <c r="D718">
        <v>0</v>
      </c>
      <c r="E718">
        <v>0</v>
      </c>
      <c r="F718">
        <v>120812.117</v>
      </c>
      <c r="G718">
        <v>120812.117</v>
      </c>
      <c r="H718">
        <v>120812.117</v>
      </c>
      <c r="I718">
        <v>2</v>
      </c>
      <c r="J718">
        <v>1</v>
      </c>
      <c r="K718">
        <v>1</v>
      </c>
      <c r="L718">
        <v>0.088</v>
      </c>
      <c r="M718">
        <v>430.842</v>
      </c>
      <c r="N718">
        <v>0.002</v>
      </c>
      <c r="O718">
        <v>0.086</v>
      </c>
      <c r="P718">
        <v>0</v>
      </c>
      <c r="Q718">
        <v>0</v>
      </c>
      <c r="R718">
        <v>0</v>
      </c>
      <c r="S718">
        <v>430.927</v>
      </c>
      <c r="T718">
        <v>428.25</v>
      </c>
      <c r="U718">
        <v>430.842</v>
      </c>
      <c r="V718">
        <v>428.148</v>
      </c>
    </row>
    <row r="719" spans="2:22">
      <c r="B719">
        <v>718</v>
      </c>
      <c r="C719" t="s">
        <v>739</v>
      </c>
      <c r="D719">
        <v>0</v>
      </c>
      <c r="E719">
        <v>0</v>
      </c>
      <c r="F719">
        <v>120886.531</v>
      </c>
      <c r="G719">
        <v>120886.531</v>
      </c>
      <c r="H719">
        <v>120886.531</v>
      </c>
      <c r="I719">
        <v>2</v>
      </c>
      <c r="J719">
        <v>1</v>
      </c>
      <c r="K719">
        <v>2</v>
      </c>
      <c r="L719">
        <v>-0.011</v>
      </c>
      <c r="M719">
        <v>430.853</v>
      </c>
      <c r="N719">
        <v>0.034</v>
      </c>
      <c r="O719">
        <v>-0.045</v>
      </c>
      <c r="P719">
        <v>0</v>
      </c>
      <c r="Q719">
        <v>0</v>
      </c>
      <c r="R719">
        <v>0</v>
      </c>
      <c r="S719">
        <v>430.853</v>
      </c>
      <c r="T719">
        <v>428.176</v>
      </c>
      <c r="U719">
        <v>430.808</v>
      </c>
      <c r="V719">
        <v>428.114</v>
      </c>
    </row>
    <row r="720" spans="2:22">
      <c r="B720">
        <v>719</v>
      </c>
      <c r="C720" t="s">
        <v>740</v>
      </c>
      <c r="D720">
        <v>0</v>
      </c>
      <c r="E720">
        <v>0</v>
      </c>
      <c r="F720">
        <v>120898.367</v>
      </c>
      <c r="G720">
        <v>120898.367</v>
      </c>
      <c r="H720">
        <v>120898.367</v>
      </c>
      <c r="I720">
        <v>3</v>
      </c>
      <c r="J720">
        <v>1</v>
      </c>
      <c r="K720">
        <v>1</v>
      </c>
      <c r="L720">
        <v>0.046</v>
      </c>
      <c r="M720">
        <v>430.806</v>
      </c>
      <c r="N720">
        <v>0</v>
      </c>
      <c r="O720">
        <v>0.046</v>
      </c>
      <c r="P720">
        <v>0</v>
      </c>
      <c r="Q720">
        <v>0</v>
      </c>
      <c r="R720">
        <v>0</v>
      </c>
      <c r="S720">
        <v>430.852</v>
      </c>
      <c r="T720">
        <v>428.175</v>
      </c>
      <c r="U720">
        <v>430.806</v>
      </c>
      <c r="V720">
        <v>428.122</v>
      </c>
    </row>
    <row r="721" spans="2:22">
      <c r="B721">
        <v>720</v>
      </c>
      <c r="C721" t="s">
        <v>741</v>
      </c>
      <c r="D721">
        <v>0</v>
      </c>
      <c r="E721">
        <v>0</v>
      </c>
      <c r="F721">
        <v>121083.68</v>
      </c>
      <c r="G721">
        <v>121083.68</v>
      </c>
      <c r="H721">
        <v>121083.68</v>
      </c>
      <c r="I721">
        <v>3</v>
      </c>
      <c r="J721">
        <v>1</v>
      </c>
      <c r="K721">
        <v>2</v>
      </c>
      <c r="L721">
        <v>0.042</v>
      </c>
      <c r="M721">
        <v>430.764</v>
      </c>
      <c r="N721">
        <v>0.066</v>
      </c>
      <c r="O721">
        <v>-0.024</v>
      </c>
      <c r="P721">
        <v>0</v>
      </c>
      <c r="Q721">
        <v>0</v>
      </c>
      <c r="R721">
        <v>0</v>
      </c>
      <c r="S721">
        <v>430.764</v>
      </c>
      <c r="T721">
        <v>428.087</v>
      </c>
      <c r="U721">
        <v>430.74</v>
      </c>
      <c r="V721">
        <v>428.056</v>
      </c>
    </row>
    <row r="722" spans="2:22">
      <c r="B722">
        <v>721</v>
      </c>
      <c r="C722" t="s">
        <v>742</v>
      </c>
      <c r="D722">
        <v>30</v>
      </c>
      <c r="E722">
        <v>34.605</v>
      </c>
      <c r="F722">
        <v>121094.109</v>
      </c>
      <c r="G722">
        <v>121103.172</v>
      </c>
      <c r="H722">
        <v>121112.234</v>
      </c>
      <c r="I722">
        <v>1</v>
      </c>
      <c r="J722">
        <v>2</v>
      </c>
      <c r="K722">
        <v>0</v>
      </c>
      <c r="L722">
        <v>0.004</v>
      </c>
      <c r="M722">
        <v>430.761</v>
      </c>
      <c r="N722">
        <v>0.002</v>
      </c>
      <c r="O722">
        <v>0</v>
      </c>
      <c r="P722">
        <v>0.001</v>
      </c>
      <c r="Q722">
        <v>0</v>
      </c>
      <c r="R722">
        <v>0</v>
      </c>
      <c r="S722" t="s">
        <v>22</v>
      </c>
      <c r="T722" t="s">
        <v>22</v>
      </c>
      <c r="U722">
        <v>430.761</v>
      </c>
      <c r="V722">
        <v>428.084</v>
      </c>
    </row>
    <row r="723" spans="2:22">
      <c r="B723">
        <v>722</v>
      </c>
      <c r="C723" t="s">
        <v>743</v>
      </c>
      <c r="D723">
        <v>0</v>
      </c>
      <c r="E723">
        <v>0</v>
      </c>
      <c r="F723">
        <v>121137</v>
      </c>
      <c r="G723">
        <v>121137</v>
      </c>
      <c r="H723">
        <v>121137</v>
      </c>
      <c r="I723">
        <v>3</v>
      </c>
      <c r="J723">
        <v>1</v>
      </c>
      <c r="K723">
        <v>1</v>
      </c>
      <c r="L723">
        <v>0.051</v>
      </c>
      <c r="M723">
        <v>430.709</v>
      </c>
      <c r="N723">
        <v>0.005</v>
      </c>
      <c r="O723">
        <v>0.046</v>
      </c>
      <c r="P723">
        <v>0</v>
      </c>
      <c r="Q723">
        <v>0.001</v>
      </c>
      <c r="R723">
        <v>0</v>
      </c>
      <c r="S723">
        <v>430.755</v>
      </c>
      <c r="T723">
        <v>428.078</v>
      </c>
      <c r="U723">
        <v>430.709</v>
      </c>
      <c r="V723">
        <v>428.025</v>
      </c>
    </row>
    <row r="724" spans="2:22">
      <c r="B724">
        <v>723</v>
      </c>
      <c r="C724" t="s">
        <v>744</v>
      </c>
      <c r="D724">
        <v>0</v>
      </c>
      <c r="E724">
        <v>0</v>
      </c>
      <c r="F724">
        <v>121242.492</v>
      </c>
      <c r="G724">
        <v>121242.492</v>
      </c>
      <c r="H724">
        <v>121242.492</v>
      </c>
      <c r="I724">
        <v>3</v>
      </c>
      <c r="J724">
        <v>1</v>
      </c>
      <c r="K724">
        <v>2</v>
      </c>
      <c r="L724">
        <v>0.014</v>
      </c>
      <c r="M724">
        <v>430.696</v>
      </c>
      <c r="N724">
        <v>0.038</v>
      </c>
      <c r="O724">
        <v>-0.024</v>
      </c>
      <c r="P724">
        <v>0</v>
      </c>
      <c r="Q724">
        <v>0</v>
      </c>
      <c r="R724">
        <v>0</v>
      </c>
      <c r="S724">
        <v>430.696</v>
      </c>
      <c r="T724">
        <v>428.019</v>
      </c>
      <c r="U724">
        <v>430.672</v>
      </c>
      <c r="V724">
        <v>427.988</v>
      </c>
    </row>
    <row r="725" spans="2:22">
      <c r="B725">
        <v>724</v>
      </c>
      <c r="C725" t="s">
        <v>745</v>
      </c>
      <c r="D725">
        <v>40</v>
      </c>
      <c r="E725">
        <v>32.297</v>
      </c>
      <c r="F725">
        <v>121266.594</v>
      </c>
      <c r="G725">
        <v>121277.867</v>
      </c>
      <c r="H725">
        <v>121289.141</v>
      </c>
      <c r="I725">
        <v>1</v>
      </c>
      <c r="J725">
        <v>2</v>
      </c>
      <c r="K725">
        <v>0</v>
      </c>
      <c r="L725">
        <v>0.007</v>
      </c>
      <c r="M725">
        <v>430.689</v>
      </c>
      <c r="N725">
        <v>0.005</v>
      </c>
      <c r="O725">
        <v>0</v>
      </c>
      <c r="P725">
        <v>0.001</v>
      </c>
      <c r="Q725">
        <v>0.001</v>
      </c>
      <c r="R725">
        <v>0</v>
      </c>
      <c r="S725" t="s">
        <v>22</v>
      </c>
      <c r="T725" t="s">
        <v>22</v>
      </c>
      <c r="U725">
        <v>430.689</v>
      </c>
      <c r="V725">
        <v>428.012</v>
      </c>
    </row>
    <row r="726" spans="2:22">
      <c r="B726">
        <v>725</v>
      </c>
      <c r="C726" t="s">
        <v>746</v>
      </c>
      <c r="D726">
        <v>40</v>
      </c>
      <c r="E726">
        <v>18.321</v>
      </c>
      <c r="F726">
        <v>121378.414</v>
      </c>
      <c r="G726">
        <v>121384.805</v>
      </c>
      <c r="H726">
        <v>121391.203</v>
      </c>
      <c r="I726">
        <v>1</v>
      </c>
      <c r="J726">
        <v>2</v>
      </c>
      <c r="K726">
        <v>0</v>
      </c>
      <c r="L726">
        <v>0.02</v>
      </c>
      <c r="M726">
        <v>430.668</v>
      </c>
      <c r="N726">
        <v>0.018</v>
      </c>
      <c r="O726">
        <v>0</v>
      </c>
      <c r="P726">
        <v>0.001</v>
      </c>
      <c r="Q726">
        <v>0.002</v>
      </c>
      <c r="R726">
        <v>0</v>
      </c>
      <c r="S726" t="s">
        <v>22</v>
      </c>
      <c r="T726" t="s">
        <v>22</v>
      </c>
      <c r="U726">
        <v>430.669</v>
      </c>
      <c r="V726">
        <v>427.992</v>
      </c>
    </row>
    <row r="727" spans="2:22">
      <c r="B727">
        <v>726</v>
      </c>
      <c r="C727" t="s">
        <v>747</v>
      </c>
      <c r="D727">
        <v>0</v>
      </c>
      <c r="E727">
        <v>0</v>
      </c>
      <c r="F727">
        <v>121413.703</v>
      </c>
      <c r="G727">
        <v>121413.703</v>
      </c>
      <c r="H727">
        <v>121413.703</v>
      </c>
      <c r="I727">
        <v>2</v>
      </c>
      <c r="J727">
        <v>1</v>
      </c>
      <c r="K727">
        <v>1</v>
      </c>
      <c r="L727">
        <v>0.09</v>
      </c>
      <c r="M727">
        <v>430.578</v>
      </c>
      <c r="N727">
        <v>0.004</v>
      </c>
      <c r="O727">
        <v>0.086</v>
      </c>
      <c r="P727">
        <v>0</v>
      </c>
      <c r="Q727">
        <v>0</v>
      </c>
      <c r="R727">
        <v>0</v>
      </c>
      <c r="S727">
        <v>430.664</v>
      </c>
      <c r="T727">
        <v>427.987</v>
      </c>
      <c r="U727">
        <v>430.578</v>
      </c>
      <c r="V727">
        <v>427.884</v>
      </c>
    </row>
    <row r="728" spans="2:22">
      <c r="B728">
        <v>727</v>
      </c>
      <c r="C728" t="s">
        <v>748</v>
      </c>
      <c r="D728">
        <v>0</v>
      </c>
      <c r="E728">
        <v>0</v>
      </c>
      <c r="F728">
        <v>121545.305</v>
      </c>
      <c r="G728">
        <v>121545.305</v>
      </c>
      <c r="H728">
        <v>121545.305</v>
      </c>
      <c r="I728">
        <v>2</v>
      </c>
      <c r="J728">
        <v>1</v>
      </c>
      <c r="K728">
        <v>2</v>
      </c>
      <c r="L728">
        <v>0.015</v>
      </c>
      <c r="M728">
        <v>430.563</v>
      </c>
      <c r="N728">
        <v>0.06</v>
      </c>
      <c r="O728">
        <v>-0.045</v>
      </c>
      <c r="P728">
        <v>0</v>
      </c>
      <c r="Q728">
        <v>0</v>
      </c>
      <c r="R728">
        <v>0</v>
      </c>
      <c r="S728">
        <v>430.563</v>
      </c>
      <c r="T728">
        <v>427.886</v>
      </c>
      <c r="U728">
        <v>430.519</v>
      </c>
      <c r="V728">
        <v>427.825</v>
      </c>
    </row>
    <row r="729" spans="2:22">
      <c r="B729">
        <v>728</v>
      </c>
      <c r="C729" t="s">
        <v>749</v>
      </c>
      <c r="D729">
        <v>30</v>
      </c>
      <c r="E729">
        <v>11.846</v>
      </c>
      <c r="F729">
        <v>121554.133</v>
      </c>
      <c r="G729">
        <v>121557.234</v>
      </c>
      <c r="H729">
        <v>121560.336</v>
      </c>
      <c r="I729">
        <v>1</v>
      </c>
      <c r="J729">
        <v>2</v>
      </c>
      <c r="K729">
        <v>0</v>
      </c>
      <c r="L729">
        <v>0.002</v>
      </c>
      <c r="M729">
        <v>430.562</v>
      </c>
      <c r="N729">
        <v>0.001</v>
      </c>
      <c r="O729">
        <v>0</v>
      </c>
      <c r="P729">
        <v>0</v>
      </c>
      <c r="Q729">
        <v>0</v>
      </c>
      <c r="R729">
        <v>0</v>
      </c>
      <c r="S729" t="s">
        <v>22</v>
      </c>
      <c r="T729" t="s">
        <v>22</v>
      </c>
      <c r="U729">
        <v>430.562</v>
      </c>
      <c r="V729">
        <v>427.885</v>
      </c>
    </row>
    <row r="730" spans="2:22">
      <c r="B730">
        <v>729</v>
      </c>
      <c r="C730" t="s">
        <v>750</v>
      </c>
      <c r="D730">
        <v>30</v>
      </c>
      <c r="E730">
        <v>24.87</v>
      </c>
      <c r="F730">
        <v>121617.586</v>
      </c>
      <c r="G730">
        <v>121624.094</v>
      </c>
      <c r="H730">
        <v>121630.609</v>
      </c>
      <c r="I730">
        <v>1</v>
      </c>
      <c r="J730">
        <v>2</v>
      </c>
      <c r="K730">
        <v>0</v>
      </c>
      <c r="L730">
        <v>0.013</v>
      </c>
      <c r="M730">
        <v>430.549</v>
      </c>
      <c r="N730">
        <v>0.011</v>
      </c>
      <c r="O730">
        <v>0</v>
      </c>
      <c r="P730">
        <v>0.001</v>
      </c>
      <c r="Q730">
        <v>0.001</v>
      </c>
      <c r="R730">
        <v>0</v>
      </c>
      <c r="S730" t="s">
        <v>22</v>
      </c>
      <c r="T730" t="s">
        <v>22</v>
      </c>
      <c r="U730">
        <v>430.549</v>
      </c>
      <c r="V730">
        <v>427.872</v>
      </c>
    </row>
    <row r="731" spans="2:22">
      <c r="B731">
        <v>730</v>
      </c>
      <c r="C731" t="s">
        <v>751</v>
      </c>
      <c r="D731">
        <v>30</v>
      </c>
      <c r="E731">
        <v>24.665</v>
      </c>
      <c r="F731">
        <v>121729.711</v>
      </c>
      <c r="G731">
        <v>121736.172</v>
      </c>
      <c r="H731">
        <v>121742.633</v>
      </c>
      <c r="I731">
        <v>1</v>
      </c>
      <c r="J731">
        <v>2</v>
      </c>
      <c r="K731">
        <v>0</v>
      </c>
      <c r="L731">
        <v>0.022</v>
      </c>
      <c r="M731">
        <v>430.527</v>
      </c>
      <c r="N731">
        <v>0.019</v>
      </c>
      <c r="O731">
        <v>0</v>
      </c>
      <c r="P731">
        <v>0.001</v>
      </c>
      <c r="Q731">
        <v>0.002</v>
      </c>
      <c r="R731">
        <v>0</v>
      </c>
      <c r="S731" t="s">
        <v>22</v>
      </c>
      <c r="T731" t="s">
        <v>22</v>
      </c>
      <c r="U731">
        <v>430.527</v>
      </c>
      <c r="V731">
        <v>427.85</v>
      </c>
    </row>
    <row r="732" spans="2:22">
      <c r="B732">
        <v>731</v>
      </c>
      <c r="C732" t="s">
        <v>752</v>
      </c>
      <c r="D732">
        <v>30</v>
      </c>
      <c r="E732">
        <v>36.295</v>
      </c>
      <c r="F732">
        <v>121774.852</v>
      </c>
      <c r="G732">
        <v>121784.352</v>
      </c>
      <c r="H732">
        <v>121793.852</v>
      </c>
      <c r="I732">
        <v>1</v>
      </c>
      <c r="J732">
        <v>2</v>
      </c>
      <c r="K732">
        <v>0</v>
      </c>
      <c r="L732">
        <v>0.01</v>
      </c>
      <c r="M732">
        <v>430.517</v>
      </c>
      <c r="N732">
        <v>0.008</v>
      </c>
      <c r="O732">
        <v>0</v>
      </c>
      <c r="P732">
        <v>0.001</v>
      </c>
      <c r="Q732">
        <v>0.001</v>
      </c>
      <c r="R732">
        <v>0</v>
      </c>
      <c r="S732" t="s">
        <v>22</v>
      </c>
      <c r="T732" t="s">
        <v>22</v>
      </c>
      <c r="U732">
        <v>430.518</v>
      </c>
      <c r="V732">
        <v>427.841</v>
      </c>
    </row>
    <row r="733" spans="2:22">
      <c r="B733">
        <v>732</v>
      </c>
      <c r="C733" t="s">
        <v>753</v>
      </c>
      <c r="D733">
        <v>30</v>
      </c>
      <c r="E733">
        <v>9.69</v>
      </c>
      <c r="F733">
        <v>121840.664</v>
      </c>
      <c r="G733">
        <v>121843.203</v>
      </c>
      <c r="H733">
        <v>121845.742</v>
      </c>
      <c r="I733">
        <v>1</v>
      </c>
      <c r="J733">
        <v>2</v>
      </c>
      <c r="K733">
        <v>0</v>
      </c>
      <c r="L733">
        <v>0.011</v>
      </c>
      <c r="M733">
        <v>430.506</v>
      </c>
      <c r="N733">
        <v>0.01</v>
      </c>
      <c r="O733">
        <v>0</v>
      </c>
      <c r="P733">
        <v>0</v>
      </c>
      <c r="Q733">
        <v>0.001</v>
      </c>
      <c r="R733">
        <v>0</v>
      </c>
      <c r="S733" t="s">
        <v>22</v>
      </c>
      <c r="T733" t="s">
        <v>22</v>
      </c>
      <c r="U733">
        <v>430.506</v>
      </c>
      <c r="V733">
        <v>427.829</v>
      </c>
    </row>
    <row r="734" spans="2:22">
      <c r="B734">
        <v>733</v>
      </c>
      <c r="C734" t="s">
        <v>754</v>
      </c>
      <c r="D734">
        <v>30</v>
      </c>
      <c r="E734">
        <v>24.946</v>
      </c>
      <c r="F734">
        <v>121897.594</v>
      </c>
      <c r="G734">
        <v>121904.125</v>
      </c>
      <c r="H734">
        <v>121910.656</v>
      </c>
      <c r="I734">
        <v>1</v>
      </c>
      <c r="J734">
        <v>2</v>
      </c>
      <c r="K734">
        <v>0</v>
      </c>
      <c r="L734">
        <v>0.012</v>
      </c>
      <c r="M734">
        <v>430.494</v>
      </c>
      <c r="N734">
        <v>0.01</v>
      </c>
      <c r="O734">
        <v>0</v>
      </c>
      <c r="P734">
        <v>0.001</v>
      </c>
      <c r="Q734">
        <v>0.001</v>
      </c>
      <c r="R734">
        <v>0</v>
      </c>
      <c r="S734" t="s">
        <v>22</v>
      </c>
      <c r="T734" t="s">
        <v>22</v>
      </c>
      <c r="U734">
        <v>430.494</v>
      </c>
      <c r="V734">
        <v>427.817</v>
      </c>
    </row>
    <row r="735" spans="2:22">
      <c r="B735">
        <v>734</v>
      </c>
      <c r="C735" t="s">
        <v>755</v>
      </c>
      <c r="D735">
        <v>0</v>
      </c>
      <c r="E735">
        <v>0</v>
      </c>
      <c r="F735">
        <v>121931.305</v>
      </c>
      <c r="G735">
        <v>121931.305</v>
      </c>
      <c r="H735">
        <v>121931.305</v>
      </c>
      <c r="I735">
        <v>3</v>
      </c>
      <c r="J735">
        <v>1</v>
      </c>
      <c r="K735">
        <v>1</v>
      </c>
      <c r="L735">
        <v>0.05</v>
      </c>
      <c r="M735">
        <v>430.444</v>
      </c>
      <c r="N735">
        <v>0.004</v>
      </c>
      <c r="O735">
        <v>0.046</v>
      </c>
      <c r="P735">
        <v>0</v>
      </c>
      <c r="Q735">
        <v>0</v>
      </c>
      <c r="R735">
        <v>0</v>
      </c>
      <c r="S735">
        <v>430.49</v>
      </c>
      <c r="T735">
        <v>427.813</v>
      </c>
      <c r="U735">
        <v>430.444</v>
      </c>
      <c r="V735">
        <v>427.76</v>
      </c>
    </row>
    <row r="736" spans="2:22">
      <c r="B736">
        <v>735</v>
      </c>
      <c r="C736" t="s">
        <v>756</v>
      </c>
      <c r="D736">
        <v>40</v>
      </c>
      <c r="E736">
        <v>45.812</v>
      </c>
      <c r="F736">
        <v>122192.281</v>
      </c>
      <c r="G736">
        <v>122208.273</v>
      </c>
      <c r="H736">
        <v>122224.266</v>
      </c>
      <c r="I736">
        <v>3</v>
      </c>
      <c r="J736">
        <v>1</v>
      </c>
      <c r="K736">
        <v>0</v>
      </c>
      <c r="L736">
        <v>0.101</v>
      </c>
      <c r="M736">
        <v>430.343</v>
      </c>
      <c r="N736">
        <v>0.099</v>
      </c>
      <c r="O736">
        <v>0</v>
      </c>
      <c r="P736">
        <v>0.002</v>
      </c>
      <c r="Q736">
        <v>0</v>
      </c>
      <c r="R736">
        <v>0</v>
      </c>
      <c r="S736" t="s">
        <v>22</v>
      </c>
      <c r="T736" t="s">
        <v>22</v>
      </c>
      <c r="U736">
        <v>430.344</v>
      </c>
      <c r="V736">
        <v>427.66</v>
      </c>
    </row>
    <row r="737" spans="2:22">
      <c r="B737">
        <v>736</v>
      </c>
      <c r="C737" t="s">
        <v>757</v>
      </c>
      <c r="D737">
        <v>0</v>
      </c>
      <c r="E737">
        <v>0</v>
      </c>
      <c r="F737">
        <v>122245.086</v>
      </c>
      <c r="G737">
        <v>122245.086</v>
      </c>
      <c r="H737">
        <v>122245.086</v>
      </c>
      <c r="I737">
        <v>3</v>
      </c>
      <c r="J737">
        <v>1</v>
      </c>
      <c r="K737">
        <v>2</v>
      </c>
      <c r="L737">
        <v>-0.011</v>
      </c>
      <c r="M737">
        <v>430.353</v>
      </c>
      <c r="N737">
        <v>0.013</v>
      </c>
      <c r="O737">
        <v>-0.024</v>
      </c>
      <c r="P737">
        <v>0</v>
      </c>
      <c r="Q737">
        <v>0</v>
      </c>
      <c r="R737">
        <v>0</v>
      </c>
      <c r="S737">
        <v>430.353</v>
      </c>
      <c r="T737">
        <v>427.676</v>
      </c>
      <c r="U737">
        <v>430.33</v>
      </c>
      <c r="V737">
        <v>427.646</v>
      </c>
    </row>
    <row r="738" spans="2:22">
      <c r="B738">
        <v>737</v>
      </c>
      <c r="C738" t="s">
        <v>758</v>
      </c>
      <c r="D738">
        <v>0</v>
      </c>
      <c r="E738">
        <v>0</v>
      </c>
      <c r="F738">
        <v>122300.766</v>
      </c>
      <c r="G738">
        <v>122300.766</v>
      </c>
      <c r="H738">
        <v>122300.766</v>
      </c>
      <c r="I738">
        <v>3</v>
      </c>
      <c r="J738">
        <v>1</v>
      </c>
      <c r="K738">
        <v>1</v>
      </c>
      <c r="L738">
        <v>0.054</v>
      </c>
      <c r="M738">
        <v>430.299</v>
      </c>
      <c r="N738">
        <v>0.008</v>
      </c>
      <c r="O738">
        <v>0.046</v>
      </c>
      <c r="P738">
        <v>0</v>
      </c>
      <c r="Q738">
        <v>0.001</v>
      </c>
      <c r="R738">
        <v>0</v>
      </c>
      <c r="S738">
        <v>430.345</v>
      </c>
      <c r="T738">
        <v>427.668</v>
      </c>
      <c r="U738">
        <v>430.299</v>
      </c>
      <c r="V738">
        <v>427.615</v>
      </c>
    </row>
    <row r="739" spans="2:22">
      <c r="B739">
        <v>738</v>
      </c>
      <c r="C739" t="s">
        <v>759</v>
      </c>
      <c r="D739">
        <v>40</v>
      </c>
      <c r="E739">
        <v>25.642</v>
      </c>
      <c r="F739">
        <v>122401.203</v>
      </c>
      <c r="G739">
        <v>122410.156</v>
      </c>
      <c r="H739">
        <v>122419.102</v>
      </c>
      <c r="I739">
        <v>3</v>
      </c>
      <c r="J739">
        <v>1</v>
      </c>
      <c r="K739">
        <v>0</v>
      </c>
      <c r="L739">
        <v>0.04</v>
      </c>
      <c r="M739">
        <v>430.259</v>
      </c>
      <c r="N739">
        <v>0.039</v>
      </c>
      <c r="O739">
        <v>0</v>
      </c>
      <c r="P739">
        <v>0.001</v>
      </c>
      <c r="Q739">
        <v>0</v>
      </c>
      <c r="R739">
        <v>0</v>
      </c>
      <c r="S739" t="s">
        <v>22</v>
      </c>
      <c r="T739" t="s">
        <v>22</v>
      </c>
      <c r="U739">
        <v>430.259</v>
      </c>
      <c r="V739">
        <v>427.575</v>
      </c>
    </row>
    <row r="740" spans="2:22">
      <c r="B740">
        <v>739</v>
      </c>
      <c r="C740" t="s">
        <v>760</v>
      </c>
      <c r="D740">
        <v>0</v>
      </c>
      <c r="E740">
        <v>0</v>
      </c>
      <c r="F740">
        <v>122447.445</v>
      </c>
      <c r="G740">
        <v>122447.445</v>
      </c>
      <c r="H740">
        <v>122447.445</v>
      </c>
      <c r="I740">
        <v>3</v>
      </c>
      <c r="J740">
        <v>1</v>
      </c>
      <c r="K740">
        <v>2</v>
      </c>
      <c r="L740">
        <v>-0.011</v>
      </c>
      <c r="M740">
        <v>430.269</v>
      </c>
      <c r="N740">
        <v>0.013</v>
      </c>
      <c r="O740">
        <v>-0.024</v>
      </c>
      <c r="P740">
        <v>0</v>
      </c>
      <c r="Q740">
        <v>0</v>
      </c>
      <c r="R740">
        <v>0</v>
      </c>
      <c r="S740">
        <v>430.269</v>
      </c>
      <c r="T740">
        <v>427.592</v>
      </c>
      <c r="U740">
        <v>430.245</v>
      </c>
      <c r="V740">
        <v>427.561</v>
      </c>
    </row>
    <row r="741" spans="2:22">
      <c r="B741">
        <v>740</v>
      </c>
      <c r="C741" t="s">
        <v>761</v>
      </c>
      <c r="D741">
        <v>40</v>
      </c>
      <c r="E741">
        <v>21.015</v>
      </c>
      <c r="F741">
        <v>122522.531</v>
      </c>
      <c r="G741">
        <v>122529.867</v>
      </c>
      <c r="H741">
        <v>122537.195</v>
      </c>
      <c r="I741">
        <v>1</v>
      </c>
      <c r="J741">
        <v>2</v>
      </c>
      <c r="K741">
        <v>0</v>
      </c>
      <c r="L741">
        <v>0.015</v>
      </c>
      <c r="M741">
        <v>430.254</v>
      </c>
      <c r="N741">
        <v>0.013</v>
      </c>
      <c r="O741">
        <v>0</v>
      </c>
      <c r="P741">
        <v>0.001</v>
      </c>
      <c r="Q741">
        <v>0.002</v>
      </c>
      <c r="R741">
        <v>0</v>
      </c>
      <c r="S741" t="s">
        <v>22</v>
      </c>
      <c r="T741" t="s">
        <v>22</v>
      </c>
      <c r="U741">
        <v>430.255</v>
      </c>
      <c r="V741">
        <v>427.578</v>
      </c>
    </row>
    <row r="742" spans="2:22">
      <c r="B742">
        <v>741</v>
      </c>
      <c r="C742" t="s">
        <v>762</v>
      </c>
      <c r="D742">
        <v>40</v>
      </c>
      <c r="E742">
        <v>15.709</v>
      </c>
      <c r="F742">
        <v>122605.586</v>
      </c>
      <c r="G742">
        <v>122611.07</v>
      </c>
      <c r="H742">
        <v>122616.555</v>
      </c>
      <c r="I742">
        <v>1</v>
      </c>
      <c r="J742">
        <v>2</v>
      </c>
      <c r="K742">
        <v>0</v>
      </c>
      <c r="L742">
        <v>0.016</v>
      </c>
      <c r="M742">
        <v>430.239</v>
      </c>
      <c r="N742">
        <v>0.014</v>
      </c>
      <c r="O742">
        <v>0</v>
      </c>
      <c r="P742">
        <v>0</v>
      </c>
      <c r="Q742">
        <v>0.002</v>
      </c>
      <c r="R742">
        <v>0</v>
      </c>
      <c r="S742" t="s">
        <v>22</v>
      </c>
      <c r="T742" t="s">
        <v>22</v>
      </c>
      <c r="U742">
        <v>430.239</v>
      </c>
      <c r="V742">
        <v>427.562</v>
      </c>
    </row>
    <row r="743" spans="2:22">
      <c r="B743">
        <v>742</v>
      </c>
      <c r="C743" t="s">
        <v>763</v>
      </c>
      <c r="D743">
        <v>40</v>
      </c>
      <c r="E743">
        <v>52.034</v>
      </c>
      <c r="F743">
        <v>122651.078</v>
      </c>
      <c r="G743">
        <v>122669.234</v>
      </c>
      <c r="H743">
        <v>122687.398</v>
      </c>
      <c r="I743">
        <v>1</v>
      </c>
      <c r="J743">
        <v>2</v>
      </c>
      <c r="K743">
        <v>0</v>
      </c>
      <c r="L743">
        <v>0.012</v>
      </c>
      <c r="M743">
        <v>430.226</v>
      </c>
      <c r="N743">
        <v>0.01</v>
      </c>
      <c r="O743">
        <v>0</v>
      </c>
      <c r="P743">
        <v>0.002</v>
      </c>
      <c r="Q743">
        <v>0.001</v>
      </c>
      <c r="R743">
        <v>0</v>
      </c>
      <c r="S743" t="s">
        <v>22</v>
      </c>
      <c r="T743" t="s">
        <v>22</v>
      </c>
      <c r="U743">
        <v>430.227</v>
      </c>
      <c r="V743">
        <v>427.55</v>
      </c>
    </row>
    <row r="744" spans="2:22">
      <c r="B744">
        <v>743</v>
      </c>
      <c r="C744" t="s">
        <v>764</v>
      </c>
      <c r="D744">
        <v>40</v>
      </c>
      <c r="E744">
        <v>26.116</v>
      </c>
      <c r="F744">
        <v>122758.109</v>
      </c>
      <c r="G744">
        <v>122767.227</v>
      </c>
      <c r="H744">
        <v>122776.344</v>
      </c>
      <c r="I744">
        <v>1</v>
      </c>
      <c r="J744">
        <v>2</v>
      </c>
      <c r="K744">
        <v>0</v>
      </c>
      <c r="L744">
        <v>0.019</v>
      </c>
      <c r="M744">
        <v>430.207</v>
      </c>
      <c r="N744">
        <v>0.016</v>
      </c>
      <c r="O744">
        <v>0</v>
      </c>
      <c r="P744">
        <v>0.001</v>
      </c>
      <c r="Q744">
        <v>0.002</v>
      </c>
      <c r="R744">
        <v>0</v>
      </c>
      <c r="S744" t="s">
        <v>22</v>
      </c>
      <c r="T744" t="s">
        <v>22</v>
      </c>
      <c r="U744">
        <v>430.208</v>
      </c>
      <c r="V744">
        <v>427.531</v>
      </c>
    </row>
    <row r="745" spans="2:22">
      <c r="B745">
        <v>744</v>
      </c>
      <c r="C745" t="s">
        <v>765</v>
      </c>
      <c r="D745">
        <v>40</v>
      </c>
      <c r="E745">
        <v>30.894</v>
      </c>
      <c r="F745">
        <v>122798.258</v>
      </c>
      <c r="G745">
        <v>122809.047</v>
      </c>
      <c r="H745">
        <v>122819.828</v>
      </c>
      <c r="I745">
        <v>1</v>
      </c>
      <c r="J745">
        <v>2</v>
      </c>
      <c r="K745">
        <v>0</v>
      </c>
      <c r="L745">
        <v>0.009</v>
      </c>
      <c r="M745">
        <v>430.199</v>
      </c>
      <c r="N745">
        <v>0.007</v>
      </c>
      <c r="O745">
        <v>0</v>
      </c>
      <c r="P745">
        <v>0.001</v>
      </c>
      <c r="Q745">
        <v>0.001</v>
      </c>
      <c r="R745">
        <v>0</v>
      </c>
      <c r="S745" t="s">
        <v>22</v>
      </c>
      <c r="T745" t="s">
        <v>22</v>
      </c>
      <c r="U745">
        <v>430.199</v>
      </c>
      <c r="V745">
        <v>427.522</v>
      </c>
    </row>
    <row r="746" spans="2:22">
      <c r="B746">
        <v>745</v>
      </c>
      <c r="C746" t="s">
        <v>766</v>
      </c>
      <c r="D746">
        <v>0</v>
      </c>
      <c r="E746">
        <v>0</v>
      </c>
      <c r="F746">
        <v>122830.82</v>
      </c>
      <c r="G746">
        <v>122830.82</v>
      </c>
      <c r="H746">
        <v>122830.82</v>
      </c>
      <c r="I746">
        <v>2</v>
      </c>
      <c r="J746">
        <v>1</v>
      </c>
      <c r="K746">
        <v>1</v>
      </c>
      <c r="L746">
        <v>0.089</v>
      </c>
      <c r="M746">
        <v>430.11</v>
      </c>
      <c r="N746">
        <v>0.003</v>
      </c>
      <c r="O746">
        <v>0.086</v>
      </c>
      <c r="P746">
        <v>0</v>
      </c>
      <c r="Q746">
        <v>0</v>
      </c>
      <c r="R746">
        <v>0</v>
      </c>
      <c r="S746">
        <v>430.195</v>
      </c>
      <c r="T746">
        <v>427.518</v>
      </c>
      <c r="U746">
        <v>430.11</v>
      </c>
      <c r="V746">
        <v>427.416</v>
      </c>
    </row>
    <row r="747" spans="2:22">
      <c r="B747">
        <v>746</v>
      </c>
      <c r="C747" t="s">
        <v>767</v>
      </c>
      <c r="D747">
        <v>0</v>
      </c>
      <c r="E747">
        <v>0</v>
      </c>
      <c r="F747">
        <v>123064.828</v>
      </c>
      <c r="G747">
        <v>123064.828</v>
      </c>
      <c r="H747">
        <v>123064.828</v>
      </c>
      <c r="I747">
        <v>2</v>
      </c>
      <c r="J747">
        <v>1</v>
      </c>
      <c r="K747">
        <v>2</v>
      </c>
      <c r="L747">
        <v>0.062</v>
      </c>
      <c r="M747">
        <v>430.048</v>
      </c>
      <c r="N747">
        <v>0.106</v>
      </c>
      <c r="O747">
        <v>-0.045</v>
      </c>
      <c r="P747">
        <v>0</v>
      </c>
      <c r="Q747">
        <v>0</v>
      </c>
      <c r="R747">
        <v>0</v>
      </c>
      <c r="S747">
        <v>430.048</v>
      </c>
      <c r="T747">
        <v>427.371</v>
      </c>
      <c r="U747">
        <v>430.003</v>
      </c>
      <c r="V747">
        <v>427.309</v>
      </c>
    </row>
    <row r="748" spans="2:22">
      <c r="B748">
        <v>747</v>
      </c>
      <c r="C748" t="s">
        <v>768</v>
      </c>
      <c r="D748">
        <v>0</v>
      </c>
      <c r="E748">
        <v>0</v>
      </c>
      <c r="F748">
        <v>123111.859</v>
      </c>
      <c r="G748">
        <v>123111.859</v>
      </c>
      <c r="H748">
        <v>123111.859</v>
      </c>
      <c r="I748">
        <v>3</v>
      </c>
      <c r="J748">
        <v>1</v>
      </c>
      <c r="K748">
        <v>1</v>
      </c>
      <c r="L748">
        <v>0.053</v>
      </c>
      <c r="M748">
        <v>429.995</v>
      </c>
      <c r="N748">
        <v>0.006</v>
      </c>
      <c r="O748">
        <v>0.046</v>
      </c>
      <c r="P748">
        <v>0</v>
      </c>
      <c r="Q748">
        <v>0.001</v>
      </c>
      <c r="R748">
        <v>0</v>
      </c>
      <c r="S748">
        <v>430.041</v>
      </c>
      <c r="T748">
        <v>427.364</v>
      </c>
      <c r="U748">
        <v>429.995</v>
      </c>
      <c r="V748">
        <v>427.311</v>
      </c>
    </row>
    <row r="749" spans="2:22">
      <c r="B749">
        <v>748</v>
      </c>
      <c r="C749" t="s">
        <v>769</v>
      </c>
      <c r="D749">
        <v>0</v>
      </c>
      <c r="E749">
        <v>0</v>
      </c>
      <c r="F749">
        <v>123315.344</v>
      </c>
      <c r="G749">
        <v>123315.344</v>
      </c>
      <c r="H749">
        <v>123315.344</v>
      </c>
      <c r="I749">
        <v>3</v>
      </c>
      <c r="J749">
        <v>1</v>
      </c>
      <c r="K749">
        <v>2</v>
      </c>
      <c r="L749">
        <v>0.049</v>
      </c>
      <c r="M749">
        <v>429.947</v>
      </c>
      <c r="N749">
        <v>0.073</v>
      </c>
      <c r="O749">
        <v>-0.024</v>
      </c>
      <c r="P749">
        <v>0</v>
      </c>
      <c r="Q749">
        <v>0</v>
      </c>
      <c r="R749">
        <v>0</v>
      </c>
      <c r="S749">
        <v>429.947</v>
      </c>
      <c r="T749">
        <v>427.27</v>
      </c>
      <c r="U749">
        <v>429.923</v>
      </c>
      <c r="V749">
        <v>427.239</v>
      </c>
    </row>
    <row r="750" spans="2:22">
      <c r="B750">
        <v>749</v>
      </c>
      <c r="C750" t="s">
        <v>770</v>
      </c>
      <c r="D750">
        <v>0</v>
      </c>
      <c r="E750">
        <v>0</v>
      </c>
      <c r="F750">
        <v>123342.594</v>
      </c>
      <c r="G750">
        <v>123342.594</v>
      </c>
      <c r="H750">
        <v>123342.594</v>
      </c>
      <c r="I750">
        <v>1</v>
      </c>
      <c r="J750">
        <v>2</v>
      </c>
      <c r="K750">
        <v>0</v>
      </c>
      <c r="L750">
        <v>0.004</v>
      </c>
      <c r="M750">
        <v>429.942</v>
      </c>
      <c r="N750">
        <v>0.004</v>
      </c>
      <c r="O750">
        <v>0</v>
      </c>
      <c r="P750">
        <v>0</v>
      </c>
      <c r="Q750">
        <v>0</v>
      </c>
      <c r="R750">
        <v>0</v>
      </c>
      <c r="S750" t="s">
        <v>22</v>
      </c>
      <c r="T750" t="s">
        <v>22</v>
      </c>
      <c r="U750">
        <v>429.942</v>
      </c>
      <c r="V750">
        <v>427.265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J837"/>
  <sheetViews>
    <sheetView tabSelected="1" workbookViewId="0">
      <pane ySplit="1" topLeftCell="A620" activePane="bottomLeft" state="frozen"/>
      <selection/>
      <selection pane="bottomLeft" activeCell="J668" sqref="J668"/>
    </sheetView>
  </sheetViews>
  <sheetFormatPr defaultColWidth="9" defaultRowHeight="13.8"/>
  <cols>
    <col min="3" max="3" width="16.5555555555556" customWidth="1"/>
    <col min="4" max="4" width="14.1111111111111" customWidth="1"/>
    <col min="5" max="5" width="16" customWidth="1"/>
    <col min="6" max="6" width="5" customWidth="1"/>
    <col min="7" max="7" width="9.44444444444444" customWidth="1"/>
    <col min="8" max="9" width="12.8888888888889"/>
    <col min="10" max="10" width="5.88888888888889" customWidth="1"/>
    <col min="11" max="11" width="14.8888888888889" customWidth="1"/>
    <col min="12" max="12" width="14.3333333333333" customWidth="1"/>
    <col min="13" max="13" width="14" customWidth="1"/>
    <col min="14" max="14" width="12.2222222222222" customWidth="1"/>
    <col min="15" max="15" width="10.8888888888889" customWidth="1"/>
    <col min="17" max="17" width="14.7777777777778" customWidth="1"/>
    <col min="18" max="18" width="15.2222222222222" customWidth="1"/>
    <col min="19" max="20" width="12.7777777777778" customWidth="1"/>
    <col min="21" max="21" width="12.1111111111111" customWidth="1"/>
    <col min="22" max="22" width="12.2222222222222" customWidth="1"/>
    <col min="23" max="23" width="9.77777777777778" customWidth="1"/>
    <col min="24" max="24" width="14" customWidth="1"/>
    <col min="25" max="25" width="14.8888888888889" customWidth="1"/>
    <col min="26" max="26" width="11.4444444444444" customWidth="1"/>
    <col min="27" max="27" width="13.5555555555556" customWidth="1"/>
    <col min="28" max="28" width="15.4444444444444" customWidth="1"/>
    <col min="29" max="29" width="11.8888888888889" customWidth="1"/>
    <col min="30" max="30" width="14.2222222222222" customWidth="1"/>
    <col min="31" max="31" width="14.6666666666667" customWidth="1"/>
    <col min="32" max="32" width="10.4444444444444" customWidth="1"/>
    <col min="42" max="42" width="15.5555555555556" customWidth="1"/>
    <col min="48" max="48" width="9.66666666666667"/>
    <col min="50" max="50" width="23.8888888888889" customWidth="1"/>
    <col min="51" max="52" width="12.7777777777778" customWidth="1"/>
    <col min="53" max="53" width="11.8888888888889" customWidth="1"/>
    <col min="54" max="54" width="14.3333333333333" customWidth="1"/>
    <col min="55" max="55" width="11.6666666666667" customWidth="1"/>
    <col min="56" max="56" width="11.5555555555556" customWidth="1"/>
    <col min="59" max="59" width="43.5555555555556" customWidth="1"/>
  </cols>
  <sheetData>
    <row r="1" spans="1:62">
      <c r="B1" t="s">
        <v>771</v>
      </c>
      <c r="C1" t="s">
        <v>771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19</v>
      </c>
      <c r="O1" t="s">
        <v>20</v>
      </c>
      <c r="P1" t="s">
        <v>781</v>
      </c>
      <c r="Q1" t="s">
        <v>782</v>
      </c>
      <c r="R1" t="s">
        <v>783</v>
      </c>
      <c r="S1" t="s">
        <v>784</v>
      </c>
      <c r="T1" t="s">
        <v>785</v>
      </c>
      <c r="U1" t="s">
        <v>786</v>
      </c>
      <c r="V1" t="s">
        <v>787</v>
      </c>
      <c r="W1" t="s">
        <v>788</v>
      </c>
      <c r="X1" t="s">
        <v>789</v>
      </c>
      <c r="Y1" t="s">
        <v>790</v>
      </c>
      <c r="Z1" t="s">
        <v>791</v>
      </c>
      <c r="AA1" t="s">
        <v>792</v>
      </c>
      <c r="AB1" t="s">
        <v>793</v>
      </c>
      <c r="AC1" t="s">
        <v>794</v>
      </c>
      <c r="AD1" t="s">
        <v>795</v>
      </c>
      <c r="AE1" t="s">
        <v>796</v>
      </c>
      <c r="AF1" t="s">
        <v>797</v>
      </c>
      <c r="AV1" t="s">
        <v>798</v>
      </c>
      <c r="AX1" t="s">
        <v>799</v>
      </c>
      <c r="AY1" t="s">
        <v>800</v>
      </c>
      <c r="AZ1" t="s">
        <v>801</v>
      </c>
      <c r="BA1" t="s">
        <v>802</v>
      </c>
      <c r="BB1" s="38" t="s">
        <v>803</v>
      </c>
      <c r="BC1" s="38" t="s">
        <v>804</v>
      </c>
      <c r="BD1" s="38" t="s">
        <v>805</v>
      </c>
      <c r="BE1" s="38" t="s">
        <v>806</v>
      </c>
      <c r="BF1" s="38" t="s">
        <v>1</v>
      </c>
      <c r="BG1" s="38" t="s">
        <v>807</v>
      </c>
      <c r="BH1" s="38" t="s">
        <v>808</v>
      </c>
      <c r="BI1" s="38" t="s">
        <v>809</v>
      </c>
      <c r="BJ1" s="38" t="s">
        <v>810</v>
      </c>
    </row>
    <row r="2" spans="1:62">
      <c r="A2">
        <v>0</v>
      </c>
      <c r="B2">
        <v>1</v>
      </c>
      <c r="C2" t="s">
        <v>21</v>
      </c>
      <c r="D2" s="39">
        <v>437990.2047</v>
      </c>
      <c r="E2" s="39">
        <v>3399778.1403</v>
      </c>
      <c r="F2">
        <v>0</v>
      </c>
      <c r="G2">
        <v>0</v>
      </c>
      <c r="H2">
        <f>F2*TAN(PI()/180*G2/2)</f>
        <v>0</v>
      </c>
      <c r="I2">
        <f>F2*G2/180*PI()</f>
        <v>0</v>
      </c>
      <c r="J2">
        <v>0</v>
      </c>
      <c r="K2" s="40">
        <v>0</v>
      </c>
      <c r="L2" s="40">
        <v>0</v>
      </c>
      <c r="M2" s="40">
        <f>K2+I2</f>
        <v>0</v>
      </c>
      <c r="N2">
        <v>477.69</v>
      </c>
      <c r="O2">
        <v>473.721</v>
      </c>
      <c r="P2">
        <v>0</v>
      </c>
      <c r="Q2" s="39">
        <f>D2</f>
        <v>437990.2047</v>
      </c>
      <c r="R2" s="39">
        <f>E2</f>
        <v>3399778.1403</v>
      </c>
      <c r="S2" s="39"/>
      <c r="T2" s="39"/>
      <c r="U2" s="39"/>
      <c r="V2" s="39"/>
      <c r="X2" s="39"/>
      <c r="Y2" s="39"/>
      <c r="Z2" s="39"/>
      <c r="AD2" s="39"/>
      <c r="AE2" s="39"/>
      <c r="AH2" t="s">
        <v>811</v>
      </c>
      <c r="AI2" t="str">
        <f t="array" ref="AI2">IFERROR(INDEX($L$2:$L$805,SMALL(IF(ISNUMBER(FIND($AH$2,$C$2:$C$805)),ROW($2:$805)-1,4^8),ROW(A1)))&amp;"","")</f>
        <v>11562.3759961372</v>
      </c>
      <c r="AJ2" t="str">
        <f t="array" ref="AJ2">IFERROR(INDEX($C$2:$C$805,SMALL(IF(ISNUMBER(FIND($AH$2,$C$2:$C$805)),ROW($2:$805)-1,4^8),ROW(B1)))&amp;"","")</f>
        <v>龙泉山隧出</v>
      </c>
      <c r="AS2" t="str">
        <f>"-text"&amp;" "&amp;D2&amp;","&amp;E2&amp;" "&amp;"10"&amp;" "&amp;"0"&amp;" "&amp;C2</f>
        <v>-text 437990.2047,3399778.1403 10 0 IP0</v>
      </c>
      <c r="AT2" t="str">
        <f>D2&amp;","&amp;E2</f>
        <v>437990.2047,3399778.1403</v>
      </c>
      <c r="AV2">
        <f>IF(A2=0,O2+5.5,IF(A2=1,O2+5.2,O2+4.6))</f>
        <v>479.221</v>
      </c>
      <c r="AX2" t="str">
        <f>"pl "&amp;L2/2&amp;",279 "&amp;L2/2&amp;",400 "</f>
        <v>pl 0,279 0,400 </v>
      </c>
      <c r="AY2" t="str">
        <f>L2/2&amp;","&amp;O2</f>
        <v>0,473.721</v>
      </c>
      <c r="AZ2" t="str">
        <f>L2/2&amp;","&amp;N2</f>
        <v>0,477.69</v>
      </c>
      <c r="BA2" t="str">
        <f>L2/2&amp;","&amp;AV2</f>
        <v>0,479.221</v>
      </c>
      <c r="BB2" t="str">
        <f>"-text "&amp;L2/2-1&amp;",337 3.5 90 "&amp;FIXED(O2,3)&amp;" "</f>
        <v>-text -1,337 3.5 90 473.721 </v>
      </c>
      <c r="BC2" t="str">
        <f>"-text "&amp;L2/2-1&amp;",320 3.5 90 "&amp;FIXED(AV2,3)&amp;" "</f>
        <v>-text -1,320 3.5 90 479.221 </v>
      </c>
      <c r="BD2" t="str">
        <f>"-text "&amp;L2/2-1&amp;",306 3.5 90 "&amp;FIXED(N2,3)&amp;" "</f>
        <v>-text -1,306 3.5 90 477.690 </v>
      </c>
      <c r="BE2" t="str">
        <f>"-text "&amp;L2/2-1&amp;",352 3.5 90 "&amp;"ZG"&amp;TEXT(L2,"0+000.000")&amp;" "</f>
        <v>-text -1,352 3.5 90 ZG0+000.000 </v>
      </c>
      <c r="BF2" t="str">
        <f>"-text "&amp;L2/2-1&amp;",280 3.5 90 "&amp;C2&amp;" "</f>
        <v>-text -1,280 3.5 90 IP0 </v>
      </c>
      <c r="BG2" t="str">
        <f>IF(G2&lt;0.01,"",("-TEXT "&amp;L2/2+1&amp;",300 3.5 0 "&amp;"R="&amp;FIXED(F2,0)))</f>
        <v/>
      </c>
      <c r="BH2" t="str">
        <f>IF(G2&lt;0.01," ",("-TEXT "&amp;L2/2+1&amp;",295 3.5 0 "&amp;"α="&amp;FIXED(G2,2)&amp;"° "))</f>
        <v> </v>
      </c>
      <c r="BI2" t="str">
        <f>IF(G2&lt;0.01," ",("-TEXT "&amp;L2/2+1&amp;",290 3.5 0 "&amp;"T="&amp;FIXED(H2,2)&amp;" "))</f>
        <v> </v>
      </c>
      <c r="BJ2" t="str">
        <f>IF(G2&lt;0.01," ",("-TEXT "&amp;L2/2+1&amp;",285 3.5 0 "&amp;"S="&amp;FIXED(I2,2)&amp;" "))</f>
        <v> </v>
      </c>
    </row>
    <row r="3" spans="1:62">
      <c r="A3">
        <v>1</v>
      </c>
      <c r="B3">
        <v>2</v>
      </c>
      <c r="C3" t="str">
        <f>Sheet1!C3</f>
        <v>龙泉山隧进</v>
      </c>
      <c r="D3" s="39">
        <v>438004.2888</v>
      </c>
      <c r="E3" s="39">
        <v>3399744.8331</v>
      </c>
      <c r="F3">
        <v>0</v>
      </c>
      <c r="G3">
        <f t="shared" ref="G3" si="0">ROUND(IF((2*SQRT((D2-D3)^2+(E2-E3)^2)*SQRT((D4-D3)^2+(E4-E3)^2))=0,0,180-ACOS(((D2-D3)^2+(E2-E3)^2+(D4-D3)^2+(E4-E3)^2-(D4-D2)^2-(E4-E2)^2)/(2*SQRT((D2-D3)^2+(E2-E3)^2)*SQRT((D4-D3)^2+(E4-E3)^2)))/PI()*180),3)</f>
        <v>0</v>
      </c>
      <c r="H3">
        <f t="shared" ref="H3" si="1">F3*TAN(PI()/180*G3/2)</f>
        <v>0</v>
      </c>
      <c r="I3">
        <f t="shared" ref="I3" si="2">F3*G3/180*PI()</f>
        <v>0</v>
      </c>
      <c r="J3">
        <f>SQRT((D3-D2)^2+(E3-E2)^2)</f>
        <v>36.1625696633931</v>
      </c>
      <c r="K3" s="40">
        <f t="shared" ref="K3" si="3">L3-I3/2</f>
        <v>36.1625696633931</v>
      </c>
      <c r="L3" s="40">
        <f>L2+J3-H3+I3/2+I2/2-H2</f>
        <v>36.1625696633931</v>
      </c>
      <c r="M3" s="40">
        <f t="shared" ref="M3" si="4">K3+I3</f>
        <v>36.1625696633931</v>
      </c>
      <c r="N3">
        <v>477.587</v>
      </c>
      <c r="O3">
        <v>473.666</v>
      </c>
      <c r="P3">
        <v>0</v>
      </c>
      <c r="Q3" s="39">
        <f t="shared" ref="Q3:Q34" si="5">IF(G3=0,D3,D2+(D3-D2)/J3*(J3-H3))</f>
        <v>438004.2888</v>
      </c>
      <c r="R3" s="39">
        <f t="shared" ref="R3:R34" si="6">IF(G3=0,E3,E2+(E3-E2)/J3*(J3-H3))</f>
        <v>3399744.8331</v>
      </c>
      <c r="S3" s="39" t="str">
        <f>IF(G3=0," ",(Q3+U3)/2+(D3-(Q3+U3)/2)/(H3*SIN(G3/360*PI()))*(F3-F3*COS(G3/360*PI())))</f>
        <v> </v>
      </c>
      <c r="T3" s="39" t="str">
        <f>IF(G3=0," ",(R3+V3)/2+(E3-(R3+V3)/2)/(H3*SIN(G3/360*PI()))*(F3-F3*COS(G3/360*PI())))</f>
        <v> </v>
      </c>
      <c r="U3" s="39" t="str">
        <f>IF(G3=0," ",D3+(D4-D3)/J4*H3)</f>
        <v> </v>
      </c>
      <c r="V3" s="39" t="str">
        <f>IF(G3=0," ",E3+(E4-E3)/J4*H3)</f>
        <v> </v>
      </c>
      <c r="X3" s="39"/>
      <c r="Y3" s="39"/>
      <c r="Z3" s="39"/>
      <c r="AD3" s="39"/>
      <c r="AE3" s="39"/>
      <c r="AI3" t="str">
        <f t="array" ref="AI3">IFERROR(INDEX($L$2:$L$805,SMALL(IF(ISNUMBER(FIND($AH$2,$C$2:$C$805)),ROW($2:$805)-1,4^8),ROW(A2)))&amp;"","")</f>
        <v>11586.2227652034</v>
      </c>
      <c r="AJ3" t="str">
        <f t="array" ref="AJ3">IFERROR(INDEX($C$2:$C$805,SMALL(IF(ISNUMBER(FIND($AH$2,$C$2:$C$805)),ROW($2:$805)-1,4^8),ROW(B2)))&amp;"","")</f>
        <v>狗跳地泄水闸出</v>
      </c>
      <c r="AT3" t="str">
        <f t="shared" ref="AT3:AT66" si="7">D3&amp;","&amp;E3</f>
        <v>438004.2888,3399744.8331</v>
      </c>
      <c r="AV3">
        <f t="shared" ref="AV3:AV66" si="8">IF(A3=0,O3+5.5,IF(A3=1,O3+5.2,O3+4.6))</f>
        <v>478.866</v>
      </c>
      <c r="AX3" t="str">
        <f t="shared" ref="AX3:AX66" si="9">"pl "&amp;L3/2&amp;",279 "&amp;L3/2&amp;",400 "</f>
        <v>pl 18.0812848316965,279 18.0812848316965,400 </v>
      </c>
      <c r="AY3" t="str">
        <f t="shared" ref="AY3:AY66" si="10">L3/2&amp;","&amp;O3</f>
        <v>18.0812848316965,473.666</v>
      </c>
      <c r="AZ3" t="str">
        <f t="shared" ref="AZ3:AZ66" si="11">L3/2&amp;","&amp;N3</f>
        <v>18.0812848316965,477.587</v>
      </c>
      <c r="BA3" t="str">
        <f t="shared" ref="BA3:BA66" si="12">L3/2&amp;","&amp;AV3</f>
        <v>18.0812848316965,478.866</v>
      </c>
      <c r="BB3" t="str">
        <f t="shared" ref="BB3:BB66" si="13">"-text "&amp;L3/2-1&amp;",337 3.5 90 "&amp;FIXED(O3,3)&amp;" "</f>
        <v>-text 17.0812848316965,337 3.5 90 473.666 </v>
      </c>
      <c r="BC3" t="str">
        <f t="shared" ref="BC3:BC66" si="14">"-text "&amp;L3/2-1&amp;",320 3.5 90 "&amp;FIXED(AV3,3)&amp;" "</f>
        <v>-text 17.0812848316965,320 3.5 90 478.866 </v>
      </c>
      <c r="BD3" t="str">
        <f t="shared" ref="BD3:BD66" si="15">"-text "&amp;L3/2-1&amp;",306 3.5 90 "&amp;FIXED(N3,3)&amp;" "</f>
        <v>-text 17.0812848316965,306 3.5 90 477.587 </v>
      </c>
      <c r="BE3" t="str">
        <f t="shared" ref="BE3:BE66" si="16">"-text "&amp;L3/2-1&amp;",352 3.5 90 "&amp;"ZG"&amp;TEXT(L3,"0+000.000")&amp;" "</f>
        <v>-text 17.0812848316965,352 3.5 90 ZG0+036.163 </v>
      </c>
      <c r="BF3" t="str">
        <f t="shared" ref="BF3:BF66" si="17">"-text "&amp;L3/2-1&amp;",280 3.5 90 "&amp;C3&amp;" "</f>
        <v>-text 17.0812848316965,280 3.5 90 龙泉山隧进 </v>
      </c>
      <c r="BG3" t="str">
        <f t="shared" ref="BG3:BG66" si="18">IF(G3&lt;0.01,"",("-TEXT "&amp;L3/2+1&amp;",300 3.5 0 "&amp;"R="&amp;FIXED(F3,0)))</f>
        <v/>
      </c>
      <c r="BH3" t="str">
        <f t="shared" ref="BH3:BH66" si="19">IF(G3&lt;0.01," ",("-TEXT "&amp;L3/2+1&amp;",295 3.5 0 "&amp;"α="&amp;FIXED(G3,2)&amp;"° "))</f>
        <v> </v>
      </c>
      <c r="BI3" t="str">
        <f t="shared" ref="BI3:BI66" si="20">IF(G3&lt;0.01," ",("-TEXT "&amp;L3/2+1&amp;",290 3.5 0 "&amp;"T="&amp;FIXED(H3,2)&amp;" "))</f>
        <v> </v>
      </c>
      <c r="BJ3" t="str">
        <f t="shared" ref="BJ3:BJ66" si="21">IF(G3&lt;0.01," ",("-TEXT "&amp;L3/2+1&amp;",285 3.5 0 "&amp;"S="&amp;FIXED(I3,2)&amp;" "))</f>
        <v> </v>
      </c>
    </row>
    <row r="4" spans="1:62">
      <c r="A4">
        <v>1</v>
      </c>
      <c r="B4">
        <v>3</v>
      </c>
      <c r="C4" t="s">
        <v>24</v>
      </c>
      <c r="D4" s="39">
        <v>438016.9796</v>
      </c>
      <c r="E4" s="39">
        <v>3399714.8206</v>
      </c>
      <c r="F4">
        <v>40</v>
      </c>
      <c r="G4">
        <f t="shared" ref="G4:G66" si="22">ROUND(IF((2*SQRT((D3-D4)^2+(E3-E4)^2)*SQRT((D5-D4)^2+(E5-E4)^2))=0,0,180-ACOS(((D3-D4)^2+(E3-E4)^2+(D5-D4)^2+(E5-E4)^2-(D5-D3)^2-(E5-E3)^2)/(2*SQRT((D3-D4)^2+(E3-E4)^2)*SQRT((D5-D4)^2+(E5-E4)^2)))/PI()*180),3)</f>
        <v>53.693</v>
      </c>
      <c r="H4">
        <f t="shared" ref="H4:H66" si="23">F4*TAN(PI()/180*G4/2)</f>
        <v>20.2462171471838</v>
      </c>
      <c r="I4">
        <f t="shared" ref="I4:I66" si="24">F4*G4/180*PI()</f>
        <v>37.4847854109326</v>
      </c>
      <c r="J4">
        <f t="shared" ref="J4:J66" si="25">SQRT((D4-D3)^2+(E4-E3)^2)</f>
        <v>32.5853734192851</v>
      </c>
      <c r="K4" s="40">
        <f t="shared" ref="K4:K66" si="26">L4-I4/2</f>
        <v>48.5017259354944</v>
      </c>
      <c r="L4" s="40">
        <f t="shared" ref="L4:L66" si="27">L3+J4-H4+I4/2+I3/2-H3</f>
        <v>67.2441186409607</v>
      </c>
      <c r="M4" s="40">
        <f t="shared" ref="M4:M66" si="28">K4+I4</f>
        <v>85.9865113464271</v>
      </c>
      <c r="N4">
        <v>477.573</v>
      </c>
      <c r="O4">
        <v>473.652</v>
      </c>
      <c r="P4">
        <v>0.004</v>
      </c>
      <c r="Q4" s="39">
        <f t="shared" si="5"/>
        <v>438009.094445846</v>
      </c>
      <c r="R4" s="39">
        <f t="shared" si="6"/>
        <v>3399733.46821788</v>
      </c>
      <c r="S4" s="39">
        <f t="shared" ref="S4:S67" si="29">IF(G4=0," ",(Q4+U4)/2+(D4-(Q4+U4)/2)/(H4*SIN(G4/360*PI()))*(F4-F4*COS(G4/360*PI())))</f>
        <v>438020.100546947</v>
      </c>
      <c r="T4" s="39">
        <f t="shared" ref="T4:T67" si="30">IF(G4=0," ",(R4+V4)/2+(E4-(R4+V4)/2)/(H4*SIN(G4/360*PI()))*(F4-F4*COS(G4/360*PI())))</f>
        <v>3399718.50951023</v>
      </c>
      <c r="U4" s="39">
        <f t="shared" ref="U4:U67" si="31">IF(G4=0," ",D4+(D5-D4)/J5*H4)</f>
        <v>438036.675788135</v>
      </c>
      <c r="V4" s="39">
        <f t="shared" ref="V4:V67" si="32">IF(G4=0," ",E4+(E5-E4)/J5*H4)</f>
        <v>3399710.13343863</v>
      </c>
      <c r="X4" s="39"/>
      <c r="Y4" s="39"/>
      <c r="Z4" s="39"/>
      <c r="AD4" s="39"/>
      <c r="AE4" s="39"/>
      <c r="AI4" t="str">
        <f t="array" ref="AI4">IFERROR(INDEX($L$2:$L$805,SMALL(IF(ISNUMBER(FIND($AH$2,$C$2:$C$805)),ROW($2:$805)-1,4^8),ROW(A3)))&amp;"","")</f>
        <v>11738.9162164017</v>
      </c>
      <c r="AJ4" t="str">
        <f t="array" ref="AJ4">IFERROR(INDEX($C$2:$C$805,SMALL(IF(ISNUMBER(FIND($AH$2,$C$2:$C$805)),ROW($2:$805)-1,4^8),ROW(B3)))&amp;"","")</f>
        <v>狗跳地渡槽出</v>
      </c>
      <c r="AS4" t="str">
        <f>"-text"&amp;" "&amp;D4&amp;","&amp;E4&amp;" "&amp;"10"&amp;" "&amp;"0"&amp;" "&amp;C4</f>
        <v>-text 438016.9796,3399714.8206 10 0 IP1</v>
      </c>
      <c r="AT4" t="str">
        <f t="shared" si="7"/>
        <v>438016.9796,3399714.8206</v>
      </c>
      <c r="AV4">
        <f t="shared" si="8"/>
        <v>478.852</v>
      </c>
      <c r="AX4" t="str">
        <f t="shared" si="9"/>
        <v>pl 33.6220593204804,279 33.6220593204804,400 </v>
      </c>
      <c r="AY4" t="str">
        <f t="shared" si="10"/>
        <v>33.6220593204804,473.652</v>
      </c>
      <c r="AZ4" t="str">
        <f t="shared" si="11"/>
        <v>33.6220593204804,477.573</v>
      </c>
      <c r="BA4" t="str">
        <f t="shared" si="12"/>
        <v>33.6220593204804,478.852</v>
      </c>
      <c r="BB4" t="str">
        <f t="shared" si="13"/>
        <v>-text 32.6220593204804,337 3.5 90 473.652 </v>
      </c>
      <c r="BC4" t="str">
        <f t="shared" si="14"/>
        <v>-text 32.6220593204804,320 3.5 90 478.852 </v>
      </c>
      <c r="BD4" t="str">
        <f t="shared" si="15"/>
        <v>-text 32.6220593204804,306 3.5 90 477.573 </v>
      </c>
      <c r="BE4" t="str">
        <f t="shared" si="16"/>
        <v>-text 32.6220593204804,352 3.5 90 ZG0+067.244 </v>
      </c>
      <c r="BF4" t="str">
        <f t="shared" si="17"/>
        <v>-text 32.6220593204804,280 3.5 90 IP1 </v>
      </c>
      <c r="BG4" t="str">
        <f t="shared" si="18"/>
        <v>-TEXT 34.6220593204804,300 3.5 0 R=40</v>
      </c>
      <c r="BH4" t="str">
        <f t="shared" si="19"/>
        <v>-TEXT 34.6220593204804,295 3.5 0 α=53.69° </v>
      </c>
      <c r="BI4" t="str">
        <f t="shared" si="20"/>
        <v>-TEXT 34.6220593204804,290 3.5 0 T=20.25 </v>
      </c>
      <c r="BJ4" t="str">
        <f t="shared" si="21"/>
        <v>-TEXT 34.6220593204804,285 3.5 0 S=37.48 </v>
      </c>
    </row>
    <row r="5" spans="1:62">
      <c r="A5">
        <v>1</v>
      </c>
      <c r="B5">
        <v>4</v>
      </c>
      <c r="C5" t="s">
        <v>25</v>
      </c>
      <c r="D5" s="39">
        <v>438870.4108</v>
      </c>
      <c r="E5" s="39">
        <v>3399511.727</v>
      </c>
      <c r="F5">
        <v>80</v>
      </c>
      <c r="G5">
        <f t="shared" si="22"/>
        <v>3.284</v>
      </c>
      <c r="H5">
        <f t="shared" si="23"/>
        <v>2.29329236567399</v>
      </c>
      <c r="I5">
        <f t="shared" si="24"/>
        <v>4.5853290108395</v>
      </c>
      <c r="J5">
        <f t="shared" si="25"/>
        <v>877.263827759067</v>
      </c>
      <c r="K5" s="40">
        <f t="shared" si="26"/>
        <v>940.710829592636</v>
      </c>
      <c r="L5" s="40">
        <f t="shared" si="27"/>
        <v>943.003494098056</v>
      </c>
      <c r="M5" s="40">
        <f t="shared" si="28"/>
        <v>945.296158603476</v>
      </c>
      <c r="N5">
        <v>477.22</v>
      </c>
      <c r="O5">
        <v>473.299</v>
      </c>
      <c r="P5">
        <v>0</v>
      </c>
      <c r="Q5" s="39">
        <f t="shared" si="5"/>
        <v>438868.179809512</v>
      </c>
      <c r="R5" s="39">
        <f t="shared" si="6"/>
        <v>3399512.25791554</v>
      </c>
      <c r="S5" s="39">
        <f t="shared" si="29"/>
        <v>438870.402279029</v>
      </c>
      <c r="T5" s="39">
        <f t="shared" si="30"/>
        <v>3399511.69526103</v>
      </c>
      <c r="U5" s="39">
        <f t="shared" si="31"/>
        <v>438872.6077136</v>
      </c>
      <c r="V5" s="39">
        <f t="shared" si="32"/>
        <v>3399511.06915465</v>
      </c>
      <c r="X5" s="39"/>
      <c r="Y5" s="39"/>
      <c r="Z5" s="39"/>
      <c r="AD5" s="39"/>
      <c r="AE5" s="39"/>
      <c r="AI5" t="str">
        <f t="array" ref="AI5">IFERROR(INDEX($L$2:$L$805,SMALL(IF(ISNUMBER(FIND($AH$2,$C$2:$C$805)),ROW($2:$805)-1,4^8),ROW(A4)))&amp;"","")</f>
        <v>15155.5634155374</v>
      </c>
      <c r="AJ5" t="str">
        <f t="array" ref="AJ5">IFERROR(INDEX($C$2:$C$805,SMALL(IF(ISNUMBER(FIND($AH$2,$C$2:$C$805)),ROW($2:$805)-1,4^8),ROW(B4)))&amp;"","")</f>
        <v>两河口隧出</v>
      </c>
      <c r="AS5" t="str">
        <f>"-text"&amp;" "&amp;D5&amp;","&amp;E5&amp;" "&amp;"10"&amp;" "&amp;"0"&amp;" "&amp;C5</f>
        <v>-text 438870.4108,3399511.727 10 0 IP2</v>
      </c>
      <c r="AT5" t="str">
        <f t="shared" si="7"/>
        <v>438870.4108,3399511.727</v>
      </c>
      <c r="AV5">
        <f t="shared" si="8"/>
        <v>478.499</v>
      </c>
      <c r="AX5" t="str">
        <f t="shared" si="9"/>
        <v>pl 471.501747049028,279 471.501747049028,400 </v>
      </c>
      <c r="AY5" t="str">
        <f t="shared" si="10"/>
        <v>471.501747049028,473.299</v>
      </c>
      <c r="AZ5" t="str">
        <f t="shared" si="11"/>
        <v>471.501747049028,477.22</v>
      </c>
      <c r="BA5" t="str">
        <f t="shared" si="12"/>
        <v>471.501747049028,478.499</v>
      </c>
      <c r="BB5" t="str">
        <f t="shared" si="13"/>
        <v>-text 470.501747049028,337 3.5 90 473.299 </v>
      </c>
      <c r="BC5" t="str">
        <f t="shared" si="14"/>
        <v>-text 470.501747049028,320 3.5 90 478.499 </v>
      </c>
      <c r="BD5" t="str">
        <f t="shared" si="15"/>
        <v>-text 470.501747049028,306 3.5 90 477.220 </v>
      </c>
      <c r="BE5" t="str">
        <f t="shared" si="16"/>
        <v>-text 470.501747049028,352 3.5 90 ZG0+943.003 </v>
      </c>
      <c r="BF5" t="str">
        <f t="shared" si="17"/>
        <v>-text 470.501747049028,280 3.5 90 IP2 </v>
      </c>
      <c r="BG5" t="str">
        <f t="shared" si="18"/>
        <v>-TEXT 472.501747049028,300 3.5 0 R=80</v>
      </c>
      <c r="BH5" t="str">
        <f t="shared" si="19"/>
        <v>-TEXT 472.501747049028,295 3.5 0 α=3.28° </v>
      </c>
      <c r="BI5" t="str">
        <f t="shared" si="20"/>
        <v>-TEXT 472.501747049028,290 3.5 0 T=2.29 </v>
      </c>
      <c r="BJ5" t="str">
        <f t="shared" si="21"/>
        <v>-TEXT 472.501747049028,285 3.5 0 S=4.59 </v>
      </c>
    </row>
    <row r="6" spans="1:62">
      <c r="A6">
        <v>1</v>
      </c>
      <c r="B6">
        <v>5</v>
      </c>
      <c r="C6" t="s">
        <v>26</v>
      </c>
      <c r="D6" s="39">
        <v>439771.8093</v>
      </c>
      <c r="E6" s="39">
        <v>3399241.8116</v>
      </c>
      <c r="F6">
        <v>80</v>
      </c>
      <c r="G6">
        <f t="shared" si="22"/>
        <v>10.266</v>
      </c>
      <c r="H6">
        <f t="shared" si="23"/>
        <v>7.18625588132158</v>
      </c>
      <c r="I6">
        <f t="shared" si="24"/>
        <v>14.334040080779</v>
      </c>
      <c r="J6">
        <f t="shared" si="25"/>
        <v>940.942920138801</v>
      </c>
      <c r="K6" s="40">
        <f t="shared" si="26"/>
        <v>1876.75953049528</v>
      </c>
      <c r="L6" s="40">
        <f t="shared" si="27"/>
        <v>1883.92655053567</v>
      </c>
      <c r="M6" s="40">
        <f t="shared" si="28"/>
        <v>1891.09357057606</v>
      </c>
      <c r="N6" s="41">
        <v>476.843</v>
      </c>
      <c r="O6" s="41">
        <v>472.922</v>
      </c>
      <c r="P6">
        <v>0.001</v>
      </c>
      <c r="Q6" s="39">
        <f t="shared" si="5"/>
        <v>439764.925056404</v>
      </c>
      <c r="R6" s="39">
        <f t="shared" si="6"/>
        <v>3399243.87302274</v>
      </c>
      <c r="S6" s="39">
        <f t="shared" si="29"/>
        <v>439771.873722049</v>
      </c>
      <c r="T6" s="39">
        <f t="shared" si="30"/>
        <v>3399242.12720387</v>
      </c>
      <c r="U6" s="39">
        <f t="shared" si="31"/>
        <v>439778.950715088</v>
      </c>
      <c r="V6" s="39">
        <f t="shared" si="32"/>
        <v>3399241.0100614</v>
      </c>
      <c r="X6" s="39"/>
      <c r="Y6" s="39"/>
      <c r="Z6" s="39"/>
      <c r="AD6" s="39"/>
      <c r="AE6" s="39"/>
      <c r="AI6" t="str">
        <f t="array" ref="AI6">IFERROR(INDEX($L$2:$L$805,SMALL(IF(ISNUMBER(FIND($AH$2,$C$2:$C$805)),ROW($2:$805)-1,4^8),ROW(A5)))&amp;"","")</f>
        <v>15345.5863154179</v>
      </c>
      <c r="AJ6" t="str">
        <f t="array" ref="AJ6">IFERROR(INDEX($C$2:$C$805,SMALL(IF(ISNUMBER(FIND($AH$2,$C$2:$C$805)),ROW($2:$805)-1,4^8),ROW(B5)))&amp;"","")</f>
        <v>段家1#渡槽出</v>
      </c>
      <c r="AS6" t="str">
        <f>"-text"&amp;" "&amp;D6&amp;","&amp;E6&amp;" "&amp;"10"&amp;" "&amp;"0"&amp;" "&amp;C6</f>
        <v>-text 439771.8093,3399241.8116 10 0 IP3</v>
      </c>
      <c r="AT6" t="str">
        <f t="shared" si="7"/>
        <v>439771.8093,3399241.8116</v>
      </c>
      <c r="AV6">
        <f t="shared" si="8"/>
        <v>478.122</v>
      </c>
      <c r="AX6" t="str">
        <f t="shared" si="9"/>
        <v>pl 941.963275267835,279 941.963275267835,400 </v>
      </c>
      <c r="AY6" t="str">
        <f t="shared" si="10"/>
        <v>941.963275267835,472.922</v>
      </c>
      <c r="AZ6" t="str">
        <f t="shared" si="11"/>
        <v>941.963275267835,476.843</v>
      </c>
      <c r="BA6" t="str">
        <f t="shared" si="12"/>
        <v>941.963275267835,478.122</v>
      </c>
      <c r="BB6" t="str">
        <f t="shared" si="13"/>
        <v>-text 940.963275267835,337 3.5 90 472.922 </v>
      </c>
      <c r="BC6" t="str">
        <f t="shared" si="14"/>
        <v>-text 940.963275267835,320 3.5 90 478.122 </v>
      </c>
      <c r="BD6" t="str">
        <f t="shared" si="15"/>
        <v>-text 940.963275267835,306 3.5 90 476.843 </v>
      </c>
      <c r="BE6" t="str">
        <f t="shared" si="16"/>
        <v>-text 940.963275267835,352 3.5 90 ZG1+883.927 </v>
      </c>
      <c r="BF6" t="str">
        <f t="shared" si="17"/>
        <v>-text 940.963275267835,280 3.5 90 IP3 </v>
      </c>
      <c r="BG6" t="str">
        <f t="shared" si="18"/>
        <v>-TEXT 942.963275267835,300 3.5 0 R=80</v>
      </c>
      <c r="BH6" t="str">
        <f t="shared" si="19"/>
        <v>-TEXT 942.963275267835,295 3.5 0 α=10.27° </v>
      </c>
      <c r="BI6" t="str">
        <f t="shared" si="20"/>
        <v>-TEXT 942.963275267835,290 3.5 0 T=7.19 </v>
      </c>
      <c r="BJ6" t="str">
        <f t="shared" si="21"/>
        <v>-TEXT 942.963275267835,285 3.5 0 S=14.33 </v>
      </c>
    </row>
    <row r="7" spans="1:62">
      <c r="A7">
        <v>1</v>
      </c>
      <c r="B7">
        <v>6</v>
      </c>
      <c r="C7" t="s">
        <v>27</v>
      </c>
      <c r="D7" s="39">
        <v>446605.0642</v>
      </c>
      <c r="E7" s="39">
        <v>3398474.8603</v>
      </c>
      <c r="F7">
        <v>80</v>
      </c>
      <c r="G7">
        <f t="shared" si="22"/>
        <v>24.902</v>
      </c>
      <c r="H7">
        <f t="shared" si="23"/>
        <v>17.6638071038328</v>
      </c>
      <c r="I7">
        <f t="shared" si="24"/>
        <v>34.7697512265302</v>
      </c>
      <c r="J7">
        <f t="shared" si="25"/>
        <v>6876.16076200565</v>
      </c>
      <c r="K7" s="40">
        <f t="shared" si="26"/>
        <v>8742.40426959656</v>
      </c>
      <c r="L7" s="40">
        <f t="shared" si="27"/>
        <v>8759.78914520982</v>
      </c>
      <c r="M7" s="40">
        <f t="shared" si="28"/>
        <v>8777.17402082309</v>
      </c>
      <c r="N7" s="41">
        <v>474.091</v>
      </c>
      <c r="O7" s="41">
        <v>470.17</v>
      </c>
      <c r="P7">
        <v>0.002</v>
      </c>
      <c r="Q7" s="39">
        <f t="shared" si="5"/>
        <v>446587.510611505</v>
      </c>
      <c r="R7" s="39">
        <f t="shared" si="6"/>
        <v>3398476.83048079</v>
      </c>
      <c r="S7" s="39">
        <f t="shared" si="29"/>
        <v>446604.441483247</v>
      </c>
      <c r="T7" s="39">
        <f t="shared" si="30"/>
        <v>3398473.03682643</v>
      </c>
      <c r="U7" s="39">
        <f t="shared" si="31"/>
        <v>446620.156213143</v>
      </c>
      <c r="V7" s="39">
        <f t="shared" si="32"/>
        <v>3398465.68199838</v>
      </c>
      <c r="X7" s="39"/>
      <c r="Y7" s="39"/>
      <c r="Z7" s="39"/>
      <c r="AD7" s="39"/>
      <c r="AE7" s="39"/>
      <c r="AI7" t="str">
        <f t="array" ref="AI7">IFERROR(INDEX($L$2:$L$805,SMALL(IF(ISNUMBER(FIND($AH$2,$C$2:$C$805)),ROW($2:$805)-1,4^8),ROW(A6)))&amp;"","")</f>
        <v>15678.768609761</v>
      </c>
      <c r="AJ7" t="str">
        <f t="array" ref="AJ7">IFERROR(INDEX($C$2:$C$805,SMALL(IF(ISNUMBER(FIND($AH$2,$C$2:$C$805)),ROW($2:$805)-1,4^8),ROW(B6)))&amp;"","")</f>
        <v>段家隧出</v>
      </c>
      <c r="AS7" t="str">
        <f>"-text"&amp;" "&amp;D7&amp;","&amp;E7&amp;" "&amp;"10"&amp;" "&amp;"0"&amp;" "&amp;C7</f>
        <v>-text 446605.0642,3398474.8603 10 0 IP4</v>
      </c>
      <c r="AT7" t="str">
        <f t="shared" si="7"/>
        <v>446605.0642,3398474.8603</v>
      </c>
      <c r="AV7">
        <f t="shared" si="8"/>
        <v>475.37</v>
      </c>
      <c r="AX7" t="str">
        <f t="shared" si="9"/>
        <v>pl 4379.89457260491,279 4379.89457260491,400 </v>
      </c>
      <c r="AY7" t="str">
        <f t="shared" si="10"/>
        <v>4379.89457260491,470.17</v>
      </c>
      <c r="AZ7" t="str">
        <f t="shared" si="11"/>
        <v>4379.89457260491,474.091</v>
      </c>
      <c r="BA7" t="str">
        <f t="shared" si="12"/>
        <v>4379.89457260491,475.37</v>
      </c>
      <c r="BB7" t="str">
        <f t="shared" si="13"/>
        <v>-text 4378.89457260491,337 3.5 90 470.170 </v>
      </c>
      <c r="BC7" t="str">
        <f t="shared" si="14"/>
        <v>-text 4378.89457260491,320 3.5 90 475.370 </v>
      </c>
      <c r="BD7" t="str">
        <f t="shared" si="15"/>
        <v>-text 4378.89457260491,306 3.5 90 474.091 </v>
      </c>
      <c r="BE7" t="str">
        <f t="shared" si="16"/>
        <v>-text 4378.89457260491,352 3.5 90 ZG8+759.789 </v>
      </c>
      <c r="BF7" t="str">
        <f t="shared" si="17"/>
        <v>-text 4378.89457260491,280 3.5 90 IP4 </v>
      </c>
      <c r="BG7" t="str">
        <f t="shared" si="18"/>
        <v>-TEXT 4380.89457260491,300 3.5 0 R=80</v>
      </c>
      <c r="BH7" t="str">
        <f t="shared" si="19"/>
        <v>-TEXT 4380.89457260491,295 3.5 0 α=24.90° </v>
      </c>
      <c r="BI7" t="str">
        <f t="shared" si="20"/>
        <v>-TEXT 4380.89457260491,290 3.5 0 T=17.66 </v>
      </c>
      <c r="BJ7" t="str">
        <f t="shared" si="21"/>
        <v>-TEXT 4380.89457260491,285 3.5 0 S=34.77 </v>
      </c>
    </row>
    <row r="8" spans="1:62">
      <c r="A8">
        <v>1</v>
      </c>
      <c r="B8">
        <v>7</v>
      </c>
      <c r="C8" t="s">
        <v>28</v>
      </c>
      <c r="D8" s="39">
        <v>448883.2453</v>
      </c>
      <c r="E8" s="39">
        <v>3397089.3703</v>
      </c>
      <c r="F8">
        <v>80</v>
      </c>
      <c r="G8">
        <f t="shared" si="22"/>
        <v>33.479</v>
      </c>
      <c r="H8">
        <f t="shared" si="23"/>
        <v>24.0612792679755</v>
      </c>
      <c r="I8">
        <f t="shared" si="24"/>
        <v>46.7455024220145</v>
      </c>
      <c r="J8">
        <f t="shared" si="25"/>
        <v>2666.40050714376</v>
      </c>
      <c r="K8" s="40">
        <f t="shared" si="26"/>
        <v>11401.849441595</v>
      </c>
      <c r="L8" s="40">
        <f t="shared" si="27"/>
        <v>11425.222192806</v>
      </c>
      <c r="M8" s="40">
        <f t="shared" si="28"/>
        <v>11448.5949440171</v>
      </c>
      <c r="N8">
        <v>473.022</v>
      </c>
      <c r="O8">
        <v>469.101</v>
      </c>
      <c r="P8">
        <v>0.003</v>
      </c>
      <c r="Q8" s="39">
        <f t="shared" si="5"/>
        <v>448862.68726623</v>
      </c>
      <c r="R8" s="39">
        <f t="shared" si="6"/>
        <v>3397101.87279605</v>
      </c>
      <c r="S8" s="39">
        <f t="shared" si="29"/>
        <v>448880.612662798</v>
      </c>
      <c r="T8" s="39">
        <f t="shared" si="30"/>
        <v>3397087.00363914</v>
      </c>
      <c r="U8" s="39">
        <f t="shared" si="31"/>
        <v>448893.495905392</v>
      </c>
      <c r="V8" s="39">
        <f t="shared" si="32"/>
        <v>3397067.60173897</v>
      </c>
      <c r="X8" s="39"/>
      <c r="Y8" s="39"/>
      <c r="Z8" s="39"/>
      <c r="AD8" s="39"/>
      <c r="AE8" s="39"/>
      <c r="AI8" t="str">
        <f t="array" ref="AI8">IFERROR(INDEX($L$2:$L$805,SMALL(IF(ISNUMBER(FIND($AH$2,$C$2:$C$805)),ROW($2:$805)-1,4^8),ROW(A7)))&amp;"","")</f>
        <v>15868.4147384996</v>
      </c>
      <c r="AJ8" t="str">
        <f t="array" ref="AJ8">IFERROR(INDEX($C$2:$C$805,SMALL(IF(ISNUMBER(FIND($AH$2,$C$2:$C$805)),ROW($2:$805)-1,4^8),ROW(B7)))&amp;"","")</f>
        <v>段家2#渡槽出</v>
      </c>
      <c r="AS8" t="str">
        <f>"-text"&amp;" "&amp;D8&amp;","&amp;E8&amp;" "&amp;"10"&amp;" "&amp;"0"&amp;" "&amp;C8</f>
        <v>-text 448883.2453,3397089.3703 10 0 IP5</v>
      </c>
      <c r="AT8" t="str">
        <f t="shared" si="7"/>
        <v>448883.2453,3397089.3703</v>
      </c>
      <c r="AV8">
        <f t="shared" si="8"/>
        <v>474.301</v>
      </c>
      <c r="AX8" t="str">
        <f t="shared" si="9"/>
        <v>pl 5712.61109640302,279 5712.61109640302,400 </v>
      </c>
      <c r="AY8" t="str">
        <f t="shared" si="10"/>
        <v>5712.61109640302,469.101</v>
      </c>
      <c r="AZ8" t="str">
        <f t="shared" si="11"/>
        <v>5712.61109640302,473.022</v>
      </c>
      <c r="BA8" t="str">
        <f t="shared" si="12"/>
        <v>5712.61109640302,474.301</v>
      </c>
      <c r="BB8" t="str">
        <f t="shared" si="13"/>
        <v>-text 5711.61109640302,337 3.5 90 469.101 </v>
      </c>
      <c r="BC8" t="str">
        <f t="shared" si="14"/>
        <v>-text 5711.61109640302,320 3.5 90 474.301 </v>
      </c>
      <c r="BD8" t="str">
        <f t="shared" si="15"/>
        <v>-text 5711.61109640302,306 3.5 90 473.022 </v>
      </c>
      <c r="BE8" t="str">
        <f t="shared" si="16"/>
        <v>-text 5711.61109640302,352 3.5 90 ZG11+425.222 </v>
      </c>
      <c r="BF8" t="str">
        <f t="shared" si="17"/>
        <v>-text 5711.61109640302,280 3.5 90 IP5 </v>
      </c>
      <c r="BG8" t="str">
        <f t="shared" si="18"/>
        <v>-TEXT 5713.61109640302,300 3.5 0 R=80</v>
      </c>
      <c r="BH8" t="str">
        <f t="shared" si="19"/>
        <v>-TEXT 5713.61109640302,295 3.5 0 α=33.48° </v>
      </c>
      <c r="BI8" t="str">
        <f t="shared" si="20"/>
        <v>-TEXT 5713.61109640302,290 3.5 0 T=24.06 </v>
      </c>
      <c r="BJ8" t="str">
        <f t="shared" si="21"/>
        <v>-TEXT 5713.61109640302,285 3.5 0 S=46.75 </v>
      </c>
    </row>
    <row r="9" spans="1:62">
      <c r="A9">
        <v>1</v>
      </c>
      <c r="B9">
        <v>8</v>
      </c>
      <c r="C9" t="str">
        <f>Sheet1!C9</f>
        <v>龙泉山隧出</v>
      </c>
      <c r="D9" s="39">
        <v>448941.969</v>
      </c>
      <c r="E9" s="39">
        <v>3396964.6625</v>
      </c>
      <c r="F9">
        <v>0</v>
      </c>
      <c r="G9">
        <f t="shared" si="22"/>
        <v>0</v>
      </c>
      <c r="H9">
        <f t="shared" si="23"/>
        <v>0</v>
      </c>
      <c r="I9">
        <f t="shared" si="24"/>
        <v>0</v>
      </c>
      <c r="J9">
        <f t="shared" si="25"/>
        <v>137.84233138815</v>
      </c>
      <c r="K9" s="40">
        <f t="shared" si="26"/>
        <v>11562.3759961372</v>
      </c>
      <c r="L9" s="40">
        <f t="shared" si="27"/>
        <v>11562.3759961372</v>
      </c>
      <c r="M9" s="40">
        <f t="shared" si="28"/>
        <v>11562.3759961372</v>
      </c>
      <c r="N9">
        <v>472.966</v>
      </c>
      <c r="O9">
        <v>469.045</v>
      </c>
      <c r="P9">
        <v>0</v>
      </c>
      <c r="Q9" s="39">
        <f t="shared" si="5"/>
        <v>448941.969</v>
      </c>
      <c r="R9" s="39">
        <f t="shared" si="6"/>
        <v>3396964.6625</v>
      </c>
      <c r="S9" s="39" t="str">
        <f t="shared" si="29"/>
        <v> </v>
      </c>
      <c r="T9" s="39" t="str">
        <f t="shared" si="30"/>
        <v> </v>
      </c>
      <c r="U9" s="39" t="str">
        <f t="shared" si="31"/>
        <v> </v>
      </c>
      <c r="V9" s="39" t="str">
        <f t="shared" si="32"/>
        <v> </v>
      </c>
      <c r="X9" s="39"/>
      <c r="Y9" s="39"/>
      <c r="Z9" s="39"/>
      <c r="AD9" s="39"/>
      <c r="AE9" s="39"/>
      <c r="AI9" t="str">
        <f t="array" ref="AI9">IFERROR(INDEX($L$2:$L$805,SMALL(IF(ISNUMBER(FIND($AH$2,$C$2:$C$805)),ROW($2:$805)-1,4^8),ROW(A8)))&amp;"","")</f>
        <v>16134.1249262182</v>
      </c>
      <c r="AJ9" t="str">
        <f t="array" ref="AJ9">IFERROR(INDEX($C$2:$C$805,SMALL(IF(ISNUMBER(FIND($AH$2,$C$2:$C$805)),ROW($2:$805)-1,4^8),ROW(B8)))&amp;"","")</f>
        <v>大脑壳隧出</v>
      </c>
      <c r="AT9" t="str">
        <f t="shared" si="7"/>
        <v>448941.969,3396964.6625</v>
      </c>
      <c r="AV9">
        <f t="shared" si="8"/>
        <v>474.245</v>
      </c>
      <c r="AX9" t="str">
        <f t="shared" si="9"/>
        <v>pl 5781.18799806861,279 5781.18799806861,400 </v>
      </c>
      <c r="AY9" t="str">
        <f t="shared" si="10"/>
        <v>5781.18799806861,469.045</v>
      </c>
      <c r="AZ9" t="str">
        <f t="shared" si="11"/>
        <v>5781.18799806861,472.966</v>
      </c>
      <c r="BA9" t="str">
        <f t="shared" si="12"/>
        <v>5781.18799806861,474.245</v>
      </c>
      <c r="BB9" t="str">
        <f t="shared" si="13"/>
        <v>-text 5780.18799806861,337 3.5 90 469.045 </v>
      </c>
      <c r="BC9" t="str">
        <f t="shared" si="14"/>
        <v>-text 5780.18799806861,320 3.5 90 474.245 </v>
      </c>
      <c r="BD9" t="str">
        <f t="shared" si="15"/>
        <v>-text 5780.18799806861,306 3.5 90 472.966 </v>
      </c>
      <c r="BE9" t="str">
        <f t="shared" si="16"/>
        <v>-text 5780.18799806861,352 3.5 90 ZG11+562.376 </v>
      </c>
      <c r="BF9" t="str">
        <f t="shared" si="17"/>
        <v>-text 5780.18799806861,280 3.5 90 龙泉山隧出 </v>
      </c>
      <c r="BG9" t="str">
        <f t="shared" si="18"/>
        <v/>
      </c>
      <c r="BH9" t="str">
        <f t="shared" si="19"/>
        <v> </v>
      </c>
      <c r="BI9" t="str">
        <f t="shared" si="20"/>
        <v> </v>
      </c>
      <c r="BJ9" t="str">
        <f t="shared" si="21"/>
        <v> </v>
      </c>
    </row>
    <row r="10" s="36" customFormat="1" spans="1:62">
      <c r="A10" s="36">
        <v>0</v>
      </c>
      <c r="B10">
        <v>9</v>
      </c>
      <c r="C10" s="42" t="str">
        <f>Sheet1!C10</f>
        <v>狗跳地泄水闸进</v>
      </c>
      <c r="D10" s="43">
        <v>448952.1282</v>
      </c>
      <c r="E10" s="43">
        <v>3396943.088</v>
      </c>
      <c r="F10" s="42">
        <v>0</v>
      </c>
      <c r="G10" s="42">
        <f t="shared" si="22"/>
        <v>0</v>
      </c>
      <c r="H10" s="42">
        <f t="shared" si="23"/>
        <v>0</v>
      </c>
      <c r="I10" s="42">
        <f t="shared" si="24"/>
        <v>0</v>
      </c>
      <c r="J10" s="42">
        <f t="shared" si="25"/>
        <v>23.8467690661521</v>
      </c>
      <c r="K10" s="44">
        <f t="shared" si="26"/>
        <v>11586.2227652034</v>
      </c>
      <c r="L10" s="44">
        <f t="shared" si="27"/>
        <v>11586.2227652034</v>
      </c>
      <c r="M10" s="44">
        <f t="shared" si="28"/>
        <v>11586.2227652034</v>
      </c>
      <c r="N10" s="42">
        <v>473.013</v>
      </c>
      <c r="O10" s="42">
        <v>469.044</v>
      </c>
      <c r="P10" s="42">
        <v>0</v>
      </c>
      <c r="Q10" s="43">
        <f t="shared" si="5"/>
        <v>448952.1282</v>
      </c>
      <c r="R10" s="43">
        <f t="shared" si="6"/>
        <v>3396943.088</v>
      </c>
      <c r="S10" s="43" t="str">
        <f t="shared" si="29"/>
        <v> </v>
      </c>
      <c r="T10" s="43" t="str">
        <f t="shared" si="30"/>
        <v> </v>
      </c>
      <c r="U10" s="43" t="str">
        <f t="shared" si="31"/>
        <v> </v>
      </c>
      <c r="V10" s="43" t="str">
        <f t="shared" si="32"/>
        <v> </v>
      </c>
      <c r="X10" s="45"/>
      <c r="Y10" s="45"/>
      <c r="Z10" s="45"/>
      <c r="AA10" s="36"/>
      <c r="AB10" s="36"/>
      <c r="AC10" s="36"/>
      <c r="AD10" s="45"/>
      <c r="AE10" s="45"/>
      <c r="AF10" s="36"/>
      <c r="AI10" t="str">
        <f t="array" ref="AI10">IFERROR(INDEX($L$2:$L$805,SMALL(IF(ISNUMBER(FIND($AH$2,$C$2:$C$805)),ROW($2:$805)-1,4^8),ROW(A9)))&amp;"","")</f>
        <v>16217.4431353256</v>
      </c>
      <c r="AJ10" t="str">
        <f t="array" ref="AJ10">IFERROR(INDEX($C$2:$C$805,SMALL(IF(ISNUMBER(FIND($AH$2,$C$2:$C$805)),ROW($2:$805)-1,4^8),ROW(B9)))&amp;"","")</f>
        <v>新塘坊渡槽出</v>
      </c>
      <c r="AT10" t="str">
        <f t="shared" si="7"/>
        <v>448952.1282,3396943.088</v>
      </c>
      <c r="AV10">
        <f t="shared" si="8"/>
        <v>474.544</v>
      </c>
      <c r="AX10" t="str">
        <f t="shared" si="9"/>
        <v>pl 5793.11138260169,279 5793.11138260169,400 </v>
      </c>
      <c r="AY10" t="str">
        <f t="shared" si="10"/>
        <v>5793.11138260169,469.044</v>
      </c>
      <c r="AZ10" t="str">
        <f t="shared" si="11"/>
        <v>5793.11138260169,473.013</v>
      </c>
      <c r="BA10" t="str">
        <f t="shared" si="12"/>
        <v>5793.11138260169,474.544</v>
      </c>
      <c r="BB10" t="str">
        <f t="shared" si="13"/>
        <v>-text 5792.11138260169,337 3.5 90 469.044 </v>
      </c>
      <c r="BC10" t="str">
        <f t="shared" si="14"/>
        <v>-text 5792.11138260169,320 3.5 90 474.544 </v>
      </c>
      <c r="BD10" t="str">
        <f t="shared" si="15"/>
        <v>-text 5792.11138260169,306 3.5 90 473.013 </v>
      </c>
      <c r="BE10" t="str">
        <f t="shared" si="16"/>
        <v>-text 5792.11138260169,352 3.5 90 ZG11+586.223 </v>
      </c>
      <c r="BF10" t="str">
        <f t="shared" si="17"/>
        <v>-text 5792.11138260169,280 3.5 90 狗跳地泄水闸进 </v>
      </c>
      <c r="BG10" t="str">
        <f t="shared" si="18"/>
        <v/>
      </c>
      <c r="BH10" t="str">
        <f t="shared" si="19"/>
        <v> </v>
      </c>
      <c r="BI10" t="str">
        <f t="shared" si="20"/>
        <v> </v>
      </c>
      <c r="BJ10" t="str">
        <f t="shared" si="21"/>
        <v> </v>
      </c>
    </row>
    <row r="11" s="36" customFormat="1" spans="1:62">
      <c r="A11" s="36">
        <v>0</v>
      </c>
      <c r="B11">
        <v>10</v>
      </c>
      <c r="C11" s="42" t="str">
        <f>Sheet1!C11</f>
        <v>狗跳地泄水闸出</v>
      </c>
      <c r="D11" s="43">
        <v>448952.1282</v>
      </c>
      <c r="E11" s="43">
        <v>3396943.088</v>
      </c>
      <c r="F11" s="42">
        <v>0</v>
      </c>
      <c r="G11" s="42">
        <f t="shared" si="22"/>
        <v>0</v>
      </c>
      <c r="H11" s="42">
        <f t="shared" si="23"/>
        <v>0</v>
      </c>
      <c r="I11" s="42">
        <f t="shared" si="24"/>
        <v>0</v>
      </c>
      <c r="J11" s="42">
        <f t="shared" si="25"/>
        <v>0</v>
      </c>
      <c r="K11" s="44">
        <f t="shared" si="26"/>
        <v>11586.2227652034</v>
      </c>
      <c r="L11" s="44">
        <f t="shared" si="27"/>
        <v>11586.2227652034</v>
      </c>
      <c r="M11" s="44">
        <f t="shared" si="28"/>
        <v>11586.2227652034</v>
      </c>
      <c r="N11" s="42">
        <v>472.983</v>
      </c>
      <c r="O11" s="42">
        <v>469.014</v>
      </c>
      <c r="P11" s="42">
        <v>0</v>
      </c>
      <c r="Q11" s="43">
        <f t="shared" si="5"/>
        <v>448952.1282</v>
      </c>
      <c r="R11" s="43">
        <f t="shared" si="6"/>
        <v>3396943.088</v>
      </c>
      <c r="S11" s="43" t="str">
        <f t="shared" si="29"/>
        <v> </v>
      </c>
      <c r="T11" s="43" t="str">
        <f t="shared" si="30"/>
        <v> </v>
      </c>
      <c r="U11" s="43" t="str">
        <f t="shared" si="31"/>
        <v> </v>
      </c>
      <c r="V11" s="43" t="str">
        <f t="shared" si="32"/>
        <v> </v>
      </c>
      <c r="AI11" t="str">
        <f t="array" ref="AI11">IFERROR(INDEX($L$2:$L$805,SMALL(IF(ISNUMBER(FIND($AH$2,$C$2:$C$805)),ROW($2:$805)-1,4^8),ROW(A10)))&amp;"","")</f>
        <v>16351.4798176464</v>
      </c>
      <c r="AJ11" t="str">
        <f t="array" ref="AJ11">IFERROR(INDEX($C$2:$C$805,SMALL(IF(ISNUMBER(FIND($AH$2,$C$2:$C$805)),ROW($2:$805)-1,4^8),ROW(B10)))&amp;"","")</f>
        <v>火烧梁隧出</v>
      </c>
      <c r="AT11" t="str">
        <f t="shared" si="7"/>
        <v>448952.1282,3396943.088</v>
      </c>
      <c r="AV11">
        <f t="shared" si="8"/>
        <v>474.514</v>
      </c>
      <c r="AX11" t="str">
        <f t="shared" si="9"/>
        <v>pl 5793.11138260169,279 5793.11138260169,400 </v>
      </c>
      <c r="AY11" t="str">
        <f t="shared" si="10"/>
        <v>5793.11138260169,469.014</v>
      </c>
      <c r="AZ11" t="str">
        <f t="shared" si="11"/>
        <v>5793.11138260169,472.983</v>
      </c>
      <c r="BA11" t="str">
        <f t="shared" si="12"/>
        <v>5793.11138260169,474.514</v>
      </c>
      <c r="BB11" t="str">
        <f t="shared" si="13"/>
        <v>-text 5792.11138260169,337 3.5 90 469.014 </v>
      </c>
      <c r="BC11" t="str">
        <f t="shared" si="14"/>
        <v>-text 5792.11138260169,320 3.5 90 474.514 </v>
      </c>
      <c r="BD11" t="str">
        <f t="shared" si="15"/>
        <v>-text 5792.11138260169,306 3.5 90 472.983 </v>
      </c>
      <c r="BE11" t="str">
        <f t="shared" si="16"/>
        <v>-text 5792.11138260169,352 3.5 90 ZG11+586.223 </v>
      </c>
      <c r="BF11" t="str">
        <f t="shared" si="17"/>
        <v>-text 5792.11138260169,280 3.5 90 狗跳地泄水闸出 </v>
      </c>
      <c r="BG11" t="str">
        <f t="shared" si="18"/>
        <v/>
      </c>
      <c r="BH11" t="str">
        <f t="shared" si="19"/>
        <v> </v>
      </c>
      <c r="BI11" t="str">
        <f t="shared" si="20"/>
        <v> </v>
      </c>
      <c r="BJ11" t="str">
        <f t="shared" si="21"/>
        <v> </v>
      </c>
    </row>
    <row r="12" spans="1:62">
      <c r="A12">
        <v>2</v>
      </c>
      <c r="B12">
        <v>11</v>
      </c>
      <c r="C12" t="str">
        <f>Sheet1!C12</f>
        <v>狗跳地渡槽进</v>
      </c>
      <c r="D12" s="39">
        <v>448963.9261</v>
      </c>
      <c r="E12" s="39">
        <v>3396918.0335</v>
      </c>
      <c r="F12">
        <v>0</v>
      </c>
      <c r="G12">
        <f t="shared" si="22"/>
        <v>0</v>
      </c>
      <c r="H12">
        <f t="shared" si="23"/>
        <v>0</v>
      </c>
      <c r="I12">
        <f t="shared" si="24"/>
        <v>0</v>
      </c>
      <c r="J12">
        <f t="shared" si="25"/>
        <v>27.693291871217</v>
      </c>
      <c r="K12" s="40">
        <f t="shared" si="26"/>
        <v>11613.9160570746</v>
      </c>
      <c r="L12" s="40">
        <f t="shared" si="27"/>
        <v>11613.9160570746</v>
      </c>
      <c r="M12" s="40">
        <f t="shared" si="28"/>
        <v>11613.9160570746</v>
      </c>
      <c r="N12">
        <v>472.858</v>
      </c>
      <c r="O12">
        <v>468.975</v>
      </c>
      <c r="P12">
        <v>0</v>
      </c>
      <c r="Q12" s="39">
        <f t="shared" si="5"/>
        <v>448963.9261</v>
      </c>
      <c r="R12" s="39">
        <f t="shared" si="6"/>
        <v>3396918.0335</v>
      </c>
      <c r="S12" s="39" t="str">
        <f t="shared" si="29"/>
        <v> </v>
      </c>
      <c r="T12" s="39" t="str">
        <f t="shared" si="30"/>
        <v> </v>
      </c>
      <c r="U12" s="39" t="str">
        <f t="shared" si="31"/>
        <v> </v>
      </c>
      <c r="V12" s="39" t="str">
        <f t="shared" si="32"/>
        <v> </v>
      </c>
      <c r="AI12" t="str">
        <f t="array" ref="AI12">IFERROR(INDEX($L$2:$L$805,SMALL(IF(ISNUMBER(FIND($AH$2,$C$2:$C$805)),ROW($2:$805)-1,4^8),ROW(A11)))&amp;"","")</f>
        <v>16481.7303166364</v>
      </c>
      <c r="AJ12" t="str">
        <f t="array" ref="AJ12">IFERROR(INDEX($C$2:$C$805,SMALL(IF(ISNUMBER(FIND($AH$2,$C$2:$C$805)),ROW($2:$805)-1,4^8),ROW(B11)))&amp;"","")</f>
        <v>龙门垭渡槽出</v>
      </c>
      <c r="AT12" t="str">
        <f t="shared" si="7"/>
        <v>448963.9261,3396918.0335</v>
      </c>
      <c r="AV12">
        <f t="shared" si="8"/>
        <v>473.575</v>
      </c>
      <c r="AX12" t="str">
        <f t="shared" si="9"/>
        <v>pl 5806.9580285373,279 5806.9580285373,400 </v>
      </c>
      <c r="AY12" t="str">
        <f t="shared" si="10"/>
        <v>5806.9580285373,468.975</v>
      </c>
      <c r="AZ12" t="str">
        <f t="shared" si="11"/>
        <v>5806.9580285373,472.858</v>
      </c>
      <c r="BA12" t="str">
        <f t="shared" si="12"/>
        <v>5806.9580285373,473.575</v>
      </c>
      <c r="BB12" t="str">
        <f t="shared" si="13"/>
        <v>-text 5805.9580285373,337 3.5 90 468.975 </v>
      </c>
      <c r="BC12" t="str">
        <f t="shared" si="14"/>
        <v>-text 5805.9580285373,320 3.5 90 473.575 </v>
      </c>
      <c r="BD12" t="str">
        <f t="shared" si="15"/>
        <v>-text 5805.9580285373,306 3.5 90 472.858 </v>
      </c>
      <c r="BE12" t="str">
        <f t="shared" si="16"/>
        <v>-text 5805.9580285373,352 3.5 90 ZG11+613.916 </v>
      </c>
      <c r="BF12" t="str">
        <f t="shared" si="17"/>
        <v>-text 5805.9580285373,280 3.5 90 狗跳地渡槽进 </v>
      </c>
      <c r="BG12" t="str">
        <f t="shared" si="18"/>
        <v/>
      </c>
      <c r="BH12" t="str">
        <f t="shared" si="19"/>
        <v> </v>
      </c>
      <c r="BI12" t="str">
        <f t="shared" si="20"/>
        <v> </v>
      </c>
      <c r="BJ12" t="str">
        <f t="shared" si="21"/>
        <v> </v>
      </c>
    </row>
    <row r="13" spans="1:62">
      <c r="A13">
        <v>2</v>
      </c>
      <c r="B13">
        <v>12</v>
      </c>
      <c r="C13" t="str">
        <f>Sheet1!C13</f>
        <v>狗跳地渡槽出</v>
      </c>
      <c r="D13" s="39">
        <v>449017.1788</v>
      </c>
      <c r="E13" s="39">
        <v>3396804.9442</v>
      </c>
      <c r="F13">
        <v>0</v>
      </c>
      <c r="G13">
        <f t="shared" si="22"/>
        <v>0</v>
      </c>
      <c r="H13">
        <f t="shared" si="23"/>
        <v>0</v>
      </c>
      <c r="I13">
        <f t="shared" si="24"/>
        <v>0</v>
      </c>
      <c r="J13">
        <f t="shared" si="25"/>
        <v>125.000159327122</v>
      </c>
      <c r="K13" s="40">
        <f t="shared" si="26"/>
        <v>11738.9162164017</v>
      </c>
      <c r="L13" s="40">
        <f t="shared" si="27"/>
        <v>11738.9162164017</v>
      </c>
      <c r="M13" s="40">
        <f t="shared" si="28"/>
        <v>11738.9162164017</v>
      </c>
      <c r="N13">
        <v>472.801</v>
      </c>
      <c r="O13">
        <v>468.918</v>
      </c>
      <c r="P13">
        <v>0</v>
      </c>
      <c r="Q13" s="39">
        <f t="shared" si="5"/>
        <v>449017.1788</v>
      </c>
      <c r="R13" s="39">
        <f t="shared" si="6"/>
        <v>3396804.9442</v>
      </c>
      <c r="S13" s="39" t="str">
        <f t="shared" si="29"/>
        <v> </v>
      </c>
      <c r="T13" s="39" t="str">
        <f t="shared" si="30"/>
        <v> </v>
      </c>
      <c r="U13" s="39" t="str">
        <f t="shared" si="31"/>
        <v> </v>
      </c>
      <c r="V13" s="39" t="str">
        <f t="shared" si="32"/>
        <v> </v>
      </c>
      <c r="AI13" t="str">
        <f t="array" ref="AI13">IFERROR(INDEX($L$2:$L$805,SMALL(IF(ISNUMBER(FIND($AH$2,$C$2:$C$805)),ROW($2:$805)-1,4^8),ROW(A12)))&amp;"","")</f>
        <v>17267.0773959616</v>
      </c>
      <c r="AJ13" t="str">
        <f t="array" ref="AJ13">IFERROR(INDEX($C$2:$C$805,SMALL(IF(ISNUMBER(FIND($AH$2,$C$2:$C$805)),ROW($2:$805)-1,4^8),ROW(B12)))&amp;"","")</f>
        <v>雷家湾倒虹管出</v>
      </c>
      <c r="AT13" t="str">
        <f t="shared" si="7"/>
        <v>449017.1788,3396804.9442</v>
      </c>
      <c r="AV13">
        <f t="shared" si="8"/>
        <v>473.518</v>
      </c>
      <c r="AX13" t="str">
        <f t="shared" si="9"/>
        <v>pl 5869.45810820086,279 5869.45810820086,400 </v>
      </c>
      <c r="AY13" t="str">
        <f t="shared" si="10"/>
        <v>5869.45810820086,468.918</v>
      </c>
      <c r="AZ13" t="str">
        <f t="shared" si="11"/>
        <v>5869.45810820086,472.801</v>
      </c>
      <c r="BA13" t="str">
        <f t="shared" si="12"/>
        <v>5869.45810820086,473.518</v>
      </c>
      <c r="BB13" t="str">
        <f t="shared" si="13"/>
        <v>-text 5868.45810820086,337 3.5 90 468.918 </v>
      </c>
      <c r="BC13" t="str">
        <f t="shared" si="14"/>
        <v>-text 5868.45810820086,320 3.5 90 473.518 </v>
      </c>
      <c r="BD13" t="str">
        <f t="shared" si="15"/>
        <v>-text 5868.45810820086,306 3.5 90 472.801 </v>
      </c>
      <c r="BE13" t="str">
        <f t="shared" si="16"/>
        <v>-text 5868.45810820086,352 3.5 90 ZG11+738.916 </v>
      </c>
      <c r="BF13" t="str">
        <f t="shared" si="17"/>
        <v>-text 5868.45810820086,280 3.5 90 狗跳地渡槽出 </v>
      </c>
      <c r="BG13" t="str">
        <f t="shared" si="18"/>
        <v/>
      </c>
      <c r="BH13" t="str">
        <f t="shared" si="19"/>
        <v> </v>
      </c>
      <c r="BI13" t="str">
        <f t="shared" si="20"/>
        <v> </v>
      </c>
      <c r="BJ13" t="str">
        <f t="shared" si="21"/>
        <v> </v>
      </c>
    </row>
    <row r="14" spans="1:62">
      <c r="A14">
        <v>1</v>
      </c>
      <c r="B14">
        <v>13</v>
      </c>
      <c r="C14" t="str">
        <f>Sheet1!C14</f>
        <v>两河口隧进</v>
      </c>
      <c r="D14" s="39">
        <v>449027.6145</v>
      </c>
      <c r="E14" s="39">
        <v>3396782.7825</v>
      </c>
      <c r="F14">
        <v>0</v>
      </c>
      <c r="G14">
        <f t="shared" si="22"/>
        <v>0</v>
      </c>
      <c r="H14">
        <f t="shared" si="23"/>
        <v>0</v>
      </c>
      <c r="I14">
        <f t="shared" si="24"/>
        <v>0</v>
      </c>
      <c r="J14">
        <f t="shared" si="25"/>
        <v>24.4958115065096</v>
      </c>
      <c r="K14" s="40">
        <f t="shared" si="26"/>
        <v>11763.4120279082</v>
      </c>
      <c r="L14" s="40">
        <f t="shared" si="27"/>
        <v>11763.4120279082</v>
      </c>
      <c r="M14" s="40">
        <f t="shared" si="28"/>
        <v>11763.4120279082</v>
      </c>
      <c r="N14">
        <v>472.764</v>
      </c>
      <c r="O14">
        <v>468.843</v>
      </c>
      <c r="P14">
        <v>0</v>
      </c>
      <c r="Q14" s="39">
        <f t="shared" si="5"/>
        <v>449027.6145</v>
      </c>
      <c r="R14" s="39">
        <f t="shared" si="6"/>
        <v>3396782.7825</v>
      </c>
      <c r="S14" s="39" t="str">
        <f t="shared" si="29"/>
        <v> </v>
      </c>
      <c r="T14" s="39" t="str">
        <f t="shared" si="30"/>
        <v> </v>
      </c>
      <c r="U14" s="39" t="str">
        <f t="shared" si="31"/>
        <v> </v>
      </c>
      <c r="V14" s="39" t="str">
        <f t="shared" si="32"/>
        <v> </v>
      </c>
      <c r="AI14" t="str">
        <f t="array" ref="AI14">IFERROR(INDEX($L$2:$L$805,SMALL(IF(ISNUMBER(FIND($AH$2,$C$2:$C$805)),ROW($2:$805)-1,4^8),ROW(A13)))&amp;"","")</f>
        <v>17352.1933347371</v>
      </c>
      <c r="AJ14" t="str">
        <f t="array" ref="AJ14">IFERROR(INDEX($C$2:$C$805,SMALL(IF(ISNUMBER(FIND($AH$2,$C$2:$C$805)),ROW($2:$805)-1,4^8),ROW(B13)))&amp;"","")</f>
        <v>鹞子林隧出</v>
      </c>
      <c r="AT14" t="str">
        <f t="shared" si="7"/>
        <v>449027.6145,3396782.7825</v>
      </c>
      <c r="AV14">
        <f t="shared" si="8"/>
        <v>474.043</v>
      </c>
      <c r="AX14" t="str">
        <f t="shared" si="9"/>
        <v>pl 5881.70601395412,279 5881.70601395412,400 </v>
      </c>
      <c r="AY14" t="str">
        <f t="shared" si="10"/>
        <v>5881.70601395412,468.843</v>
      </c>
      <c r="AZ14" t="str">
        <f t="shared" si="11"/>
        <v>5881.70601395412,472.764</v>
      </c>
      <c r="BA14" t="str">
        <f t="shared" si="12"/>
        <v>5881.70601395412,474.043</v>
      </c>
      <c r="BB14" t="str">
        <f t="shared" si="13"/>
        <v>-text 5880.70601395412,337 3.5 90 468.843 </v>
      </c>
      <c r="BC14" t="str">
        <f t="shared" si="14"/>
        <v>-text 5880.70601395412,320 3.5 90 474.043 </v>
      </c>
      <c r="BD14" t="str">
        <f t="shared" si="15"/>
        <v>-text 5880.70601395412,306 3.5 90 472.764 </v>
      </c>
      <c r="BE14" t="str">
        <f t="shared" si="16"/>
        <v>-text 5880.70601395412,352 3.5 90 ZG11+763.412 </v>
      </c>
      <c r="BF14" t="str">
        <f t="shared" si="17"/>
        <v>-text 5880.70601395412,280 3.5 90 两河口隧进 </v>
      </c>
      <c r="BG14" t="str">
        <f t="shared" si="18"/>
        <v/>
      </c>
      <c r="BH14" t="str">
        <f t="shared" si="19"/>
        <v> </v>
      </c>
      <c r="BI14" t="str">
        <f t="shared" si="20"/>
        <v> </v>
      </c>
      <c r="BJ14" t="str">
        <f t="shared" si="21"/>
        <v> </v>
      </c>
    </row>
    <row r="15" spans="1:62">
      <c r="A15">
        <v>1</v>
      </c>
      <c r="B15">
        <v>14</v>
      </c>
      <c r="C15" t="s">
        <v>35</v>
      </c>
      <c r="D15" s="39">
        <v>449155.0898</v>
      </c>
      <c r="E15" s="39">
        <v>3396512.0717</v>
      </c>
      <c r="F15">
        <v>80</v>
      </c>
      <c r="G15">
        <f t="shared" si="22"/>
        <v>34.127</v>
      </c>
      <c r="H15">
        <f t="shared" si="23"/>
        <v>24.5554375595825</v>
      </c>
      <c r="I15">
        <f t="shared" si="24"/>
        <v>47.6502811062484</v>
      </c>
      <c r="J15">
        <f t="shared" si="25"/>
        <v>299.222808867787</v>
      </c>
      <c r="K15" s="40">
        <f t="shared" si="26"/>
        <v>12038.0793992164</v>
      </c>
      <c r="L15" s="40">
        <f t="shared" si="27"/>
        <v>12061.9045397696</v>
      </c>
      <c r="M15" s="40">
        <f t="shared" si="28"/>
        <v>12085.7296803227</v>
      </c>
      <c r="N15">
        <v>472.643</v>
      </c>
      <c r="O15">
        <v>468.722</v>
      </c>
      <c r="P15">
        <v>0.003</v>
      </c>
      <c r="Q15" s="39">
        <f t="shared" si="5"/>
        <v>449144.62865975</v>
      </c>
      <c r="R15" s="39">
        <f t="shared" si="6"/>
        <v>3396534.28732645</v>
      </c>
      <c r="S15" s="39">
        <f t="shared" si="29"/>
        <v>449157.815304579</v>
      </c>
      <c r="T15" s="39">
        <f t="shared" si="30"/>
        <v>3396514.54985832</v>
      </c>
      <c r="U15" s="39">
        <f t="shared" si="31"/>
        <v>449176.213005895</v>
      </c>
      <c r="V15" s="39">
        <f t="shared" si="32"/>
        <v>3396499.55053047</v>
      </c>
      <c r="AI15" t="str">
        <f t="array" ref="AI15">IFERROR(INDEX($L$2:$L$805,SMALL(IF(ISNUMBER(FIND($AH$2,$C$2:$C$805)),ROW($2:$805)-1,4^8),ROW(A14)))&amp;"","")</f>
        <v>17599.1753775116</v>
      </c>
      <c r="AJ15" t="str">
        <f t="array" ref="AJ15">IFERROR(INDEX($C$2:$C$805,SMALL(IF(ISNUMBER(FIND($AH$2,$C$2:$C$805)),ROW($2:$805)-1,4^8),ROW(B14)))&amp;"","")</f>
        <v>鱼尾湾渡槽出</v>
      </c>
      <c r="AS15" t="str">
        <f>"-text"&amp;" "&amp;D15&amp;","&amp;E15&amp;" "&amp;"10"&amp;" "&amp;"0"&amp;" "&amp;C15</f>
        <v>-text 449155.0898,3396512.0717 10 0 IP6</v>
      </c>
      <c r="AT15" t="str">
        <f t="shared" si="7"/>
        <v>449155.0898,3396512.0717</v>
      </c>
      <c r="AV15">
        <f t="shared" si="8"/>
        <v>473.922</v>
      </c>
      <c r="AX15" t="str">
        <f t="shared" si="9"/>
        <v>pl 6030.95226988478,279 6030.95226988478,400 </v>
      </c>
      <c r="AY15" t="str">
        <f t="shared" si="10"/>
        <v>6030.95226988478,468.722</v>
      </c>
      <c r="AZ15" t="str">
        <f t="shared" si="11"/>
        <v>6030.95226988478,472.643</v>
      </c>
      <c r="BA15" t="str">
        <f t="shared" si="12"/>
        <v>6030.95226988478,473.922</v>
      </c>
      <c r="BB15" t="str">
        <f t="shared" si="13"/>
        <v>-text 6029.95226988478,337 3.5 90 468.722 </v>
      </c>
      <c r="BC15" t="str">
        <f t="shared" si="14"/>
        <v>-text 6029.95226988478,320 3.5 90 473.922 </v>
      </c>
      <c r="BD15" t="str">
        <f t="shared" si="15"/>
        <v>-text 6029.95226988478,306 3.5 90 472.643 </v>
      </c>
      <c r="BE15" t="str">
        <f t="shared" si="16"/>
        <v>-text 6029.95226988478,352 3.5 90 ZG12+061.905 </v>
      </c>
      <c r="BF15" t="str">
        <f t="shared" si="17"/>
        <v>-text 6029.95226988478,280 3.5 90 IP6 </v>
      </c>
      <c r="BG15" t="str">
        <f t="shared" si="18"/>
        <v>-TEXT 6031.95226988478,300 3.5 0 R=80</v>
      </c>
      <c r="BH15" t="str">
        <f t="shared" si="19"/>
        <v>-TEXT 6031.95226988478,295 3.5 0 α=34.13° </v>
      </c>
      <c r="BI15" t="str">
        <f t="shared" si="20"/>
        <v>-TEXT 6031.95226988478,290 3.5 0 T=24.56 </v>
      </c>
      <c r="BJ15" t="str">
        <f t="shared" si="21"/>
        <v>-TEXT 6031.95226988478,285 3.5 0 S=47.65 </v>
      </c>
    </row>
    <row r="16" spans="1:62">
      <c r="A16">
        <v>1</v>
      </c>
      <c r="B16">
        <v>15</v>
      </c>
      <c r="C16" t="s">
        <v>36</v>
      </c>
      <c r="D16" s="39">
        <v>451577.1078</v>
      </c>
      <c r="E16" s="39">
        <v>3395076.3759</v>
      </c>
      <c r="F16">
        <v>80</v>
      </c>
      <c r="G16">
        <f t="shared" si="22"/>
        <v>26.534</v>
      </c>
      <c r="H16">
        <f t="shared" si="23"/>
        <v>18.8625537892209</v>
      </c>
      <c r="I16">
        <f t="shared" si="24"/>
        <v>37.048453097934</v>
      </c>
      <c r="J16">
        <f t="shared" si="25"/>
        <v>2815.56275413327</v>
      </c>
      <c r="K16" s="40">
        <f t="shared" si="26"/>
        <v>14857.8744431072</v>
      </c>
      <c r="L16" s="40">
        <f t="shared" si="27"/>
        <v>14876.3986696561</v>
      </c>
      <c r="M16" s="40">
        <f t="shared" si="28"/>
        <v>14894.9228962051</v>
      </c>
      <c r="N16">
        <v>471.515</v>
      </c>
      <c r="O16">
        <v>467.594</v>
      </c>
      <c r="P16">
        <v>0.003</v>
      </c>
      <c r="Q16" s="39">
        <f t="shared" si="5"/>
        <v>451560.881756117</v>
      </c>
      <c r="R16" s="39">
        <f t="shared" si="6"/>
        <v>3395085.99418651</v>
      </c>
      <c r="S16" s="39">
        <f t="shared" si="29"/>
        <v>451577.763467505</v>
      </c>
      <c r="T16" s="39">
        <f t="shared" si="30"/>
        <v>3395078.46928761</v>
      </c>
      <c r="U16" s="39">
        <f t="shared" si="31"/>
        <v>451595.921515961</v>
      </c>
      <c r="V16" s="39">
        <f t="shared" si="32"/>
        <v>3395075.01942398</v>
      </c>
      <c r="AI16" t="str">
        <f t="array" ref="AI16">IFERROR(INDEX($L$2:$L$805,SMALL(IF(ISNUMBER(FIND($AH$2,$C$2:$C$805)),ROW($2:$805)-1,4^8),ROW(A15)))&amp;"","")</f>
        <v>17928.8769236923</v>
      </c>
      <c r="AJ16" t="str">
        <f t="array" ref="AJ16">IFERROR(INDEX($C$2:$C$805,SMALL(IF(ISNUMBER(FIND($AH$2,$C$2:$C$805)),ROW($2:$805)-1,4^8),ROW(B15)))&amp;"","")</f>
        <v>鱼尾湾隧出</v>
      </c>
      <c r="AP16" s="46"/>
      <c r="AS16" t="str">
        <f>"-text"&amp;" "&amp;D16&amp;","&amp;E16&amp;" "&amp;"10"&amp;" "&amp;"0"&amp;" "&amp;C16</f>
        <v>-text 451577.1078,3395076.3759 10 0 IP7</v>
      </c>
      <c r="AT16" t="str">
        <f t="shared" si="7"/>
        <v>451577.1078,3395076.3759</v>
      </c>
      <c r="AV16">
        <f t="shared" si="8"/>
        <v>472.794</v>
      </c>
      <c r="AX16" t="str">
        <f t="shared" si="9"/>
        <v>pl 7438.19933482806,279 7438.19933482806,400 </v>
      </c>
      <c r="AY16" t="str">
        <f t="shared" si="10"/>
        <v>7438.19933482806,467.594</v>
      </c>
      <c r="AZ16" t="str">
        <f t="shared" si="11"/>
        <v>7438.19933482806,471.515</v>
      </c>
      <c r="BA16" t="str">
        <f t="shared" si="12"/>
        <v>7438.19933482806,472.794</v>
      </c>
      <c r="BB16" t="str">
        <f t="shared" si="13"/>
        <v>-text 7437.19933482806,337 3.5 90 467.594 </v>
      </c>
      <c r="BC16" t="str">
        <f t="shared" si="14"/>
        <v>-text 7437.19933482806,320 3.5 90 472.794 </v>
      </c>
      <c r="BD16" t="str">
        <f t="shared" si="15"/>
        <v>-text 7437.19933482806,306 3.5 90 471.515 </v>
      </c>
      <c r="BE16" t="str">
        <f t="shared" si="16"/>
        <v>-text 7437.19933482806,352 3.5 90 ZG14+876.399 </v>
      </c>
      <c r="BF16" t="str">
        <f t="shared" si="17"/>
        <v>-text 7437.19933482806,280 3.5 90 IP7 </v>
      </c>
      <c r="BG16" t="str">
        <f t="shared" si="18"/>
        <v>-TEXT 7439.19933482806,300 3.5 0 R=80</v>
      </c>
      <c r="BH16" t="str">
        <f t="shared" si="19"/>
        <v>-TEXT 7439.19933482806,295 3.5 0 α=26.53° </v>
      </c>
      <c r="BI16" t="str">
        <f t="shared" si="20"/>
        <v>-TEXT 7439.19933482806,290 3.5 0 T=18.86 </v>
      </c>
      <c r="BJ16" t="str">
        <f t="shared" si="21"/>
        <v>-TEXT 7439.19933482806,285 3.5 0 S=37.05 </v>
      </c>
    </row>
    <row r="17" spans="1:62">
      <c r="A17">
        <v>1</v>
      </c>
      <c r="B17">
        <v>16</v>
      </c>
      <c r="C17" t="str">
        <f>Sheet1!C17</f>
        <v>两河口隧出</v>
      </c>
      <c r="D17" s="39">
        <v>451855.8872</v>
      </c>
      <c r="E17" s="39">
        <v>3395056.2758</v>
      </c>
      <c r="F17">
        <v>0</v>
      </c>
      <c r="G17">
        <f t="shared" si="22"/>
        <v>0</v>
      </c>
      <c r="H17">
        <f t="shared" si="23"/>
        <v>0</v>
      </c>
      <c r="I17">
        <f t="shared" si="24"/>
        <v>0</v>
      </c>
      <c r="J17">
        <f t="shared" si="25"/>
        <v>279.503073121507</v>
      </c>
      <c r="K17" s="40">
        <f t="shared" si="26"/>
        <v>15155.5634155374</v>
      </c>
      <c r="L17" s="40">
        <f t="shared" si="27"/>
        <v>15155.5634155374</v>
      </c>
      <c r="M17" s="40">
        <f t="shared" si="28"/>
        <v>15155.5634155374</v>
      </c>
      <c r="N17">
        <v>471.402</v>
      </c>
      <c r="O17">
        <v>467.481</v>
      </c>
      <c r="P17">
        <v>0</v>
      </c>
      <c r="Q17" s="39">
        <f t="shared" si="5"/>
        <v>451855.8872</v>
      </c>
      <c r="R17" s="39">
        <f t="shared" si="6"/>
        <v>3395056.2758</v>
      </c>
      <c r="S17" s="39" t="str">
        <f t="shared" si="29"/>
        <v> </v>
      </c>
      <c r="T17" s="39" t="str">
        <f t="shared" si="30"/>
        <v> </v>
      </c>
      <c r="U17" s="39" t="str">
        <f t="shared" si="31"/>
        <v> </v>
      </c>
      <c r="V17" s="39" t="str">
        <f t="shared" si="32"/>
        <v> </v>
      </c>
      <c r="AI17" t="str">
        <f t="array" ref="AI17">IFERROR(INDEX($L$2:$L$805,SMALL(IF(ISNUMBER(FIND($AH$2,$C$2:$C$805)),ROW($2:$805)-1,4^8),ROW(A16)))&amp;"","")</f>
        <v>18631.9758416227</v>
      </c>
      <c r="AJ17" t="str">
        <f t="array" ref="AJ17">IFERROR(INDEX($C$2:$C$805,SMALL(IF(ISNUMBER(FIND($AH$2,$C$2:$C$805)),ROW($2:$805)-1,4^8),ROW(B16)))&amp;"","")</f>
        <v>堰塘湾渡槽出</v>
      </c>
      <c r="AT17" t="str">
        <f t="shared" si="7"/>
        <v>451855.8872,3395056.2758</v>
      </c>
      <c r="AV17">
        <f t="shared" si="8"/>
        <v>472.681</v>
      </c>
      <c r="AX17" t="str">
        <f t="shared" si="9"/>
        <v>pl 7577.78170776869,279 7577.78170776869,400 </v>
      </c>
      <c r="AY17" t="str">
        <f t="shared" si="10"/>
        <v>7577.78170776869,467.481</v>
      </c>
      <c r="AZ17" t="str">
        <f t="shared" si="11"/>
        <v>7577.78170776869,471.402</v>
      </c>
      <c r="BA17" t="str">
        <f t="shared" si="12"/>
        <v>7577.78170776869,472.681</v>
      </c>
      <c r="BB17" t="str">
        <f t="shared" si="13"/>
        <v>-text 7576.78170776869,337 3.5 90 467.481 </v>
      </c>
      <c r="BC17" t="str">
        <f t="shared" si="14"/>
        <v>-text 7576.78170776869,320 3.5 90 472.681 </v>
      </c>
      <c r="BD17" t="str">
        <f t="shared" si="15"/>
        <v>-text 7576.78170776869,306 3.5 90 471.402 </v>
      </c>
      <c r="BE17" t="str">
        <f t="shared" si="16"/>
        <v>-text 7576.78170776869,352 3.5 90 ZG15+155.563 </v>
      </c>
      <c r="BF17" t="str">
        <f t="shared" si="17"/>
        <v>-text 7576.78170776869,280 3.5 90 两河口隧出 </v>
      </c>
      <c r="BG17" t="str">
        <f t="shared" si="18"/>
        <v/>
      </c>
      <c r="BH17" t="str">
        <f t="shared" si="19"/>
        <v> </v>
      </c>
      <c r="BI17" t="str">
        <f t="shared" si="20"/>
        <v> </v>
      </c>
      <c r="BJ17" t="str">
        <f t="shared" si="21"/>
        <v> </v>
      </c>
    </row>
    <row r="18" spans="1:62">
      <c r="A18">
        <v>2</v>
      </c>
      <c r="B18">
        <v>17</v>
      </c>
      <c r="C18" t="str">
        <f>Sheet1!C18</f>
        <v>段家1#渡槽进</v>
      </c>
      <c r="D18" s="39">
        <v>451870.866</v>
      </c>
      <c r="E18" s="39">
        <v>3395055.1959</v>
      </c>
      <c r="F18">
        <v>0</v>
      </c>
      <c r="G18">
        <f t="shared" si="22"/>
        <v>0</v>
      </c>
      <c r="H18">
        <f t="shared" si="23"/>
        <v>0</v>
      </c>
      <c r="I18">
        <f t="shared" si="24"/>
        <v>0</v>
      </c>
      <c r="J18">
        <f t="shared" si="25"/>
        <v>15.0176773653252</v>
      </c>
      <c r="K18" s="40">
        <f t="shared" si="26"/>
        <v>15170.5810929027</v>
      </c>
      <c r="L18" s="40">
        <f t="shared" si="27"/>
        <v>15170.5810929027</v>
      </c>
      <c r="M18" s="40">
        <f t="shared" si="28"/>
        <v>15170.5810929027</v>
      </c>
      <c r="N18">
        <v>471.33</v>
      </c>
      <c r="O18">
        <v>467.447</v>
      </c>
      <c r="P18">
        <v>0</v>
      </c>
      <c r="Q18" s="39">
        <f t="shared" si="5"/>
        <v>451870.866</v>
      </c>
      <c r="R18" s="39">
        <f t="shared" si="6"/>
        <v>3395055.1959</v>
      </c>
      <c r="S18" s="39" t="str">
        <f t="shared" si="29"/>
        <v> </v>
      </c>
      <c r="T18" s="39" t="str">
        <f t="shared" si="30"/>
        <v> </v>
      </c>
      <c r="U18" s="39" t="str">
        <f t="shared" si="31"/>
        <v> </v>
      </c>
      <c r="V18" s="39" t="str">
        <f t="shared" si="32"/>
        <v> </v>
      </c>
      <c r="AI18" t="str">
        <f t="array" ref="AI18">IFERROR(INDEX($L$2:$L$805,SMALL(IF(ISNUMBER(FIND($AH$2,$C$2:$C$805)),ROW($2:$805)-1,4^8),ROW(A17)))&amp;"","")</f>
        <v>21440.3743912109</v>
      </c>
      <c r="AJ18" t="str">
        <f t="array" ref="AJ18">IFERROR(INDEX($C$2:$C$805,SMALL(IF(ISNUMBER(FIND($AH$2,$C$2:$C$805)),ROW($2:$805)-1,4^8),ROW(B17)))&amp;"","")</f>
        <v>付家坝倒虹管出</v>
      </c>
      <c r="AT18" t="str">
        <f t="shared" si="7"/>
        <v>451870.866,3395055.1959</v>
      </c>
      <c r="AV18">
        <f t="shared" si="8"/>
        <v>472.047</v>
      </c>
      <c r="AX18" t="str">
        <f t="shared" si="9"/>
        <v>pl 7585.29054645135,279 7585.29054645135,400 </v>
      </c>
      <c r="AY18" t="str">
        <f t="shared" si="10"/>
        <v>7585.29054645135,467.447</v>
      </c>
      <c r="AZ18" t="str">
        <f t="shared" si="11"/>
        <v>7585.29054645135,471.33</v>
      </c>
      <c r="BA18" t="str">
        <f t="shared" si="12"/>
        <v>7585.29054645135,472.047</v>
      </c>
      <c r="BB18" t="str">
        <f t="shared" si="13"/>
        <v>-text 7584.29054645135,337 3.5 90 467.447 </v>
      </c>
      <c r="BC18" t="str">
        <f t="shared" si="14"/>
        <v>-text 7584.29054645135,320 3.5 90 472.047 </v>
      </c>
      <c r="BD18" t="str">
        <f t="shared" si="15"/>
        <v>-text 7584.29054645135,306 3.5 90 471.330 </v>
      </c>
      <c r="BE18" t="str">
        <f t="shared" si="16"/>
        <v>-text 7584.29054645135,352 3.5 90 ZG15+170.581 </v>
      </c>
      <c r="BF18" t="str">
        <f t="shared" si="17"/>
        <v>-text 7584.29054645135,280 3.5 90 段家1#渡槽进 </v>
      </c>
      <c r="BG18" t="str">
        <f t="shared" si="18"/>
        <v/>
      </c>
      <c r="BH18" t="str">
        <f t="shared" si="19"/>
        <v> </v>
      </c>
      <c r="BI18" t="str">
        <f t="shared" si="20"/>
        <v> </v>
      </c>
      <c r="BJ18" t="str">
        <f t="shared" si="21"/>
        <v> </v>
      </c>
    </row>
    <row r="19" spans="1:62">
      <c r="A19">
        <v>2</v>
      </c>
      <c r="B19">
        <v>18</v>
      </c>
      <c r="C19" t="str">
        <f>Sheet1!C19</f>
        <v>段家1#渡槽出</v>
      </c>
      <c r="D19" s="39">
        <v>452045.4181</v>
      </c>
      <c r="E19" s="39">
        <v>3395042.6105</v>
      </c>
      <c r="F19">
        <v>0</v>
      </c>
      <c r="G19">
        <f t="shared" si="22"/>
        <v>0</v>
      </c>
      <c r="H19">
        <f t="shared" si="23"/>
        <v>0</v>
      </c>
      <c r="I19">
        <f t="shared" si="24"/>
        <v>0</v>
      </c>
      <c r="J19">
        <f t="shared" si="25"/>
        <v>175.005222515175</v>
      </c>
      <c r="K19" s="40">
        <f t="shared" si="26"/>
        <v>15345.5863154179</v>
      </c>
      <c r="L19" s="40">
        <f t="shared" si="27"/>
        <v>15345.5863154179</v>
      </c>
      <c r="M19" s="40">
        <f t="shared" si="28"/>
        <v>15345.5863154179</v>
      </c>
      <c r="N19">
        <v>471.251</v>
      </c>
      <c r="O19">
        <v>467.368</v>
      </c>
      <c r="P19">
        <v>0</v>
      </c>
      <c r="Q19" s="39">
        <f t="shared" si="5"/>
        <v>452045.4181</v>
      </c>
      <c r="R19" s="39">
        <f t="shared" si="6"/>
        <v>3395042.6105</v>
      </c>
      <c r="S19" s="39" t="str">
        <f t="shared" si="29"/>
        <v> </v>
      </c>
      <c r="T19" s="39" t="str">
        <f t="shared" si="30"/>
        <v> </v>
      </c>
      <c r="U19" s="39" t="str">
        <f t="shared" si="31"/>
        <v> </v>
      </c>
      <c r="V19" s="39" t="str">
        <f t="shared" si="32"/>
        <v> </v>
      </c>
      <c r="AI19" t="str">
        <f t="array" ref="AI19">IFERROR(INDEX($L$2:$L$805,SMALL(IF(ISNUMBER(FIND($AH$2,$C$2:$C$805)),ROW($2:$805)-1,4^8),ROW(A18)))&amp;"","")</f>
        <v>21473.8918559755</v>
      </c>
      <c r="AJ19" t="str">
        <f t="array" ref="AJ19">IFERROR(INDEX($C$2:$C$805,SMALL(IF(ISNUMBER(FIND($AH$2,$C$2:$C$805)),ROW($2:$805)-1,4^8),ROW(B18)))&amp;"","")</f>
        <v>杨溪河泄水闸出</v>
      </c>
      <c r="AT19" t="str">
        <f t="shared" si="7"/>
        <v>452045.4181,3395042.6105</v>
      </c>
      <c r="AV19">
        <f t="shared" si="8"/>
        <v>471.968</v>
      </c>
      <c r="AX19" t="str">
        <f t="shared" si="9"/>
        <v>pl 7672.79315770894,279 7672.79315770894,400 </v>
      </c>
      <c r="AY19" t="str">
        <f t="shared" si="10"/>
        <v>7672.79315770894,467.368</v>
      </c>
      <c r="AZ19" t="str">
        <f t="shared" si="11"/>
        <v>7672.79315770894,471.251</v>
      </c>
      <c r="BA19" t="str">
        <f t="shared" si="12"/>
        <v>7672.79315770894,471.968</v>
      </c>
      <c r="BB19" t="str">
        <f t="shared" si="13"/>
        <v>-text 7671.79315770894,337 3.5 90 467.368 </v>
      </c>
      <c r="BC19" t="str">
        <f t="shared" si="14"/>
        <v>-text 7671.79315770894,320 3.5 90 471.968 </v>
      </c>
      <c r="BD19" t="str">
        <f t="shared" si="15"/>
        <v>-text 7671.79315770894,306 3.5 90 471.251 </v>
      </c>
      <c r="BE19" t="str">
        <f t="shared" si="16"/>
        <v>-text 7671.79315770894,352 3.5 90 ZG15+345.586 </v>
      </c>
      <c r="BF19" t="str">
        <f t="shared" si="17"/>
        <v>-text 7671.79315770894,280 3.5 90 段家1#渡槽出 </v>
      </c>
      <c r="BG19" t="str">
        <f t="shared" si="18"/>
        <v/>
      </c>
      <c r="BH19" t="str">
        <f t="shared" si="19"/>
        <v> </v>
      </c>
      <c r="BI19" t="str">
        <f t="shared" si="20"/>
        <v> </v>
      </c>
      <c r="BJ19" t="str">
        <f t="shared" si="21"/>
        <v> </v>
      </c>
    </row>
    <row r="20" spans="1:62">
      <c r="A20">
        <v>1</v>
      </c>
      <c r="B20">
        <v>19</v>
      </c>
      <c r="C20" t="str">
        <f>Sheet1!C20</f>
        <v>段家隧进</v>
      </c>
      <c r="D20" s="39">
        <v>452091.5816</v>
      </c>
      <c r="E20" s="39">
        <v>3395039.2822</v>
      </c>
      <c r="F20">
        <v>0</v>
      </c>
      <c r="G20">
        <f t="shared" si="22"/>
        <v>0</v>
      </c>
      <c r="H20">
        <f t="shared" si="23"/>
        <v>0</v>
      </c>
      <c r="I20">
        <f t="shared" si="24"/>
        <v>0</v>
      </c>
      <c r="J20">
        <f t="shared" si="25"/>
        <v>46.2833265133134</v>
      </c>
      <c r="K20" s="40">
        <f t="shared" si="26"/>
        <v>15391.8696419312</v>
      </c>
      <c r="L20" s="40">
        <f t="shared" si="27"/>
        <v>15391.8696419312</v>
      </c>
      <c r="M20" s="40">
        <f t="shared" si="28"/>
        <v>15391.8696419312</v>
      </c>
      <c r="N20">
        <v>471.21</v>
      </c>
      <c r="O20">
        <v>467.289</v>
      </c>
      <c r="P20">
        <v>0</v>
      </c>
      <c r="Q20" s="39">
        <f t="shared" si="5"/>
        <v>452091.5816</v>
      </c>
      <c r="R20" s="39">
        <f t="shared" si="6"/>
        <v>3395039.2822</v>
      </c>
      <c r="S20" s="39" t="str">
        <f t="shared" si="29"/>
        <v> </v>
      </c>
      <c r="T20" s="39" t="str">
        <f t="shared" si="30"/>
        <v> </v>
      </c>
      <c r="U20" s="39" t="str">
        <f t="shared" si="31"/>
        <v> </v>
      </c>
      <c r="V20" s="39" t="str">
        <f t="shared" si="32"/>
        <v> </v>
      </c>
      <c r="AI20" t="str">
        <f t="array" ref="AI20">IFERROR(INDEX($L$2:$L$805,SMALL(IF(ISNUMBER(FIND($AH$2,$C$2:$C$805)),ROW($2:$805)-1,4^8),ROW(A19)))&amp;"","")</f>
        <v>24147.7388025797</v>
      </c>
      <c r="AJ20" t="str">
        <f t="array" ref="AJ20">IFERROR(INDEX($C$2:$C$805,SMALL(IF(ISNUMBER(FIND($AH$2,$C$2:$C$805)),ROW($2:$805)-1,4^8),ROW(B19)))&amp;"","")</f>
        <v>杨溪河渡槽出</v>
      </c>
      <c r="AT20" t="str">
        <f t="shared" si="7"/>
        <v>452091.5816,3395039.2822</v>
      </c>
      <c r="AV20">
        <f t="shared" si="8"/>
        <v>472.489</v>
      </c>
      <c r="AX20" t="str">
        <f t="shared" si="9"/>
        <v>pl 7695.93482096559,279 7695.93482096559,400 </v>
      </c>
      <c r="AY20" t="str">
        <f t="shared" si="10"/>
        <v>7695.93482096559,467.289</v>
      </c>
      <c r="AZ20" t="str">
        <f t="shared" si="11"/>
        <v>7695.93482096559,471.21</v>
      </c>
      <c r="BA20" t="str">
        <f t="shared" si="12"/>
        <v>7695.93482096559,472.489</v>
      </c>
      <c r="BB20" t="str">
        <f t="shared" si="13"/>
        <v>-text 7694.93482096559,337 3.5 90 467.289 </v>
      </c>
      <c r="BC20" t="str">
        <f t="shared" si="14"/>
        <v>-text 7694.93482096559,320 3.5 90 472.489 </v>
      </c>
      <c r="BD20" t="str">
        <f t="shared" si="15"/>
        <v>-text 7694.93482096559,306 3.5 90 471.210 </v>
      </c>
      <c r="BE20" t="str">
        <f t="shared" si="16"/>
        <v>-text 7694.93482096559,352 3.5 90 ZG15+391.870 </v>
      </c>
      <c r="BF20" t="str">
        <f t="shared" si="17"/>
        <v>-text 7694.93482096559,280 3.5 90 段家隧进 </v>
      </c>
      <c r="BG20" t="str">
        <f t="shared" si="18"/>
        <v/>
      </c>
      <c r="BH20" t="str">
        <f t="shared" si="19"/>
        <v> </v>
      </c>
      <c r="BI20" t="str">
        <f t="shared" si="20"/>
        <v> </v>
      </c>
      <c r="BJ20" t="str">
        <f t="shared" si="21"/>
        <v> </v>
      </c>
    </row>
    <row r="21" spans="1:62">
      <c r="A21">
        <v>1</v>
      </c>
      <c r="B21">
        <v>20</v>
      </c>
      <c r="C21" t="s">
        <v>41</v>
      </c>
      <c r="D21" s="39">
        <v>452210.2102</v>
      </c>
      <c r="E21" s="39">
        <v>3395030.729</v>
      </c>
      <c r="F21">
        <v>80</v>
      </c>
      <c r="G21">
        <f t="shared" si="22"/>
        <v>39.864</v>
      </c>
      <c r="H21">
        <f t="shared" si="23"/>
        <v>29.0101413102746</v>
      </c>
      <c r="I21">
        <f t="shared" si="24"/>
        <v>55.6606442412016</v>
      </c>
      <c r="J21">
        <f t="shared" si="25"/>
        <v>118.936545973887</v>
      </c>
      <c r="K21" s="40">
        <f t="shared" si="26"/>
        <v>15481.7960465948</v>
      </c>
      <c r="L21" s="40">
        <f t="shared" si="27"/>
        <v>15509.6263687154</v>
      </c>
      <c r="M21" s="40">
        <f t="shared" si="28"/>
        <v>15537.456690836</v>
      </c>
      <c r="N21">
        <v>471.161</v>
      </c>
      <c r="O21">
        <v>467.24</v>
      </c>
      <c r="P21">
        <v>0.004</v>
      </c>
      <c r="Q21" s="39">
        <f t="shared" si="5"/>
        <v>452181.275170642</v>
      </c>
      <c r="R21" s="39">
        <f t="shared" si="6"/>
        <v>3395032.81523463</v>
      </c>
      <c r="S21" s="39">
        <f t="shared" si="29"/>
        <v>452208.132294696</v>
      </c>
      <c r="T21" s="39">
        <f t="shared" si="30"/>
        <v>3395026.07419568</v>
      </c>
      <c r="U21" s="39">
        <f t="shared" si="31"/>
        <v>452231.082550022</v>
      </c>
      <c r="V21" s="39">
        <f t="shared" si="32"/>
        <v>3395010.58121344</v>
      </c>
      <c r="AI21" t="str">
        <f t="array" ref="AI21">IFERROR(INDEX($L$2:$L$805,SMALL(IF(ISNUMBER(FIND($AH$2,$C$2:$C$805)),ROW($2:$805)-1,4^8),ROW(A20)))&amp;"","")</f>
        <v>24573.8917479415</v>
      </c>
      <c r="AJ21" t="str">
        <f t="array" ref="AJ21">IFERROR(INDEX($C$2:$C$805,SMALL(IF(ISNUMBER(FIND($AH$2,$C$2:$C$805)),ROW($2:$805)-1,4^8),ROW(B20)))&amp;"","")</f>
        <v>菱角泄水闸出</v>
      </c>
      <c r="AS21" t="str">
        <f>"-text"&amp;" "&amp;D21&amp;","&amp;E21&amp;" "&amp;"10"&amp;" "&amp;"0"&amp;" "&amp;C21</f>
        <v>-text 452210.2102,3395030.729 10 0 IP8</v>
      </c>
      <c r="AT21" t="str">
        <f t="shared" si="7"/>
        <v>452210.2102,3395030.729</v>
      </c>
      <c r="AV21">
        <f t="shared" si="8"/>
        <v>472.44</v>
      </c>
      <c r="AX21" t="str">
        <f t="shared" si="9"/>
        <v>pl 7754.8131843577,279 7754.8131843577,400 </v>
      </c>
      <c r="AY21" t="str">
        <f t="shared" si="10"/>
        <v>7754.8131843577,467.24</v>
      </c>
      <c r="AZ21" t="str">
        <f t="shared" si="11"/>
        <v>7754.8131843577,471.161</v>
      </c>
      <c r="BA21" t="str">
        <f t="shared" si="12"/>
        <v>7754.8131843577,472.44</v>
      </c>
      <c r="BB21" t="str">
        <f t="shared" si="13"/>
        <v>-text 7753.8131843577,337 3.5 90 467.240 </v>
      </c>
      <c r="BC21" t="str">
        <f t="shared" si="14"/>
        <v>-text 7753.8131843577,320 3.5 90 472.440 </v>
      </c>
      <c r="BD21" t="str">
        <f t="shared" si="15"/>
        <v>-text 7753.8131843577,306 3.5 90 471.161 </v>
      </c>
      <c r="BE21" t="str">
        <f t="shared" si="16"/>
        <v>-text 7753.8131843577,352 3.5 90 ZG15+509.626 </v>
      </c>
      <c r="BF21" t="str">
        <f t="shared" si="17"/>
        <v>-text 7753.8131843577,280 3.5 90 IP8 </v>
      </c>
      <c r="BG21" t="str">
        <f t="shared" si="18"/>
        <v>-TEXT 7755.8131843577,300 3.5 0 R=80</v>
      </c>
      <c r="BH21" t="str">
        <f t="shared" si="19"/>
        <v>-TEXT 7755.8131843577,295 3.5 0 α=39.86° </v>
      </c>
      <c r="BI21" t="str">
        <f t="shared" si="20"/>
        <v>-TEXT 7755.8131843577,290 3.5 0 T=29.01 </v>
      </c>
      <c r="BJ21" t="str">
        <f t="shared" si="21"/>
        <v>-TEXT 7755.8131843577,285 3.5 0 S=55.66 </v>
      </c>
    </row>
    <row r="22" spans="1:62">
      <c r="A22">
        <v>1</v>
      </c>
      <c r="B22">
        <v>21</v>
      </c>
      <c r="C22" t="str">
        <f>Sheet1!C22</f>
        <v>段家隧出</v>
      </c>
      <c r="D22" s="39">
        <v>452332.7543</v>
      </c>
      <c r="E22" s="39">
        <v>3394912.4389</v>
      </c>
      <c r="F22">
        <v>0</v>
      </c>
      <c r="G22">
        <f t="shared" si="22"/>
        <v>0</v>
      </c>
      <c r="H22">
        <f t="shared" si="23"/>
        <v>0</v>
      </c>
      <c r="I22">
        <f t="shared" si="24"/>
        <v>0</v>
      </c>
      <c r="J22">
        <f t="shared" si="25"/>
        <v>170.322060235274</v>
      </c>
      <c r="K22" s="40">
        <f t="shared" si="26"/>
        <v>15678.768609761</v>
      </c>
      <c r="L22" s="40">
        <f t="shared" si="27"/>
        <v>15678.768609761</v>
      </c>
      <c r="M22" s="40">
        <f t="shared" si="28"/>
        <v>15678.768609761</v>
      </c>
      <c r="N22">
        <v>471.091</v>
      </c>
      <c r="O22">
        <v>467.17</v>
      </c>
      <c r="P22">
        <v>0</v>
      </c>
      <c r="Q22" s="39">
        <f t="shared" si="5"/>
        <v>452332.7543</v>
      </c>
      <c r="R22" s="39">
        <f t="shared" si="6"/>
        <v>3394912.4389</v>
      </c>
      <c r="S22" s="39" t="str">
        <f t="shared" si="29"/>
        <v> </v>
      </c>
      <c r="T22" s="39" t="str">
        <f t="shared" si="30"/>
        <v> </v>
      </c>
      <c r="U22" s="39" t="str">
        <f t="shared" si="31"/>
        <v> </v>
      </c>
      <c r="V22" s="39" t="str">
        <f t="shared" si="32"/>
        <v> </v>
      </c>
      <c r="AI22" t="str">
        <f t="array" ref="AI22">IFERROR(INDEX($L$2:$L$805,SMALL(IF(ISNUMBER(FIND($AH$2,$C$2:$C$805)),ROW($2:$805)-1,4^8),ROW(A21)))&amp;"","")</f>
        <v>25326.9979069354</v>
      </c>
      <c r="AJ22" t="str">
        <f t="array" ref="AJ22">IFERROR(INDEX($C$2:$C$805,SMALL(IF(ISNUMBER(FIND($AH$2,$C$2:$C$805)),ROW($2:$805)-1,4^8),ROW(B21)))&amp;"","")</f>
        <v>菱角渡槽出</v>
      </c>
      <c r="AT22" t="str">
        <f t="shared" si="7"/>
        <v>452332.7543,3394912.4389</v>
      </c>
      <c r="AV22">
        <f t="shared" si="8"/>
        <v>472.37</v>
      </c>
      <c r="AX22" t="str">
        <f t="shared" si="9"/>
        <v>pl 7839.3843048805,279 7839.3843048805,400 </v>
      </c>
      <c r="AY22" t="str">
        <f t="shared" si="10"/>
        <v>7839.3843048805,467.17</v>
      </c>
      <c r="AZ22" t="str">
        <f t="shared" si="11"/>
        <v>7839.3843048805,471.091</v>
      </c>
      <c r="BA22" t="str">
        <f t="shared" si="12"/>
        <v>7839.3843048805,472.37</v>
      </c>
      <c r="BB22" t="str">
        <f t="shared" si="13"/>
        <v>-text 7838.3843048805,337 3.5 90 467.170 </v>
      </c>
      <c r="BC22" t="str">
        <f t="shared" si="14"/>
        <v>-text 7838.3843048805,320 3.5 90 472.370 </v>
      </c>
      <c r="BD22" t="str">
        <f t="shared" si="15"/>
        <v>-text 7838.3843048805,306 3.5 90 471.091 </v>
      </c>
      <c r="BE22" t="str">
        <f t="shared" si="16"/>
        <v>-text 7838.3843048805,352 3.5 90 ZG15+678.769 </v>
      </c>
      <c r="BF22" t="str">
        <f t="shared" si="17"/>
        <v>-text 7838.3843048805,280 3.5 90 段家隧出 </v>
      </c>
      <c r="BG22" t="str">
        <f t="shared" si="18"/>
        <v/>
      </c>
      <c r="BH22" t="str">
        <f t="shared" si="19"/>
        <v> </v>
      </c>
      <c r="BI22" t="str">
        <f t="shared" si="20"/>
        <v> </v>
      </c>
      <c r="BJ22" t="str">
        <f t="shared" si="21"/>
        <v> </v>
      </c>
    </row>
    <row r="23" spans="1:62">
      <c r="A23">
        <v>2</v>
      </c>
      <c r="B23">
        <v>22</v>
      </c>
      <c r="C23" t="str">
        <f>Sheet1!C23</f>
        <v>段家2#渡槽进</v>
      </c>
      <c r="D23" s="39">
        <v>452346.8878</v>
      </c>
      <c r="E23" s="39">
        <v>3394898.796</v>
      </c>
      <c r="F23">
        <v>0</v>
      </c>
      <c r="G23">
        <f t="shared" si="22"/>
        <v>0</v>
      </c>
      <c r="H23">
        <f t="shared" si="23"/>
        <v>0</v>
      </c>
      <c r="I23">
        <f t="shared" si="24"/>
        <v>0</v>
      </c>
      <c r="J23">
        <f t="shared" si="25"/>
        <v>19.6439441726385</v>
      </c>
      <c r="K23" s="40">
        <f t="shared" si="26"/>
        <v>15698.4125539336</v>
      </c>
      <c r="L23" s="40">
        <f t="shared" si="27"/>
        <v>15698.4125539336</v>
      </c>
      <c r="M23" s="40">
        <f t="shared" si="28"/>
        <v>15698.4125539336</v>
      </c>
      <c r="N23">
        <v>471.019</v>
      </c>
      <c r="O23">
        <v>467.136</v>
      </c>
      <c r="P23">
        <v>0</v>
      </c>
      <c r="Q23" s="39">
        <f t="shared" si="5"/>
        <v>452346.8878</v>
      </c>
      <c r="R23" s="39">
        <f t="shared" si="6"/>
        <v>3394898.796</v>
      </c>
      <c r="S23" s="39" t="str">
        <f t="shared" si="29"/>
        <v> </v>
      </c>
      <c r="T23" s="39" t="str">
        <f t="shared" si="30"/>
        <v> </v>
      </c>
      <c r="U23" s="39" t="str">
        <f t="shared" si="31"/>
        <v> </v>
      </c>
      <c r="V23" s="39" t="str">
        <f t="shared" si="32"/>
        <v> </v>
      </c>
      <c r="AI23" t="str">
        <f t="array" ref="AI23">IFERROR(INDEX($L$2:$L$805,SMALL(IF(ISNUMBER(FIND($AH$2,$C$2:$C$805)),ROW($2:$805)-1,4^8),ROW(A22)))&amp;"","")</f>
        <v>25793.7419015632</v>
      </c>
      <c r="AJ23" t="str">
        <f t="array" ref="AJ23">IFERROR(INDEX($C$2:$C$805,SMALL(IF(ISNUMBER(FIND($AH$2,$C$2:$C$805)),ROW($2:$805)-1,4^8),ROW(B22)))&amp;"","")</f>
        <v>晋家湾渡槽出</v>
      </c>
      <c r="AT23" t="str">
        <f t="shared" si="7"/>
        <v>452346.8878,3394898.796</v>
      </c>
      <c r="AV23">
        <f t="shared" si="8"/>
        <v>471.736</v>
      </c>
      <c r="AX23" t="str">
        <f t="shared" si="9"/>
        <v>pl 7849.20627696682,279 7849.20627696682,400 </v>
      </c>
      <c r="AY23" t="str">
        <f t="shared" si="10"/>
        <v>7849.20627696682,467.136</v>
      </c>
      <c r="AZ23" t="str">
        <f t="shared" si="11"/>
        <v>7849.20627696682,471.019</v>
      </c>
      <c r="BA23" t="str">
        <f t="shared" si="12"/>
        <v>7849.20627696682,471.736</v>
      </c>
      <c r="BB23" t="str">
        <f t="shared" si="13"/>
        <v>-text 7848.20627696682,337 3.5 90 467.136 </v>
      </c>
      <c r="BC23" t="str">
        <f t="shared" si="14"/>
        <v>-text 7848.20627696682,320 3.5 90 471.736 </v>
      </c>
      <c r="BD23" t="str">
        <f t="shared" si="15"/>
        <v>-text 7848.20627696682,306 3.5 90 471.019 </v>
      </c>
      <c r="BE23" t="str">
        <f t="shared" si="16"/>
        <v>-text 7848.20627696682,352 3.5 90 ZG15+698.413 </v>
      </c>
      <c r="BF23" t="str">
        <f t="shared" si="17"/>
        <v>-text 7848.20627696682,280 3.5 90 段家2#渡槽进 </v>
      </c>
      <c r="BG23" t="str">
        <f t="shared" si="18"/>
        <v/>
      </c>
      <c r="BH23" t="str">
        <f t="shared" si="19"/>
        <v> </v>
      </c>
      <c r="BI23" t="str">
        <f t="shared" si="20"/>
        <v> </v>
      </c>
      <c r="BJ23" t="str">
        <f t="shared" si="21"/>
        <v> </v>
      </c>
    </row>
    <row r="24" spans="1:62">
      <c r="A24">
        <v>2</v>
      </c>
      <c r="B24">
        <v>23</v>
      </c>
      <c r="C24" t="str">
        <f>Sheet1!C24</f>
        <v>段家2#渡槽出</v>
      </c>
      <c r="D24" s="39">
        <v>452469.2017</v>
      </c>
      <c r="E24" s="39">
        <v>3394780.728</v>
      </c>
      <c r="F24">
        <v>0</v>
      </c>
      <c r="G24">
        <f t="shared" si="22"/>
        <v>0</v>
      </c>
      <c r="H24">
        <f t="shared" si="23"/>
        <v>0</v>
      </c>
      <c r="I24">
        <f t="shared" si="24"/>
        <v>0</v>
      </c>
      <c r="J24">
        <f t="shared" si="25"/>
        <v>170.002184565937</v>
      </c>
      <c r="K24" s="40">
        <f t="shared" si="26"/>
        <v>15868.4147384996</v>
      </c>
      <c r="L24" s="40">
        <f t="shared" si="27"/>
        <v>15868.4147384996</v>
      </c>
      <c r="M24" s="40">
        <f t="shared" si="28"/>
        <v>15868.4147384996</v>
      </c>
      <c r="N24">
        <v>470.942</v>
      </c>
      <c r="O24">
        <v>467.059</v>
      </c>
      <c r="P24">
        <v>0</v>
      </c>
      <c r="Q24" s="39">
        <f t="shared" si="5"/>
        <v>452469.2017</v>
      </c>
      <c r="R24" s="39">
        <f t="shared" si="6"/>
        <v>3394780.728</v>
      </c>
      <c r="S24" s="39" t="str">
        <f t="shared" si="29"/>
        <v> </v>
      </c>
      <c r="T24" s="39" t="str">
        <f t="shared" si="30"/>
        <v> </v>
      </c>
      <c r="U24" s="39" t="str">
        <f t="shared" si="31"/>
        <v> </v>
      </c>
      <c r="V24" s="39" t="str">
        <f t="shared" si="32"/>
        <v> </v>
      </c>
      <c r="AI24" t="str">
        <f t="array" ref="AI24">IFERROR(INDEX($L$2:$L$805,SMALL(IF(ISNUMBER(FIND($AH$2,$C$2:$C$805)),ROW($2:$805)-1,4^8),ROW(A23)))&amp;"","")</f>
        <v>25981.8377325832</v>
      </c>
      <c r="AJ24" t="str">
        <f t="array" ref="AJ24">IFERROR(INDEX($C$2:$C$805,SMALL(IF(ISNUMBER(FIND($AH$2,$C$2:$C$805)),ROW($2:$805)-1,4^8),ROW(B23)))&amp;"","")</f>
        <v>玉皇观渡槽出</v>
      </c>
      <c r="AT24" t="str">
        <f t="shared" si="7"/>
        <v>452469.2017,3394780.728</v>
      </c>
      <c r="AV24">
        <f t="shared" si="8"/>
        <v>471.659</v>
      </c>
      <c r="AX24" t="str">
        <f t="shared" si="9"/>
        <v>pl 7934.20736924979,279 7934.20736924979,400 </v>
      </c>
      <c r="AY24" t="str">
        <f t="shared" si="10"/>
        <v>7934.20736924979,467.059</v>
      </c>
      <c r="AZ24" t="str">
        <f t="shared" si="11"/>
        <v>7934.20736924979,470.942</v>
      </c>
      <c r="BA24" t="str">
        <f t="shared" si="12"/>
        <v>7934.20736924979,471.659</v>
      </c>
      <c r="BB24" t="str">
        <f t="shared" si="13"/>
        <v>-text 7933.20736924979,337 3.5 90 467.059 </v>
      </c>
      <c r="BC24" t="str">
        <f t="shared" si="14"/>
        <v>-text 7933.20736924979,320 3.5 90 471.659 </v>
      </c>
      <c r="BD24" t="str">
        <f t="shared" si="15"/>
        <v>-text 7933.20736924979,306 3.5 90 470.942 </v>
      </c>
      <c r="BE24" t="str">
        <f t="shared" si="16"/>
        <v>-text 7933.20736924979,352 3.5 90 ZG15+868.415 </v>
      </c>
      <c r="BF24" t="str">
        <f t="shared" si="17"/>
        <v>-text 7933.20736924979,280 3.5 90 段家2#渡槽出 </v>
      </c>
      <c r="BG24" t="str">
        <f t="shared" si="18"/>
        <v/>
      </c>
      <c r="BH24" t="str">
        <f t="shared" si="19"/>
        <v> </v>
      </c>
      <c r="BI24" t="str">
        <f t="shared" si="20"/>
        <v> </v>
      </c>
      <c r="BJ24" t="str">
        <f t="shared" si="21"/>
        <v> </v>
      </c>
    </row>
    <row r="25" spans="1:62">
      <c r="A25">
        <v>1</v>
      </c>
      <c r="B25">
        <v>24</v>
      </c>
      <c r="C25" t="str">
        <f>Sheet1!C25</f>
        <v>大脑壳隧进</v>
      </c>
      <c r="D25" s="39">
        <v>452479.3029</v>
      </c>
      <c r="E25" s="39">
        <v>3394770.9774</v>
      </c>
      <c r="F25">
        <v>0</v>
      </c>
      <c r="G25">
        <f t="shared" si="22"/>
        <v>0</v>
      </c>
      <c r="H25">
        <f t="shared" si="23"/>
        <v>0</v>
      </c>
      <c r="I25">
        <f t="shared" si="24"/>
        <v>0</v>
      </c>
      <c r="J25">
        <f t="shared" si="25"/>
        <v>14.0395313952769</v>
      </c>
      <c r="K25" s="40">
        <f t="shared" si="26"/>
        <v>15882.4542698949</v>
      </c>
      <c r="L25" s="40">
        <f t="shared" si="27"/>
        <v>15882.4542698949</v>
      </c>
      <c r="M25" s="40">
        <f t="shared" si="28"/>
        <v>15882.4542698949</v>
      </c>
      <c r="N25">
        <v>470.907</v>
      </c>
      <c r="O25">
        <v>466.986</v>
      </c>
      <c r="P25">
        <v>0</v>
      </c>
      <c r="Q25" s="39">
        <f t="shared" si="5"/>
        <v>452479.3029</v>
      </c>
      <c r="R25" s="39">
        <f t="shared" si="6"/>
        <v>3394770.9774</v>
      </c>
      <c r="S25" s="39" t="str">
        <f t="shared" si="29"/>
        <v> </v>
      </c>
      <c r="T25" s="39" t="str">
        <f t="shared" si="30"/>
        <v> </v>
      </c>
      <c r="U25" s="39" t="str">
        <f t="shared" si="31"/>
        <v> </v>
      </c>
      <c r="V25" s="39" t="str">
        <f t="shared" si="32"/>
        <v> </v>
      </c>
      <c r="AI25" t="str">
        <f t="array" ref="AI25">IFERROR(INDEX($L$2:$L$805,SMALL(IF(ISNUMBER(FIND($AH$2,$C$2:$C$805)),ROW($2:$805)-1,4^8),ROW(A24)))&amp;"","")</f>
        <v>26103.8921786809</v>
      </c>
      <c r="AJ25" t="str">
        <f t="array" ref="AJ25">IFERROR(INDEX($C$2:$C$805,SMALL(IF(ISNUMBER(FIND($AH$2,$C$2:$C$805)),ROW($2:$805)-1,4^8),ROW(B24)))&amp;"","")</f>
        <v>驼子桥泄水闸出</v>
      </c>
      <c r="AT25" t="str">
        <f t="shared" si="7"/>
        <v>452479.3029,3394770.9774</v>
      </c>
      <c r="AV25">
        <f t="shared" si="8"/>
        <v>472.186</v>
      </c>
      <c r="AX25" t="str">
        <f t="shared" si="9"/>
        <v>pl 7941.22713494743,279 7941.22713494743,400 </v>
      </c>
      <c r="AY25" t="str">
        <f t="shared" si="10"/>
        <v>7941.22713494743,466.986</v>
      </c>
      <c r="AZ25" t="str">
        <f t="shared" si="11"/>
        <v>7941.22713494743,470.907</v>
      </c>
      <c r="BA25" t="str">
        <f t="shared" si="12"/>
        <v>7941.22713494743,472.186</v>
      </c>
      <c r="BB25" t="str">
        <f t="shared" si="13"/>
        <v>-text 7940.22713494743,337 3.5 90 466.986 </v>
      </c>
      <c r="BC25" t="str">
        <f t="shared" si="14"/>
        <v>-text 7940.22713494743,320 3.5 90 472.186 </v>
      </c>
      <c r="BD25" t="str">
        <f t="shared" si="15"/>
        <v>-text 7940.22713494743,306 3.5 90 470.907 </v>
      </c>
      <c r="BE25" t="str">
        <f t="shared" si="16"/>
        <v>-text 7940.22713494743,352 3.5 90 ZG15+882.454 </v>
      </c>
      <c r="BF25" t="str">
        <f t="shared" si="17"/>
        <v>-text 7940.22713494743,280 3.5 90 大脑壳隧进 </v>
      </c>
      <c r="BG25" t="str">
        <f t="shared" si="18"/>
        <v/>
      </c>
      <c r="BH25" t="str">
        <f t="shared" si="19"/>
        <v> </v>
      </c>
      <c r="BI25" t="str">
        <f t="shared" si="20"/>
        <v> </v>
      </c>
      <c r="BJ25" t="str">
        <f t="shared" si="21"/>
        <v> </v>
      </c>
    </row>
    <row r="26" spans="1:62">
      <c r="A26">
        <v>1</v>
      </c>
      <c r="B26">
        <v>25</v>
      </c>
      <c r="C26" t="s">
        <v>46</v>
      </c>
      <c r="D26" s="39">
        <v>452645.3297</v>
      </c>
      <c r="E26" s="39">
        <v>3394610.7139</v>
      </c>
      <c r="F26">
        <v>40</v>
      </c>
      <c r="G26">
        <f t="shared" si="22"/>
        <v>22.313</v>
      </c>
      <c r="H26">
        <f t="shared" si="23"/>
        <v>7.88865864908585</v>
      </c>
      <c r="I26">
        <f t="shared" si="24"/>
        <v>15.5774126398998</v>
      </c>
      <c r="J26">
        <f t="shared" si="25"/>
        <v>230.758071907788</v>
      </c>
      <c r="K26" s="40">
        <f t="shared" si="26"/>
        <v>16105.3236831536</v>
      </c>
      <c r="L26" s="40">
        <f t="shared" si="27"/>
        <v>16113.1123894735</v>
      </c>
      <c r="M26" s="40">
        <f t="shared" si="28"/>
        <v>16120.9010957935</v>
      </c>
      <c r="N26">
        <v>470.814</v>
      </c>
      <c r="O26">
        <v>466.893</v>
      </c>
      <c r="P26">
        <v>0.002</v>
      </c>
      <c r="Q26" s="39">
        <f t="shared" si="5"/>
        <v>452639.65393429</v>
      </c>
      <c r="R26" s="39">
        <f t="shared" si="6"/>
        <v>3394616.19264245</v>
      </c>
      <c r="S26" s="39">
        <f t="shared" si="29"/>
        <v>452644.697452726</v>
      </c>
      <c r="T26" s="39">
        <f t="shared" si="30"/>
        <v>3394610.27357046</v>
      </c>
      <c r="U26" s="39">
        <f t="shared" si="31"/>
        <v>452648.500372604</v>
      </c>
      <c r="V26" s="39">
        <f t="shared" si="32"/>
        <v>3394603.4904818</v>
      </c>
      <c r="AI26" t="str">
        <f t="array" ref="AI26">IFERROR(INDEX($L$2:$L$805,SMALL(IF(ISNUMBER(FIND($AH$2,$C$2:$C$805)),ROW($2:$805)-1,4^8),ROW(A25)))&amp;"","")</f>
        <v>27420.7305743188</v>
      </c>
      <c r="AJ26" t="str">
        <f t="array" ref="AJ26">IFERROR(INDEX($C$2:$C$805,SMALL(IF(ISNUMBER(FIND($AH$2,$C$2:$C$805)),ROW($2:$805)-1,4^8),ROW(B25)))&amp;"","")</f>
        <v>驼子桥渡槽出</v>
      </c>
      <c r="AS26" t="str">
        <f>"-text"&amp;" "&amp;D26&amp;","&amp;E26&amp;" "&amp;"10"&amp;" "&amp;"0"&amp;" "&amp;C26</f>
        <v>-text 452645.3297,3394610.7139 10 0 IP9</v>
      </c>
      <c r="AT26" t="str">
        <f t="shared" si="7"/>
        <v>452645.3297,3394610.7139</v>
      </c>
      <c r="AV26">
        <f t="shared" si="8"/>
        <v>472.093</v>
      </c>
      <c r="AX26" t="str">
        <f t="shared" si="9"/>
        <v>pl 8056.55619473675,279 8056.55619473675,400 </v>
      </c>
      <c r="AY26" t="str">
        <f t="shared" si="10"/>
        <v>8056.55619473675,466.893</v>
      </c>
      <c r="AZ26" t="str">
        <f t="shared" si="11"/>
        <v>8056.55619473675,470.814</v>
      </c>
      <c r="BA26" t="str">
        <f t="shared" si="12"/>
        <v>8056.55619473675,472.093</v>
      </c>
      <c r="BB26" t="str">
        <f t="shared" si="13"/>
        <v>-text 8055.55619473675,337 3.5 90 466.893 </v>
      </c>
      <c r="BC26" t="str">
        <f t="shared" si="14"/>
        <v>-text 8055.55619473675,320 3.5 90 472.093 </v>
      </c>
      <c r="BD26" t="str">
        <f t="shared" si="15"/>
        <v>-text 8055.55619473675,306 3.5 90 470.814 </v>
      </c>
      <c r="BE26" t="str">
        <f t="shared" si="16"/>
        <v>-text 8055.55619473675,352 3.5 90 ZG16+113.112 </v>
      </c>
      <c r="BF26" t="str">
        <f t="shared" si="17"/>
        <v>-text 8055.55619473675,280 3.5 90 IP9 </v>
      </c>
      <c r="BG26" t="str">
        <f t="shared" si="18"/>
        <v>-TEXT 8057.55619473675,300 3.5 0 R=40</v>
      </c>
      <c r="BH26" t="str">
        <f t="shared" si="19"/>
        <v>-TEXT 8057.55619473675,295 3.5 0 α=22.31° </v>
      </c>
      <c r="BI26" t="str">
        <f t="shared" si="20"/>
        <v>-TEXT 8057.55619473675,290 3.5 0 T=7.89 </v>
      </c>
      <c r="BJ26" t="str">
        <f t="shared" si="21"/>
        <v>-TEXT 8057.55619473675,285 3.5 0 S=15.58 </v>
      </c>
    </row>
    <row r="27" spans="1:62">
      <c r="A27">
        <v>1</v>
      </c>
      <c r="B27">
        <v>26</v>
      </c>
      <c r="C27" t="str">
        <f>Sheet1!C27</f>
        <v>大脑壳隧出</v>
      </c>
      <c r="D27" s="39">
        <v>452653.8154</v>
      </c>
      <c r="E27" s="39">
        <v>3394591.3818</v>
      </c>
      <c r="F27">
        <v>0</v>
      </c>
      <c r="G27">
        <f t="shared" si="22"/>
        <v>0</v>
      </c>
      <c r="H27">
        <f t="shared" si="23"/>
        <v>0</v>
      </c>
      <c r="I27">
        <f t="shared" si="24"/>
        <v>0</v>
      </c>
      <c r="J27">
        <f t="shared" si="25"/>
        <v>21.1124890737997</v>
      </c>
      <c r="K27" s="40">
        <f t="shared" si="26"/>
        <v>16134.1249262182</v>
      </c>
      <c r="L27" s="40">
        <f t="shared" si="27"/>
        <v>16134.1249262182</v>
      </c>
      <c r="M27" s="40">
        <f t="shared" si="28"/>
        <v>16134.1249262182</v>
      </c>
      <c r="N27">
        <v>470.805</v>
      </c>
      <c r="O27">
        <v>466.884</v>
      </c>
      <c r="P27">
        <v>0</v>
      </c>
      <c r="Q27" s="39">
        <f t="shared" si="5"/>
        <v>452653.8154</v>
      </c>
      <c r="R27" s="39">
        <f t="shared" si="6"/>
        <v>3394591.3818</v>
      </c>
      <c r="S27" s="39" t="str">
        <f t="shared" si="29"/>
        <v> </v>
      </c>
      <c r="T27" s="39" t="str">
        <f t="shared" si="30"/>
        <v> </v>
      </c>
      <c r="U27" s="39" t="str">
        <f t="shared" si="31"/>
        <v> </v>
      </c>
      <c r="V27" s="39" t="str">
        <f t="shared" si="32"/>
        <v> </v>
      </c>
      <c r="AI27" t="str">
        <f t="array" ref="AI27">IFERROR(INDEX($L$2:$L$805,SMALL(IF(ISNUMBER(FIND($AH$2,$C$2:$C$805)),ROW($2:$805)-1,4^8),ROW(A26)))&amp;"","")</f>
        <v>27490.1778277145</v>
      </c>
      <c r="AJ27" t="str">
        <f t="array" ref="AJ27">IFERROR(INDEX($C$2:$C$805,SMALL(IF(ISNUMBER(FIND($AH$2,$C$2:$C$805)),ROW($2:$805)-1,4^8),ROW(B26)))&amp;"","")</f>
        <v>小湾泄水闸出</v>
      </c>
      <c r="AT27" t="str">
        <f t="shared" si="7"/>
        <v>452653.8154,3394591.3818</v>
      </c>
      <c r="AV27">
        <f t="shared" si="8"/>
        <v>472.084</v>
      </c>
      <c r="AX27" t="str">
        <f t="shared" si="9"/>
        <v>pl 8067.06246310909,279 8067.06246310909,400 </v>
      </c>
      <c r="AY27" t="str">
        <f t="shared" si="10"/>
        <v>8067.06246310909,466.884</v>
      </c>
      <c r="AZ27" t="str">
        <f t="shared" si="11"/>
        <v>8067.06246310909,470.805</v>
      </c>
      <c r="BA27" t="str">
        <f t="shared" si="12"/>
        <v>8067.06246310909,472.084</v>
      </c>
      <c r="BB27" t="str">
        <f t="shared" si="13"/>
        <v>-text 8066.06246310909,337 3.5 90 466.884 </v>
      </c>
      <c r="BC27" t="str">
        <f t="shared" si="14"/>
        <v>-text 8066.06246310909,320 3.5 90 472.084 </v>
      </c>
      <c r="BD27" t="str">
        <f t="shared" si="15"/>
        <v>-text 8066.06246310909,306 3.5 90 470.805 </v>
      </c>
      <c r="BE27" t="str">
        <f t="shared" si="16"/>
        <v>-text 8066.06246310909,352 3.5 90 ZG16+134.125 </v>
      </c>
      <c r="BF27" t="str">
        <f t="shared" si="17"/>
        <v>-text 8066.06246310909,280 3.5 90 大脑壳隧出 </v>
      </c>
      <c r="BG27" t="str">
        <f t="shared" si="18"/>
        <v/>
      </c>
      <c r="BH27" t="str">
        <f t="shared" si="19"/>
        <v> </v>
      </c>
      <c r="BI27" t="str">
        <f t="shared" si="20"/>
        <v> </v>
      </c>
      <c r="BJ27" t="str">
        <f t="shared" si="21"/>
        <v> </v>
      </c>
    </row>
    <row r="28" spans="1:62">
      <c r="A28">
        <v>2</v>
      </c>
      <c r="B28">
        <v>27</v>
      </c>
      <c r="C28" t="str">
        <f>Sheet1!C28</f>
        <v>新塘坊渡槽进</v>
      </c>
      <c r="D28" s="39">
        <v>452659.067</v>
      </c>
      <c r="E28" s="39">
        <v>3394579.4175</v>
      </c>
      <c r="F28">
        <v>0</v>
      </c>
      <c r="G28">
        <f t="shared" si="22"/>
        <v>0</v>
      </c>
      <c r="H28">
        <f t="shared" si="23"/>
        <v>0</v>
      </c>
      <c r="I28">
        <f t="shared" si="24"/>
        <v>0</v>
      </c>
      <c r="J28">
        <f t="shared" si="25"/>
        <v>13.0661309136323</v>
      </c>
      <c r="K28" s="40">
        <f t="shared" si="26"/>
        <v>16147.1910571318</v>
      </c>
      <c r="L28" s="40">
        <f t="shared" si="27"/>
        <v>16147.1910571318</v>
      </c>
      <c r="M28" s="40">
        <f t="shared" si="28"/>
        <v>16147.1910571318</v>
      </c>
      <c r="N28">
        <v>470.734</v>
      </c>
      <c r="O28">
        <v>466.851</v>
      </c>
      <c r="P28">
        <v>0</v>
      </c>
      <c r="Q28" s="39">
        <f t="shared" si="5"/>
        <v>452659.067</v>
      </c>
      <c r="R28" s="39">
        <f t="shared" si="6"/>
        <v>3394579.4175</v>
      </c>
      <c r="S28" s="39" t="str">
        <f t="shared" si="29"/>
        <v> </v>
      </c>
      <c r="T28" s="39" t="str">
        <f t="shared" si="30"/>
        <v> </v>
      </c>
      <c r="U28" s="39" t="str">
        <f t="shared" si="31"/>
        <v> </v>
      </c>
      <c r="V28" s="39" t="str">
        <f t="shared" si="32"/>
        <v> </v>
      </c>
      <c r="AI28" t="str">
        <f t="array" ref="AI28">IFERROR(INDEX($L$2:$L$805,SMALL(IF(ISNUMBER(FIND($AH$2,$C$2:$C$805)),ROW($2:$805)-1,4^8),ROW(A27)))&amp;"","")</f>
        <v>30927.5359204477</v>
      </c>
      <c r="AJ28" t="str">
        <f t="array" ref="AJ28">IFERROR(INDEX($C$2:$C$805,SMALL(IF(ISNUMBER(FIND($AH$2,$C$2:$C$805)),ROW($2:$805)-1,4^8),ROW(B27)))&amp;"","")</f>
        <v>小湾渡槽出</v>
      </c>
      <c r="AT28" t="str">
        <f t="shared" si="7"/>
        <v>452659.067,3394579.4175</v>
      </c>
      <c r="AV28">
        <f t="shared" si="8"/>
        <v>471.451</v>
      </c>
      <c r="AX28" t="str">
        <f t="shared" si="9"/>
        <v>pl 8073.5955285659,279 8073.5955285659,400 </v>
      </c>
      <c r="AY28" t="str">
        <f t="shared" si="10"/>
        <v>8073.5955285659,466.851</v>
      </c>
      <c r="AZ28" t="str">
        <f t="shared" si="11"/>
        <v>8073.5955285659,470.734</v>
      </c>
      <c r="BA28" t="str">
        <f t="shared" si="12"/>
        <v>8073.5955285659,471.451</v>
      </c>
      <c r="BB28" t="str">
        <f t="shared" si="13"/>
        <v>-text 8072.5955285659,337 3.5 90 466.851 </v>
      </c>
      <c r="BC28" t="str">
        <f t="shared" si="14"/>
        <v>-text 8072.5955285659,320 3.5 90 471.451 </v>
      </c>
      <c r="BD28" t="str">
        <f t="shared" si="15"/>
        <v>-text 8072.5955285659,306 3.5 90 470.734 </v>
      </c>
      <c r="BE28" t="str">
        <f t="shared" si="16"/>
        <v>-text 8072.5955285659,352 3.5 90 ZG16+147.191 </v>
      </c>
      <c r="BF28" t="str">
        <f t="shared" si="17"/>
        <v>-text 8072.5955285659,280 3.5 90 新塘坊渡槽进 </v>
      </c>
      <c r="BG28" t="str">
        <f t="shared" si="18"/>
        <v/>
      </c>
      <c r="BH28" t="str">
        <f t="shared" si="19"/>
        <v> </v>
      </c>
      <c r="BI28" t="str">
        <f t="shared" si="20"/>
        <v> </v>
      </c>
      <c r="BJ28" t="str">
        <f t="shared" si="21"/>
        <v> </v>
      </c>
    </row>
    <row r="29" spans="1:62">
      <c r="A29">
        <v>2</v>
      </c>
      <c r="B29">
        <v>28</v>
      </c>
      <c r="C29" t="str">
        <f>Sheet1!C29</f>
        <v>新塘坊渡槽出</v>
      </c>
      <c r="D29" s="39">
        <v>452687.3033</v>
      </c>
      <c r="E29" s="39">
        <v>3394515.0897</v>
      </c>
      <c r="F29">
        <v>0</v>
      </c>
      <c r="G29">
        <f t="shared" si="22"/>
        <v>0</v>
      </c>
      <c r="H29">
        <f t="shared" si="23"/>
        <v>0</v>
      </c>
      <c r="I29">
        <f t="shared" si="24"/>
        <v>0</v>
      </c>
      <c r="J29">
        <f t="shared" si="25"/>
        <v>70.2520781937717</v>
      </c>
      <c r="K29" s="40">
        <f t="shared" si="26"/>
        <v>16217.4431353256</v>
      </c>
      <c r="L29" s="40">
        <f t="shared" si="27"/>
        <v>16217.4431353256</v>
      </c>
      <c r="M29" s="40">
        <f t="shared" si="28"/>
        <v>16217.4431353256</v>
      </c>
      <c r="N29">
        <v>470.702</v>
      </c>
      <c r="O29">
        <v>466.819</v>
      </c>
      <c r="P29">
        <v>0</v>
      </c>
      <c r="Q29" s="39">
        <f t="shared" si="5"/>
        <v>452687.3033</v>
      </c>
      <c r="R29" s="39">
        <f t="shared" si="6"/>
        <v>3394515.0897</v>
      </c>
      <c r="S29" s="39" t="str">
        <f t="shared" si="29"/>
        <v> </v>
      </c>
      <c r="T29" s="39" t="str">
        <f t="shared" si="30"/>
        <v> </v>
      </c>
      <c r="U29" s="39" t="str">
        <f t="shared" si="31"/>
        <v> </v>
      </c>
      <c r="V29" s="39" t="str">
        <f t="shared" si="32"/>
        <v> </v>
      </c>
      <c r="AI29" t="str">
        <f t="array" ref="AI29">IFERROR(INDEX($L$2:$L$805,SMALL(IF(ISNUMBER(FIND($AH$2,$C$2:$C$805)),ROW($2:$805)-1,4^8),ROW(A28)))&amp;"","")</f>
        <v>31251.3838347894</v>
      </c>
      <c r="AJ29" t="str">
        <f t="array" ref="AJ29">IFERROR(INDEX($C$2:$C$805,SMALL(IF(ISNUMBER(FIND($AH$2,$C$2:$C$805)),ROW($2:$805)-1,4^8),ROW(B28)))&amp;"","")</f>
        <v>瓜飘寨隧出</v>
      </c>
      <c r="AT29" t="str">
        <f t="shared" si="7"/>
        <v>452687.3033,3394515.0897</v>
      </c>
      <c r="AV29">
        <f t="shared" si="8"/>
        <v>471.419</v>
      </c>
      <c r="AX29" t="str">
        <f t="shared" si="9"/>
        <v>pl 8108.72156766279,279 8108.72156766279,400 </v>
      </c>
      <c r="AY29" t="str">
        <f t="shared" si="10"/>
        <v>8108.72156766279,466.819</v>
      </c>
      <c r="AZ29" t="str">
        <f t="shared" si="11"/>
        <v>8108.72156766279,470.702</v>
      </c>
      <c r="BA29" t="str">
        <f t="shared" si="12"/>
        <v>8108.72156766279,471.419</v>
      </c>
      <c r="BB29" t="str">
        <f t="shared" si="13"/>
        <v>-text 8107.72156766279,337 3.5 90 466.819 </v>
      </c>
      <c r="BC29" t="str">
        <f t="shared" si="14"/>
        <v>-text 8107.72156766279,320 3.5 90 471.419 </v>
      </c>
      <c r="BD29" t="str">
        <f t="shared" si="15"/>
        <v>-text 8107.72156766279,306 3.5 90 470.702 </v>
      </c>
      <c r="BE29" t="str">
        <f t="shared" si="16"/>
        <v>-text 8107.72156766279,352 3.5 90 ZG16+217.443 </v>
      </c>
      <c r="BF29" t="str">
        <f t="shared" si="17"/>
        <v>-text 8107.72156766279,280 3.5 90 新塘坊渡槽出 </v>
      </c>
      <c r="BG29" t="str">
        <f t="shared" si="18"/>
        <v/>
      </c>
      <c r="BH29" t="str">
        <f t="shared" si="19"/>
        <v> </v>
      </c>
      <c r="BI29" t="str">
        <f t="shared" si="20"/>
        <v> </v>
      </c>
      <c r="BJ29" t="str">
        <f t="shared" si="21"/>
        <v> </v>
      </c>
    </row>
    <row r="30" spans="1:62">
      <c r="A30">
        <v>1</v>
      </c>
      <c r="B30">
        <v>29</v>
      </c>
      <c r="C30" t="str">
        <f>Sheet1!C30</f>
        <v>火烧梁隧进</v>
      </c>
      <c r="D30" s="39">
        <v>452692.7894</v>
      </c>
      <c r="E30" s="39">
        <v>3394502.5913</v>
      </c>
      <c r="F30">
        <v>0</v>
      </c>
      <c r="G30">
        <f t="shared" si="22"/>
        <v>0</v>
      </c>
      <c r="H30">
        <f t="shared" si="23"/>
        <v>0</v>
      </c>
      <c r="I30">
        <f t="shared" si="24"/>
        <v>0</v>
      </c>
      <c r="J30">
        <f t="shared" si="25"/>
        <v>13.6494430570585</v>
      </c>
      <c r="K30" s="40">
        <f t="shared" si="26"/>
        <v>16231.0925783826</v>
      </c>
      <c r="L30" s="40">
        <f t="shared" si="27"/>
        <v>16231.0925783826</v>
      </c>
      <c r="M30" s="40">
        <f t="shared" si="28"/>
        <v>16231.0925783826</v>
      </c>
      <c r="N30">
        <v>470.668</v>
      </c>
      <c r="O30">
        <v>466.747</v>
      </c>
      <c r="P30">
        <v>0</v>
      </c>
      <c r="Q30" s="39">
        <f t="shared" si="5"/>
        <v>452692.7894</v>
      </c>
      <c r="R30" s="39">
        <f t="shared" si="6"/>
        <v>3394502.5913</v>
      </c>
      <c r="S30" s="39" t="str">
        <f t="shared" si="29"/>
        <v> </v>
      </c>
      <c r="T30" s="39" t="str">
        <f t="shared" si="30"/>
        <v> </v>
      </c>
      <c r="U30" s="39" t="str">
        <f t="shared" si="31"/>
        <v> </v>
      </c>
      <c r="V30" s="39" t="str">
        <f t="shared" si="32"/>
        <v> </v>
      </c>
      <c r="AI30" t="str">
        <f t="array" ref="AI30">IFERROR(INDEX($L$2:$L$805,SMALL(IF(ISNUMBER(FIND($AH$2,$C$2:$C$805)),ROW($2:$805)-1,4^8),ROW(A29)))&amp;"","")</f>
        <v>31553.4652028673</v>
      </c>
      <c r="AJ30" t="str">
        <f t="array" ref="AJ30">IFERROR(INDEX($C$2:$C$805,SMALL(IF(ISNUMBER(FIND($AH$2,$C$2:$C$805)),ROW($2:$805)-1,4^8),ROW(B29)))&amp;"","")</f>
        <v>蔡家隧出</v>
      </c>
      <c r="AT30" t="str">
        <f t="shared" si="7"/>
        <v>452692.7894,3394502.5913</v>
      </c>
      <c r="AV30">
        <f t="shared" si="8"/>
        <v>471.947</v>
      </c>
      <c r="AX30" t="str">
        <f t="shared" si="9"/>
        <v>pl 8115.54628919132,279 8115.54628919132,400 </v>
      </c>
      <c r="AY30" t="str">
        <f t="shared" si="10"/>
        <v>8115.54628919132,466.747</v>
      </c>
      <c r="AZ30" t="str">
        <f t="shared" si="11"/>
        <v>8115.54628919132,470.668</v>
      </c>
      <c r="BA30" t="str">
        <f t="shared" si="12"/>
        <v>8115.54628919132,471.947</v>
      </c>
      <c r="BB30" t="str">
        <f t="shared" si="13"/>
        <v>-text 8114.54628919132,337 3.5 90 466.747 </v>
      </c>
      <c r="BC30" t="str">
        <f t="shared" si="14"/>
        <v>-text 8114.54628919132,320 3.5 90 471.947 </v>
      </c>
      <c r="BD30" t="str">
        <f t="shared" si="15"/>
        <v>-text 8114.54628919132,306 3.5 90 470.668 </v>
      </c>
      <c r="BE30" t="str">
        <f t="shared" si="16"/>
        <v>-text 8114.54628919132,352 3.5 90 ZG16+231.093 </v>
      </c>
      <c r="BF30" t="str">
        <f t="shared" si="17"/>
        <v>-text 8114.54628919132,280 3.5 90 火烧梁隧进 </v>
      </c>
      <c r="BG30" t="str">
        <f t="shared" si="18"/>
        <v/>
      </c>
      <c r="BH30" t="str">
        <f t="shared" si="19"/>
        <v> </v>
      </c>
      <c r="BI30" t="str">
        <f t="shared" si="20"/>
        <v> </v>
      </c>
      <c r="BJ30" t="str">
        <f t="shared" si="21"/>
        <v> </v>
      </c>
    </row>
    <row r="31" spans="1:62">
      <c r="A31">
        <v>1</v>
      </c>
      <c r="B31">
        <v>30</v>
      </c>
      <c r="C31" t="s">
        <v>51</v>
      </c>
      <c r="D31" s="39">
        <v>452700.5564</v>
      </c>
      <c r="E31" s="39">
        <v>3394484.8965</v>
      </c>
      <c r="F31">
        <v>40</v>
      </c>
      <c r="G31">
        <f t="shared" si="22"/>
        <v>33.051</v>
      </c>
      <c r="H31">
        <f t="shared" si="23"/>
        <v>11.8679067335882</v>
      </c>
      <c r="I31">
        <f t="shared" si="24"/>
        <v>23.0739508430658</v>
      </c>
      <c r="J31">
        <f t="shared" si="25"/>
        <v>19.3243948429433</v>
      </c>
      <c r="K31" s="40">
        <f t="shared" si="26"/>
        <v>16238.549066492</v>
      </c>
      <c r="L31" s="40">
        <f t="shared" si="27"/>
        <v>16250.0860419135</v>
      </c>
      <c r="M31" s="40">
        <f t="shared" si="28"/>
        <v>16261.6230173351</v>
      </c>
      <c r="N31">
        <v>470.659</v>
      </c>
      <c r="O31">
        <v>466.738</v>
      </c>
      <c r="P31">
        <v>0.002</v>
      </c>
      <c r="Q31" s="39">
        <f t="shared" si="5"/>
        <v>452695.786365422</v>
      </c>
      <c r="R31" s="39">
        <f t="shared" si="6"/>
        <v>3394495.76360543</v>
      </c>
      <c r="S31" s="39">
        <f t="shared" si="29"/>
        <v>452698.846416342</v>
      </c>
      <c r="T31" s="39">
        <f t="shared" si="30"/>
        <v>3394484.6812944</v>
      </c>
      <c r="U31" s="39">
        <f t="shared" si="31"/>
        <v>452698.627767727</v>
      </c>
      <c r="V31" s="39">
        <f t="shared" si="32"/>
        <v>3394473.18635108</v>
      </c>
      <c r="AI31" t="str">
        <f t="array" ref="AI31">IFERROR(INDEX($L$2:$L$805,SMALL(IF(ISNUMBER(FIND($AH$2,$C$2:$C$805)),ROW($2:$805)-1,4^8),ROW(A30)))&amp;"","")</f>
        <v>31762.5194212525</v>
      </c>
      <c r="AJ31" t="str">
        <f t="array" ref="AJ31">IFERROR(INDEX($C$2:$C$805,SMALL(IF(ISNUMBER(FIND($AH$2,$C$2:$C$805)),ROW($2:$805)-1,4^8),ROW(B30)))&amp;"","")</f>
        <v>杨家湾渡槽出</v>
      </c>
      <c r="AS31" t="str">
        <f>"-text"&amp;" "&amp;D31&amp;","&amp;E31&amp;" "&amp;"10"&amp;" "&amp;"0"&amp;" "&amp;C31</f>
        <v>-text 452700.5564,3394484.8965 10 0 IP10</v>
      </c>
      <c r="AT31" t="str">
        <f t="shared" si="7"/>
        <v>452700.5564,3394484.8965</v>
      </c>
      <c r="AV31">
        <f t="shared" si="8"/>
        <v>471.938</v>
      </c>
      <c r="AX31" t="str">
        <f t="shared" si="9"/>
        <v>pl 8125.04302095676,279 8125.04302095676,400 </v>
      </c>
      <c r="AY31" t="str">
        <f t="shared" si="10"/>
        <v>8125.04302095676,466.738</v>
      </c>
      <c r="AZ31" t="str">
        <f t="shared" si="11"/>
        <v>8125.04302095676,470.659</v>
      </c>
      <c r="BA31" t="str">
        <f t="shared" si="12"/>
        <v>8125.04302095676,471.938</v>
      </c>
      <c r="BB31" t="str">
        <f t="shared" si="13"/>
        <v>-text 8124.04302095676,337 3.5 90 466.738 </v>
      </c>
      <c r="BC31" t="str">
        <f t="shared" si="14"/>
        <v>-text 8124.04302095676,320 3.5 90 471.938 </v>
      </c>
      <c r="BD31" t="str">
        <f t="shared" si="15"/>
        <v>-text 8124.04302095676,306 3.5 90 470.659 </v>
      </c>
      <c r="BE31" t="str">
        <f t="shared" si="16"/>
        <v>-text 8124.04302095676,352 3.5 90 ZG16+250.086 </v>
      </c>
      <c r="BF31" t="str">
        <f t="shared" si="17"/>
        <v>-text 8124.04302095676,280 3.5 90 IP10 </v>
      </c>
      <c r="BG31" t="str">
        <f t="shared" si="18"/>
        <v>-TEXT 8126.04302095676,300 3.5 0 R=40</v>
      </c>
      <c r="BH31" t="str">
        <f t="shared" si="19"/>
        <v>-TEXT 8126.04302095676,295 3.5 0 α=33.05° </v>
      </c>
      <c r="BI31" t="str">
        <f t="shared" si="20"/>
        <v>-TEXT 8126.04302095676,290 3.5 0 T=11.87 </v>
      </c>
      <c r="BJ31" t="str">
        <f t="shared" si="21"/>
        <v>-TEXT 8126.04302095676,285 3.5 0 S=23.07 </v>
      </c>
    </row>
    <row r="32" spans="1:62">
      <c r="A32">
        <v>1</v>
      </c>
      <c r="B32">
        <v>31</v>
      </c>
      <c r="C32" t="str">
        <f>Sheet1!C32</f>
        <v>火烧梁隧出</v>
      </c>
      <c r="D32" s="39">
        <v>452684.0253</v>
      </c>
      <c r="E32" s="39">
        <v>3394384.524</v>
      </c>
      <c r="F32">
        <v>0</v>
      </c>
      <c r="G32">
        <f t="shared" si="22"/>
        <v>0</v>
      </c>
      <c r="H32">
        <f t="shared" si="23"/>
        <v>0</v>
      </c>
      <c r="I32">
        <f t="shared" si="24"/>
        <v>0</v>
      </c>
      <c r="J32">
        <f t="shared" si="25"/>
        <v>101.724707044938</v>
      </c>
      <c r="K32" s="40">
        <f t="shared" si="26"/>
        <v>16351.4798176464</v>
      </c>
      <c r="L32" s="40">
        <f t="shared" si="27"/>
        <v>16351.4798176464</v>
      </c>
      <c r="M32" s="40">
        <f t="shared" si="28"/>
        <v>16351.4798176464</v>
      </c>
      <c r="N32">
        <v>470.617</v>
      </c>
      <c r="O32">
        <v>466.696</v>
      </c>
      <c r="P32">
        <v>0</v>
      </c>
      <c r="Q32" s="39">
        <f t="shared" si="5"/>
        <v>452684.0253</v>
      </c>
      <c r="R32" s="39">
        <f t="shared" si="6"/>
        <v>3394384.524</v>
      </c>
      <c r="S32" s="39" t="str">
        <f t="shared" si="29"/>
        <v> </v>
      </c>
      <c r="T32" s="39" t="str">
        <f t="shared" si="30"/>
        <v> </v>
      </c>
      <c r="U32" s="39" t="str">
        <f t="shared" si="31"/>
        <v> </v>
      </c>
      <c r="V32" s="39" t="str">
        <f t="shared" si="32"/>
        <v> </v>
      </c>
      <c r="AI32" t="str">
        <f t="array" ref="AI32">IFERROR(INDEX($L$2:$L$805,SMALL(IF(ISNUMBER(FIND($AH$2,$C$2:$C$805)),ROW($2:$805)-1,4^8),ROW(A31)))&amp;"","")</f>
        <v>32940.5587464451</v>
      </c>
      <c r="AJ32" t="str">
        <f t="array" ref="AJ32">IFERROR(INDEX($C$2:$C$805,SMALL(IF(ISNUMBER(FIND($AH$2,$C$2:$C$805)),ROW($2:$805)-1,4^8),ROW(B31)))&amp;"","")</f>
        <v>宽沟渡槽出</v>
      </c>
      <c r="AT32" t="str">
        <f t="shared" si="7"/>
        <v>452684.0253,3394384.524</v>
      </c>
      <c r="AV32">
        <f t="shared" si="8"/>
        <v>471.896</v>
      </c>
      <c r="AX32" t="str">
        <f t="shared" si="9"/>
        <v>pl 8175.7399088232,279 8175.7399088232,400 </v>
      </c>
      <c r="AY32" t="str">
        <f t="shared" si="10"/>
        <v>8175.7399088232,466.696</v>
      </c>
      <c r="AZ32" t="str">
        <f t="shared" si="11"/>
        <v>8175.7399088232,470.617</v>
      </c>
      <c r="BA32" t="str">
        <f t="shared" si="12"/>
        <v>8175.7399088232,471.896</v>
      </c>
      <c r="BB32" t="str">
        <f t="shared" si="13"/>
        <v>-text 8174.7399088232,337 3.5 90 466.696 </v>
      </c>
      <c r="BC32" t="str">
        <f t="shared" si="14"/>
        <v>-text 8174.7399088232,320 3.5 90 471.896 </v>
      </c>
      <c r="BD32" t="str">
        <f t="shared" si="15"/>
        <v>-text 8174.7399088232,306 3.5 90 470.617 </v>
      </c>
      <c r="BE32" t="str">
        <f t="shared" si="16"/>
        <v>-text 8174.7399088232,352 3.5 90 ZG16+351.480 </v>
      </c>
      <c r="BF32" t="str">
        <f t="shared" si="17"/>
        <v>-text 8174.7399088232,280 3.5 90 火烧梁隧出 </v>
      </c>
      <c r="BG32" t="str">
        <f t="shared" si="18"/>
        <v/>
      </c>
      <c r="BH32" t="str">
        <f t="shared" si="19"/>
        <v> </v>
      </c>
      <c r="BI32" t="str">
        <f t="shared" si="20"/>
        <v> </v>
      </c>
      <c r="BJ32" t="str">
        <f t="shared" si="21"/>
        <v> </v>
      </c>
    </row>
    <row r="33" spans="1:62">
      <c r="A33">
        <v>2</v>
      </c>
      <c r="B33">
        <v>32</v>
      </c>
      <c r="C33" t="str">
        <f>Sheet1!C33</f>
        <v>龙门垭渡槽进</v>
      </c>
      <c r="D33" s="39">
        <v>452682.255</v>
      </c>
      <c r="E33" s="39">
        <v>3394373.7756</v>
      </c>
      <c r="F33">
        <v>0</v>
      </c>
      <c r="G33">
        <f t="shared" si="22"/>
        <v>0</v>
      </c>
      <c r="H33">
        <f t="shared" si="23"/>
        <v>0</v>
      </c>
      <c r="I33">
        <f t="shared" si="24"/>
        <v>0</v>
      </c>
      <c r="J33">
        <f t="shared" si="25"/>
        <v>10.8932118614432</v>
      </c>
      <c r="K33" s="40">
        <f t="shared" si="26"/>
        <v>16362.3730295078</v>
      </c>
      <c r="L33" s="40">
        <f t="shared" si="27"/>
        <v>16362.3730295078</v>
      </c>
      <c r="M33" s="40">
        <f t="shared" si="28"/>
        <v>16362.3730295078</v>
      </c>
      <c r="N33">
        <v>470.547</v>
      </c>
      <c r="O33">
        <v>466.664</v>
      </c>
      <c r="P33">
        <v>0</v>
      </c>
      <c r="Q33" s="39">
        <f t="shared" si="5"/>
        <v>452682.255</v>
      </c>
      <c r="R33" s="39">
        <f t="shared" si="6"/>
        <v>3394373.7756</v>
      </c>
      <c r="S33" s="39" t="str">
        <f t="shared" si="29"/>
        <v> </v>
      </c>
      <c r="T33" s="39" t="str">
        <f t="shared" si="30"/>
        <v> </v>
      </c>
      <c r="U33" s="39" t="str">
        <f t="shared" si="31"/>
        <v> </v>
      </c>
      <c r="V33" s="39" t="str">
        <f t="shared" si="32"/>
        <v> </v>
      </c>
      <c r="AI33" t="str">
        <f t="array" ref="AI33">IFERROR(INDEX($L$2:$L$805,SMALL(IF(ISNUMBER(FIND($AH$2,$C$2:$C$805)),ROW($2:$805)-1,4^8),ROW(A32)))&amp;"","")</f>
        <v>33140.2016746425</v>
      </c>
      <c r="AJ33" t="str">
        <f t="array" ref="AJ33">IFERROR(INDEX($C$2:$C$805,SMALL(IF(ISNUMBER(FIND($AH$2,$C$2:$C$805)),ROW($2:$805)-1,4^8),ROW(B32)))&amp;"","")</f>
        <v>三湾堰渡槽出</v>
      </c>
      <c r="AT33" t="str">
        <f t="shared" si="7"/>
        <v>452682.255,3394373.7756</v>
      </c>
      <c r="AV33">
        <f t="shared" si="8"/>
        <v>471.264</v>
      </c>
      <c r="AX33" t="str">
        <f t="shared" si="9"/>
        <v>pl 8181.18651475392,279 8181.18651475392,400 </v>
      </c>
      <c r="AY33" t="str">
        <f t="shared" si="10"/>
        <v>8181.18651475392,466.664</v>
      </c>
      <c r="AZ33" t="str">
        <f t="shared" si="11"/>
        <v>8181.18651475392,470.547</v>
      </c>
      <c r="BA33" t="str">
        <f t="shared" si="12"/>
        <v>8181.18651475392,471.264</v>
      </c>
      <c r="BB33" t="str">
        <f t="shared" si="13"/>
        <v>-text 8180.18651475392,337 3.5 90 466.664 </v>
      </c>
      <c r="BC33" t="str">
        <f t="shared" si="14"/>
        <v>-text 8180.18651475392,320 3.5 90 471.264 </v>
      </c>
      <c r="BD33" t="str">
        <f t="shared" si="15"/>
        <v>-text 8180.18651475392,306 3.5 90 470.547 </v>
      </c>
      <c r="BE33" t="str">
        <f t="shared" si="16"/>
        <v>-text 8180.18651475392,352 3.5 90 ZG16+362.373 </v>
      </c>
      <c r="BF33" t="str">
        <f t="shared" si="17"/>
        <v>-text 8180.18651475392,280 3.5 90 龙门垭渡槽进 </v>
      </c>
      <c r="BG33" t="str">
        <f t="shared" si="18"/>
        <v/>
      </c>
      <c r="BH33" t="str">
        <f t="shared" si="19"/>
        <v> </v>
      </c>
      <c r="BI33" t="str">
        <f t="shared" si="20"/>
        <v> </v>
      </c>
      <c r="BJ33" t="str">
        <f t="shared" si="21"/>
        <v> </v>
      </c>
    </row>
    <row r="34" spans="1:62">
      <c r="A34">
        <v>2</v>
      </c>
      <c r="B34">
        <v>33</v>
      </c>
      <c r="C34" t="str">
        <f>Sheet1!C34</f>
        <v>龙门垭渡槽出</v>
      </c>
      <c r="D34" s="39">
        <v>452662.8585</v>
      </c>
      <c r="E34" s="39">
        <v>3394256.0049</v>
      </c>
      <c r="F34">
        <v>0</v>
      </c>
      <c r="G34">
        <f t="shared" si="22"/>
        <v>0</v>
      </c>
      <c r="H34">
        <f t="shared" si="23"/>
        <v>0</v>
      </c>
      <c r="I34">
        <f t="shared" si="24"/>
        <v>0</v>
      </c>
      <c r="J34">
        <f t="shared" si="25"/>
        <v>119.357287128541</v>
      </c>
      <c r="K34" s="40">
        <f t="shared" si="26"/>
        <v>16481.7303166364</v>
      </c>
      <c r="L34" s="40">
        <f t="shared" si="27"/>
        <v>16481.7303166364</v>
      </c>
      <c r="M34" s="40">
        <f t="shared" si="28"/>
        <v>16481.7303166364</v>
      </c>
      <c r="N34">
        <v>470.492</v>
      </c>
      <c r="O34">
        <v>466.609</v>
      </c>
      <c r="P34">
        <v>0</v>
      </c>
      <c r="Q34" s="39">
        <f t="shared" si="5"/>
        <v>452662.8585</v>
      </c>
      <c r="R34" s="39">
        <f t="shared" si="6"/>
        <v>3394256.0049</v>
      </c>
      <c r="S34" s="39" t="str">
        <f t="shared" si="29"/>
        <v> </v>
      </c>
      <c r="T34" s="39" t="str">
        <f t="shared" si="30"/>
        <v> </v>
      </c>
      <c r="U34" s="39" t="str">
        <f t="shared" si="31"/>
        <v> </v>
      </c>
      <c r="V34" s="39" t="str">
        <f t="shared" si="32"/>
        <v> </v>
      </c>
      <c r="AI34" t="str">
        <f t="array" ref="AI34">IFERROR(INDEX($L$2:$L$805,SMALL(IF(ISNUMBER(FIND($AH$2,$C$2:$C$805)),ROW($2:$805)-1,4^8),ROW(A33)))&amp;"","")</f>
        <v>33368.09228046</v>
      </c>
      <c r="AJ34" t="str">
        <f t="array" ref="AJ34">IFERROR(INDEX($C$2:$C$805,SMALL(IF(ISNUMBER(FIND($AH$2,$C$2:$C$805)),ROW($2:$805)-1,4^8),ROW(B33)))&amp;"","")</f>
        <v>大堰塘湾1#渡槽出</v>
      </c>
      <c r="AT34" t="str">
        <f t="shared" si="7"/>
        <v>452662.8585,3394256.0049</v>
      </c>
      <c r="AV34">
        <f t="shared" si="8"/>
        <v>471.209</v>
      </c>
      <c r="AX34" t="str">
        <f t="shared" si="9"/>
        <v>pl 8240.86515831819,279 8240.86515831819,400 </v>
      </c>
      <c r="AY34" t="str">
        <f t="shared" si="10"/>
        <v>8240.86515831819,466.609</v>
      </c>
      <c r="AZ34" t="str">
        <f t="shared" si="11"/>
        <v>8240.86515831819,470.492</v>
      </c>
      <c r="BA34" t="str">
        <f t="shared" si="12"/>
        <v>8240.86515831819,471.209</v>
      </c>
      <c r="BB34" t="str">
        <f t="shared" si="13"/>
        <v>-text 8239.86515831819,337 3.5 90 466.609 </v>
      </c>
      <c r="BC34" t="str">
        <f t="shared" si="14"/>
        <v>-text 8239.86515831819,320 3.5 90 471.209 </v>
      </c>
      <c r="BD34" t="str">
        <f t="shared" si="15"/>
        <v>-text 8239.86515831819,306 3.5 90 470.492 </v>
      </c>
      <c r="BE34" t="str">
        <f t="shared" si="16"/>
        <v>-text 8239.86515831819,352 3.5 90 ZG16+481.730 </v>
      </c>
      <c r="BF34" t="str">
        <f t="shared" si="17"/>
        <v>-text 8239.86515831819,280 3.5 90 龙门垭渡槽出 </v>
      </c>
      <c r="BG34" t="str">
        <f t="shared" si="18"/>
        <v/>
      </c>
      <c r="BH34" t="str">
        <f t="shared" si="19"/>
        <v> </v>
      </c>
      <c r="BI34" t="str">
        <f t="shared" si="20"/>
        <v> </v>
      </c>
      <c r="BJ34" t="str">
        <f t="shared" si="21"/>
        <v> </v>
      </c>
    </row>
    <row r="35" spans="1:62">
      <c r="A35">
        <v>0</v>
      </c>
      <c r="B35">
        <v>34</v>
      </c>
      <c r="C35" t="s">
        <v>55</v>
      </c>
      <c r="D35" s="39">
        <v>452660.1965</v>
      </c>
      <c r="E35" s="39">
        <v>3394239.8424</v>
      </c>
      <c r="F35">
        <v>40</v>
      </c>
      <c r="G35">
        <f t="shared" si="22"/>
        <v>26.56</v>
      </c>
      <c r="H35">
        <f t="shared" si="23"/>
        <v>9.44085766653619</v>
      </c>
      <c r="I35">
        <f t="shared" si="24"/>
        <v>18.5423779731878</v>
      </c>
      <c r="J35">
        <f t="shared" si="25"/>
        <v>16.3802518372814</v>
      </c>
      <c r="K35" s="40">
        <f t="shared" si="26"/>
        <v>16488.6697108071</v>
      </c>
      <c r="L35" s="40">
        <f t="shared" si="27"/>
        <v>16497.9408997937</v>
      </c>
      <c r="M35" s="40">
        <f t="shared" si="28"/>
        <v>16507.2120887803</v>
      </c>
      <c r="N35">
        <v>470.553</v>
      </c>
      <c r="O35">
        <v>466.584</v>
      </c>
      <c r="P35">
        <v>0.001</v>
      </c>
      <c r="Q35" s="39">
        <f t="shared" ref="Q35:Q66" si="33">IF(G35=0,D35,D34+(D35-D34)/J35*(J35-H35))</f>
        <v>452661.730759873</v>
      </c>
      <c r="R35" s="39">
        <f t="shared" ref="R35:R66" si="34">IF(G35=0,E35,E34+(E35-E34)/J35*(J35-H35))</f>
        <v>3394249.15775507</v>
      </c>
      <c r="S35" s="39">
        <f t="shared" si="29"/>
        <v>452659.182094667</v>
      </c>
      <c r="T35" s="39">
        <f t="shared" si="30"/>
        <v>3394240.26534232</v>
      </c>
      <c r="U35" s="39">
        <f t="shared" si="31"/>
        <v>452654.658870985</v>
      </c>
      <c r="V35" s="39">
        <f t="shared" si="32"/>
        <v>3394232.19619451</v>
      </c>
      <c r="AI35" t="str">
        <f t="array" ref="AI35">IFERROR(INDEX($L$2:$L$805,SMALL(IF(ISNUMBER(FIND($AH$2,$C$2:$C$805)),ROW($2:$805)-1,4^8),ROW(A34)))&amp;"","")</f>
        <v>33737.8699259455</v>
      </c>
      <c r="AJ35" t="str">
        <f t="array" ref="AJ35">IFERROR(INDEX($C$2:$C$805,SMALL(IF(ISNUMBER(FIND($AH$2,$C$2:$C$805)),ROW($2:$805)-1,4^8),ROW(B34)))&amp;"","")</f>
        <v>大堰塘湾2#渡槽出</v>
      </c>
      <c r="AS35" t="str">
        <f>"-text"&amp;" "&amp;D35&amp;","&amp;E35&amp;" "&amp;"10"&amp;" "&amp;"0"&amp;" "&amp;C35</f>
        <v>-text 452660.1965,3394239.8424 10 0 IP11</v>
      </c>
      <c r="AT35" t="str">
        <f t="shared" si="7"/>
        <v>452660.1965,3394239.8424</v>
      </c>
      <c r="AV35">
        <f t="shared" si="8"/>
        <v>472.084</v>
      </c>
      <c r="AX35" t="str">
        <f t="shared" si="9"/>
        <v>pl 8248.97044989686,279 8248.97044989686,400 </v>
      </c>
      <c r="AY35" t="str">
        <f t="shared" si="10"/>
        <v>8248.97044989686,466.584</v>
      </c>
      <c r="AZ35" t="str">
        <f t="shared" si="11"/>
        <v>8248.97044989686,470.553</v>
      </c>
      <c r="BA35" t="str">
        <f t="shared" si="12"/>
        <v>8248.97044989686,472.084</v>
      </c>
      <c r="BB35" t="str">
        <f t="shared" si="13"/>
        <v>-text 8247.97044989686,337 3.5 90 466.584 </v>
      </c>
      <c r="BC35" t="str">
        <f t="shared" si="14"/>
        <v>-text 8247.97044989686,320 3.5 90 472.084 </v>
      </c>
      <c r="BD35" t="str">
        <f t="shared" si="15"/>
        <v>-text 8247.97044989686,306 3.5 90 470.553 </v>
      </c>
      <c r="BE35" t="str">
        <f t="shared" si="16"/>
        <v>-text 8247.97044989686,352 3.5 90 ZG16+497.941 </v>
      </c>
      <c r="BF35" t="str">
        <f t="shared" si="17"/>
        <v>-text 8247.97044989686,280 3.5 90 IP11 </v>
      </c>
      <c r="BG35" t="str">
        <f t="shared" si="18"/>
        <v>-TEXT 8249.97044989686,300 3.5 0 R=40</v>
      </c>
      <c r="BH35" t="str">
        <f t="shared" si="19"/>
        <v>-TEXT 8249.97044989686,295 3.5 0 α=26.56° </v>
      </c>
      <c r="BI35" t="str">
        <f t="shared" si="20"/>
        <v>-TEXT 8249.97044989686,290 3.5 0 T=9.44 </v>
      </c>
      <c r="BJ35" t="str">
        <f t="shared" si="21"/>
        <v>-TEXT 8249.97044989686,285 3.5 0 S=18.54 </v>
      </c>
    </row>
    <row r="36" spans="1:62">
      <c r="A36">
        <v>0</v>
      </c>
      <c r="B36">
        <v>35</v>
      </c>
      <c r="C36" s="47" t="str">
        <f>Sheet1!C36</f>
        <v>雷家湾倒虹管进</v>
      </c>
      <c r="D36" s="47">
        <v>452644.5835</v>
      </c>
      <c r="E36" s="47">
        <v>3394218.2844</v>
      </c>
      <c r="F36" s="47">
        <v>0</v>
      </c>
      <c r="G36" s="47">
        <f t="shared" si="22"/>
        <v>0</v>
      </c>
      <c r="H36" s="47">
        <f t="shared" si="23"/>
        <v>0</v>
      </c>
      <c r="I36" s="47">
        <f t="shared" si="24"/>
        <v>0</v>
      </c>
      <c r="J36" s="47">
        <f t="shared" si="25"/>
        <v>26.6179100045201</v>
      </c>
      <c r="K36" s="48">
        <f t="shared" si="26"/>
        <v>16524.3891411183</v>
      </c>
      <c r="L36" s="48">
        <f t="shared" si="27"/>
        <v>16524.3891411183</v>
      </c>
      <c r="M36" s="48">
        <f t="shared" si="28"/>
        <v>16524.3891411183</v>
      </c>
      <c r="N36" s="47">
        <v>470.548</v>
      </c>
      <c r="O36" s="47">
        <v>466.593</v>
      </c>
      <c r="P36" s="47">
        <v>0</v>
      </c>
      <c r="Q36" s="49">
        <f t="shared" si="33"/>
        <v>452644.5835</v>
      </c>
      <c r="R36" s="49">
        <f t="shared" si="34"/>
        <v>3394218.2844</v>
      </c>
      <c r="S36" s="49" t="str">
        <f t="shared" si="29"/>
        <v> </v>
      </c>
      <c r="T36" s="49" t="str">
        <f t="shared" si="30"/>
        <v> </v>
      </c>
      <c r="U36" s="49" t="str">
        <f t="shared" si="31"/>
        <v> </v>
      </c>
      <c r="V36" s="49" t="str">
        <f t="shared" si="32"/>
        <v> </v>
      </c>
      <c r="AI36" t="str">
        <f t="array" ref="AI36">IFERROR(INDEX($L$2:$L$805,SMALL(IF(ISNUMBER(FIND($AH$2,$C$2:$C$805)),ROW($2:$805)-1,4^8),ROW(A35)))&amp;"","")</f>
        <v>34071.5229203844</v>
      </c>
      <c r="AJ36" t="str">
        <f t="array" ref="AJ36">IFERROR(INDEX($C$2:$C$805,SMALL(IF(ISNUMBER(FIND($AH$2,$C$2:$C$805)),ROW($2:$805)-1,4^8),ROW(B35)))&amp;"","")</f>
        <v>麻风梁子渡槽出</v>
      </c>
      <c r="AT36" t="str">
        <f t="shared" si="7"/>
        <v>452644.5835,3394218.2844</v>
      </c>
      <c r="AV36">
        <f t="shared" si="8"/>
        <v>472.093</v>
      </c>
      <c r="AX36" t="str">
        <f t="shared" si="9"/>
        <v>pl 8262.19457055915,279 8262.19457055915,400 </v>
      </c>
      <c r="AY36" t="str">
        <f t="shared" si="10"/>
        <v>8262.19457055915,466.593</v>
      </c>
      <c r="AZ36" t="str">
        <f t="shared" si="11"/>
        <v>8262.19457055915,470.548</v>
      </c>
      <c r="BA36" t="str">
        <f t="shared" si="12"/>
        <v>8262.19457055915,472.093</v>
      </c>
      <c r="BB36" t="str">
        <f t="shared" si="13"/>
        <v>-text 8261.19457055915,337 3.5 90 466.593 </v>
      </c>
      <c r="BC36" t="str">
        <f t="shared" si="14"/>
        <v>-text 8261.19457055915,320 3.5 90 472.093 </v>
      </c>
      <c r="BD36" t="str">
        <f t="shared" si="15"/>
        <v>-text 8261.19457055915,306 3.5 90 470.548 </v>
      </c>
      <c r="BE36" t="str">
        <f t="shared" si="16"/>
        <v>-text 8261.19457055915,352 3.5 90 ZG16+524.389 </v>
      </c>
      <c r="BF36" t="str">
        <f t="shared" si="17"/>
        <v>-text 8261.19457055915,280 3.5 90 雷家湾倒虹管进 </v>
      </c>
      <c r="BG36" t="str">
        <f t="shared" si="18"/>
        <v/>
      </c>
      <c r="BH36" t="str">
        <f t="shared" si="19"/>
        <v> </v>
      </c>
      <c r="BI36" t="str">
        <f t="shared" si="20"/>
        <v> </v>
      </c>
      <c r="BJ36" t="str">
        <f t="shared" si="21"/>
        <v> </v>
      </c>
    </row>
    <row r="37" spans="1:62">
      <c r="A37">
        <v>0</v>
      </c>
      <c r="B37">
        <v>36</v>
      </c>
      <c r="C37" t="s">
        <v>812</v>
      </c>
      <c r="D37" s="47">
        <v>452574.9386</v>
      </c>
      <c r="E37" s="47">
        <v>3394122.1207</v>
      </c>
      <c r="F37" s="47">
        <v>20</v>
      </c>
      <c r="G37" s="47">
        <f t="shared" si="22"/>
        <v>10.027</v>
      </c>
      <c r="H37" s="47">
        <f t="shared" si="23"/>
        <v>1.75452182735354</v>
      </c>
      <c r="I37" s="47">
        <f t="shared" si="24"/>
        <v>3.50008328194943</v>
      </c>
      <c r="J37" s="47">
        <f t="shared" si="25"/>
        <v>118.734448639331</v>
      </c>
      <c r="K37" s="48">
        <f t="shared" si="26"/>
        <v>16641.3690679303</v>
      </c>
      <c r="L37" s="48">
        <f t="shared" si="27"/>
        <v>16643.1191095712</v>
      </c>
      <c r="M37" s="48">
        <f t="shared" si="28"/>
        <v>16644.8691512122</v>
      </c>
      <c r="N37" s="47"/>
      <c r="O37" s="47">
        <v>466.593</v>
      </c>
      <c r="P37" s="47">
        <v>0</v>
      </c>
      <c r="Q37" s="49">
        <f t="shared" si="33"/>
        <v>452575.967732645</v>
      </c>
      <c r="R37" s="49">
        <f t="shared" si="34"/>
        <v>3394123.54169713</v>
      </c>
      <c r="S37" s="49">
        <f t="shared" si="29"/>
        <v>452575.00451006</v>
      </c>
      <c r="T37" s="49">
        <f t="shared" si="30"/>
        <v>3394122.08125408</v>
      </c>
      <c r="U37" s="49">
        <f t="shared" si="31"/>
        <v>452574.172603267</v>
      </c>
      <c r="V37" s="49">
        <f t="shared" si="32"/>
        <v>3394120.54222103</v>
      </c>
      <c r="AI37" t="str">
        <f t="array" ref="AI37">IFERROR(INDEX($L$2:$L$805,SMALL(IF(ISNUMBER(FIND($AH$2,$C$2:$C$805)),ROW($2:$805)-1,4^8),ROW(A36)))&amp;"","")</f>
        <v>34222.9027121989</v>
      </c>
      <c r="AJ37" t="str">
        <f t="array" ref="AJ37">IFERROR(INDEX($C$2:$C$805,SMALL(IF(ISNUMBER(FIND($AH$2,$C$2:$C$805)),ROW($2:$805)-1,4^8),ROW(B36)))&amp;"","")</f>
        <v>唐家湾1#渡槽出</v>
      </c>
      <c r="AS37" t="str">
        <f t="shared" ref="AS37:AS42" si="35">"-text"&amp;" "&amp;D37&amp;","&amp;E37&amp;" "&amp;"10"&amp;" "&amp;"0"&amp;" "&amp;C37</f>
        <v>-text 452574.9386,3394122.1207 10 0 IP12</v>
      </c>
      <c r="AT37" t="str">
        <f t="shared" si="7"/>
        <v>452574.9386,3394122.1207</v>
      </c>
      <c r="AV37">
        <f t="shared" si="8"/>
        <v>472.093</v>
      </c>
      <c r="AX37" t="str">
        <f t="shared" si="9"/>
        <v>pl 8321.55955478562,279 8321.55955478562,400 </v>
      </c>
      <c r="AY37" t="str">
        <f t="shared" si="10"/>
        <v>8321.55955478562,466.593</v>
      </c>
      <c r="AZ37" t="str">
        <f t="shared" si="11"/>
        <v>8321.55955478562,</v>
      </c>
      <c r="BA37" t="str">
        <f t="shared" si="12"/>
        <v>8321.55955478562,472.093</v>
      </c>
      <c r="BB37" t="str">
        <f t="shared" si="13"/>
        <v>-text 8320.55955478562,337 3.5 90 466.593 </v>
      </c>
      <c r="BC37" t="str">
        <f t="shared" si="14"/>
        <v>-text 8320.55955478562,320 3.5 90 472.093 </v>
      </c>
      <c r="BD37" t="str">
        <f t="shared" si="15"/>
        <v>-text 8320.55955478562,306 3.5 90 0.000 </v>
      </c>
      <c r="BE37" t="str">
        <f t="shared" si="16"/>
        <v>-text 8320.55955478562,352 3.5 90 ZG16+643.119 </v>
      </c>
      <c r="BF37" t="str">
        <f t="shared" si="17"/>
        <v>-text 8320.55955478562,280 3.5 90 IP12 </v>
      </c>
      <c r="BG37" t="str">
        <f t="shared" si="18"/>
        <v>-TEXT 8322.55955478562,300 3.5 0 R=20</v>
      </c>
      <c r="BH37" t="str">
        <f t="shared" si="19"/>
        <v>-TEXT 8322.55955478562,295 3.5 0 α=10.03° </v>
      </c>
      <c r="BI37" t="str">
        <f t="shared" si="20"/>
        <v>-TEXT 8322.55955478562,290 3.5 0 T=1.75 </v>
      </c>
      <c r="BJ37" t="str">
        <f t="shared" si="21"/>
        <v>-TEXT 8322.55955478562,285 3.5 0 S=3.50 </v>
      </c>
    </row>
    <row r="38" spans="1:62">
      <c r="A38">
        <v>0</v>
      </c>
      <c r="B38">
        <v>37</v>
      </c>
      <c r="C38" t="s">
        <v>813</v>
      </c>
      <c r="D38" s="47">
        <v>452521.3433</v>
      </c>
      <c r="E38" s="47">
        <v>3394011.6776</v>
      </c>
      <c r="F38" s="47">
        <v>20</v>
      </c>
      <c r="G38" s="47">
        <f t="shared" si="22"/>
        <v>39.237</v>
      </c>
      <c r="H38" s="47">
        <f t="shared" si="23"/>
        <v>7.12895702139123</v>
      </c>
      <c r="I38" s="47">
        <f t="shared" si="24"/>
        <v>13.6962967721003</v>
      </c>
      <c r="J38" s="47">
        <f t="shared" si="25"/>
        <v>122.760476211419</v>
      </c>
      <c r="K38" s="48">
        <f t="shared" si="26"/>
        <v>16758.7461485749</v>
      </c>
      <c r="L38" s="48">
        <f t="shared" si="27"/>
        <v>16765.5942969609</v>
      </c>
      <c r="M38" s="48">
        <f t="shared" si="28"/>
        <v>16772.442445347</v>
      </c>
      <c r="N38" s="47"/>
      <c r="O38" s="47">
        <v>466.593</v>
      </c>
      <c r="P38" s="47">
        <v>0</v>
      </c>
      <c r="Q38" s="49">
        <f t="shared" si="33"/>
        <v>452524.45569091</v>
      </c>
      <c r="R38" s="49">
        <f t="shared" si="34"/>
        <v>3394018.09126128</v>
      </c>
      <c r="S38" s="49">
        <f t="shared" si="29"/>
        <v>452522.568505713</v>
      </c>
      <c r="T38" s="49">
        <f t="shared" si="30"/>
        <v>3394011.54303726</v>
      </c>
      <c r="U38" s="49">
        <f t="shared" si="31"/>
        <v>452522.989483332</v>
      </c>
      <c r="V38" s="49">
        <f t="shared" si="32"/>
        <v>3394004.74131074</v>
      </c>
      <c r="AI38" t="str">
        <f t="array" ref="AI38">IFERROR(INDEX($L$2:$L$805,SMALL(IF(ISNUMBER(FIND($AH$2,$C$2:$C$805)),ROW($2:$805)-1,4^8),ROW(A37)))&amp;"","")</f>
        <v>34500.9521073067</v>
      </c>
      <c r="AJ38" t="str">
        <f t="array" ref="AJ38">IFERROR(INDEX($C$2:$C$805,SMALL(IF(ISNUMBER(FIND($AH$2,$C$2:$C$805)),ROW($2:$805)-1,4^8),ROW(B37)))&amp;"","")</f>
        <v>唐家湾2#渡槽出</v>
      </c>
      <c r="AS38" t="str">
        <f t="shared" si="35"/>
        <v>-text 452521.3433,3394011.6776 10 0 IP13</v>
      </c>
      <c r="AT38" t="str">
        <f t="shared" si="7"/>
        <v>452521.3433,3394011.6776</v>
      </c>
      <c r="AV38">
        <f t="shared" si="8"/>
        <v>472.093</v>
      </c>
      <c r="AX38" t="str">
        <f t="shared" si="9"/>
        <v>pl 8382.79714848047,279 8382.79714848047,400 </v>
      </c>
      <c r="AY38" t="str">
        <f t="shared" si="10"/>
        <v>8382.79714848047,466.593</v>
      </c>
      <c r="AZ38" t="str">
        <f t="shared" si="11"/>
        <v>8382.79714848047,</v>
      </c>
      <c r="BA38" t="str">
        <f t="shared" si="12"/>
        <v>8382.79714848047,472.093</v>
      </c>
      <c r="BB38" t="str">
        <f t="shared" si="13"/>
        <v>-text 8381.79714848047,337 3.5 90 466.593 </v>
      </c>
      <c r="BC38" t="str">
        <f t="shared" si="14"/>
        <v>-text 8381.79714848047,320 3.5 90 472.093 </v>
      </c>
      <c r="BD38" t="str">
        <f t="shared" si="15"/>
        <v>-text 8381.79714848047,306 3.5 90 0.000 </v>
      </c>
      <c r="BE38" t="str">
        <f t="shared" si="16"/>
        <v>-text 8381.79714848047,352 3.5 90 ZG16+765.594 </v>
      </c>
      <c r="BF38" t="str">
        <f t="shared" si="17"/>
        <v>-text 8381.79714848047,280 3.5 90 IP13 </v>
      </c>
      <c r="BG38" t="str">
        <f t="shared" si="18"/>
        <v>-TEXT 8383.79714848047,300 3.5 0 R=20</v>
      </c>
      <c r="BH38" t="str">
        <f t="shared" si="19"/>
        <v>-TEXT 8383.79714848047,295 3.5 0 α=39.24° </v>
      </c>
      <c r="BI38" t="str">
        <f t="shared" si="20"/>
        <v>-TEXT 8383.79714848047,290 3.5 0 T=7.13 </v>
      </c>
      <c r="BJ38" t="str">
        <f t="shared" si="21"/>
        <v>-TEXT 8383.79714848047,285 3.5 0 S=13.70 </v>
      </c>
    </row>
    <row r="39" spans="1:62">
      <c r="A39">
        <v>0</v>
      </c>
      <c r="B39">
        <v>38</v>
      </c>
      <c r="C39" t="s">
        <v>814</v>
      </c>
      <c r="D39" s="47">
        <v>452549.1184</v>
      </c>
      <c r="E39" s="47">
        <v>3393894.6456</v>
      </c>
      <c r="F39" s="47">
        <v>20</v>
      </c>
      <c r="G39" s="47">
        <f t="shared" si="22"/>
        <v>14.427</v>
      </c>
      <c r="H39" s="47">
        <f t="shared" si="23"/>
        <v>2.53137530604415</v>
      </c>
      <c r="I39" s="47">
        <f t="shared" si="24"/>
        <v>5.03597302370444</v>
      </c>
      <c r="J39" s="47">
        <f t="shared" si="25"/>
        <v>120.28277185049</v>
      </c>
      <c r="K39" s="48">
        <f t="shared" si="26"/>
        <v>16883.06488487</v>
      </c>
      <c r="L39" s="48">
        <f t="shared" si="27"/>
        <v>16885.5828713819</v>
      </c>
      <c r="M39" s="48">
        <f t="shared" si="28"/>
        <v>16888.1008578938</v>
      </c>
      <c r="N39" s="47"/>
      <c r="O39" s="47">
        <v>466.593</v>
      </c>
      <c r="P39" s="47">
        <v>0</v>
      </c>
      <c r="Q39" s="49">
        <f t="shared" si="33"/>
        <v>452548.533867393</v>
      </c>
      <c r="R39" s="49">
        <f t="shared" si="34"/>
        <v>3393897.10856215</v>
      </c>
      <c r="S39" s="49">
        <f t="shared" si="29"/>
        <v>452548.959758743</v>
      </c>
      <c r="T39" s="49">
        <f t="shared" si="30"/>
        <v>3393894.62854072</v>
      </c>
      <c r="U39" s="49">
        <f t="shared" si="31"/>
        <v>452549.070878827</v>
      </c>
      <c r="V39" s="49">
        <f t="shared" si="32"/>
        <v>3393892.11467079</v>
      </c>
      <c r="AI39" t="str">
        <f t="array" ref="AI39">IFERROR(INDEX($L$2:$L$805,SMALL(IF(ISNUMBER(FIND($AH$2,$C$2:$C$805)),ROW($2:$805)-1,4^8),ROW(A38)))&amp;"","")</f>
        <v>35751.5150451573</v>
      </c>
      <c r="AJ39" t="str">
        <f t="array" ref="AJ39">IFERROR(INDEX($C$2:$C$805,SMALL(IF(ISNUMBER(FIND($AH$2,$C$2:$C$805)),ROW($2:$805)-1,4^8),ROW(B38)))&amp;"","")</f>
        <v>干湾渡槽出</v>
      </c>
      <c r="AS39" t="str">
        <f t="shared" si="35"/>
        <v>-text 452549.1184,3393894.6456 10 0 IP14</v>
      </c>
      <c r="AT39" t="str">
        <f t="shared" si="7"/>
        <v>452549.1184,3393894.6456</v>
      </c>
      <c r="AV39">
        <f t="shared" si="8"/>
        <v>472.093</v>
      </c>
      <c r="AX39" t="str">
        <f t="shared" si="9"/>
        <v>pl 8442.79143569095,279 8442.79143569095,400 </v>
      </c>
      <c r="AY39" t="str">
        <f t="shared" si="10"/>
        <v>8442.79143569095,466.593</v>
      </c>
      <c r="AZ39" t="str">
        <f t="shared" si="11"/>
        <v>8442.79143569095,</v>
      </c>
      <c r="BA39" t="str">
        <f t="shared" si="12"/>
        <v>8442.79143569095,472.093</v>
      </c>
      <c r="BB39" t="str">
        <f t="shared" si="13"/>
        <v>-text 8441.79143569095,337 3.5 90 466.593 </v>
      </c>
      <c r="BC39" t="str">
        <f t="shared" si="14"/>
        <v>-text 8441.79143569095,320 3.5 90 472.093 </v>
      </c>
      <c r="BD39" t="str">
        <f t="shared" si="15"/>
        <v>-text 8441.79143569095,306 3.5 90 0.000 </v>
      </c>
      <c r="BE39" t="str">
        <f t="shared" si="16"/>
        <v>-text 8441.79143569095,352 3.5 90 ZG16+885.583 </v>
      </c>
      <c r="BF39" t="str">
        <f t="shared" si="17"/>
        <v>-text 8441.79143569095,280 3.5 90 IP14 </v>
      </c>
      <c r="BG39" t="str">
        <f t="shared" si="18"/>
        <v>-TEXT 8443.79143569095,300 3.5 0 R=20</v>
      </c>
      <c r="BH39" t="str">
        <f t="shared" si="19"/>
        <v>-TEXT 8443.79143569095,295 3.5 0 α=14.43° </v>
      </c>
      <c r="BI39" t="str">
        <f t="shared" si="20"/>
        <v>-TEXT 8443.79143569095,290 3.5 0 T=2.53 </v>
      </c>
      <c r="BJ39" t="str">
        <f t="shared" si="21"/>
        <v>-TEXT 8443.79143569095,285 3.5 0 S=5.04 </v>
      </c>
    </row>
    <row r="40" spans="1:62">
      <c r="A40">
        <v>0</v>
      </c>
      <c r="B40">
        <v>39</v>
      </c>
      <c r="C40" t="s">
        <v>59</v>
      </c>
      <c r="D40" s="47">
        <v>452546.4904</v>
      </c>
      <c r="E40" s="47">
        <v>3393754.681</v>
      </c>
      <c r="F40" s="47">
        <v>20</v>
      </c>
      <c r="G40" s="47">
        <f t="shared" si="22"/>
        <v>7.548</v>
      </c>
      <c r="H40" s="47">
        <f t="shared" si="23"/>
        <v>1.31928305783452</v>
      </c>
      <c r="I40" s="47">
        <f t="shared" si="24"/>
        <v>2.63474903881064</v>
      </c>
      <c r="J40" s="47">
        <f t="shared" si="25"/>
        <v>139.989269721568</v>
      </c>
      <c r="K40" s="48">
        <f t="shared" si="26"/>
        <v>17024.2394692514</v>
      </c>
      <c r="L40" s="48">
        <f t="shared" si="27"/>
        <v>17025.5568437708</v>
      </c>
      <c r="M40" s="48">
        <f t="shared" si="28"/>
        <v>17026.8742182903</v>
      </c>
      <c r="N40" s="47"/>
      <c r="O40" s="47">
        <v>466.593</v>
      </c>
      <c r="P40" s="47">
        <v>0</v>
      </c>
      <c r="Q40" s="49">
        <f t="shared" si="33"/>
        <v>452546.515166726</v>
      </c>
      <c r="R40" s="49">
        <f t="shared" si="34"/>
        <v>3393756.00005057</v>
      </c>
      <c r="S40" s="49">
        <f t="shared" si="29"/>
        <v>452546.533819802</v>
      </c>
      <c r="T40" s="49">
        <f t="shared" si="30"/>
        <v>3393754.68304653</v>
      </c>
      <c r="U40" s="49">
        <f t="shared" si="31"/>
        <v>452546.639124165</v>
      </c>
      <c r="V40" s="49">
        <f t="shared" si="32"/>
        <v>3393753.37012666</v>
      </c>
      <c r="AI40" t="str">
        <f t="array" ref="AI40">IFERROR(INDEX($L$2:$L$805,SMALL(IF(ISNUMBER(FIND($AH$2,$C$2:$C$805)),ROW($2:$805)-1,4^8),ROW(A39)))&amp;"","")</f>
        <v>36084.153417619</v>
      </c>
      <c r="AJ40" t="str">
        <f t="array" ref="AJ40">IFERROR(INDEX($C$2:$C$805,SMALL(IF(ISNUMBER(FIND($AH$2,$C$2:$C$805)),ROW($2:$805)-1,4^8),ROW(B39)))&amp;"","")</f>
        <v>松树坪渡槽出</v>
      </c>
      <c r="AS40" t="str">
        <f t="shared" si="35"/>
        <v>-text 452546.4904,3393754.681 10 0 IP15</v>
      </c>
      <c r="AT40" t="str">
        <f t="shared" si="7"/>
        <v>452546.4904,3393754.681</v>
      </c>
      <c r="AV40">
        <f t="shared" si="8"/>
        <v>472.093</v>
      </c>
      <c r="AX40" t="str">
        <f t="shared" si="9"/>
        <v>pl 8512.77842188542,279 8512.77842188542,400 </v>
      </c>
      <c r="AY40" t="str">
        <f t="shared" si="10"/>
        <v>8512.77842188542,466.593</v>
      </c>
      <c r="AZ40" t="str">
        <f t="shared" si="11"/>
        <v>8512.77842188542,</v>
      </c>
      <c r="BA40" t="str">
        <f t="shared" si="12"/>
        <v>8512.77842188542,472.093</v>
      </c>
      <c r="BB40" t="str">
        <f t="shared" si="13"/>
        <v>-text 8511.77842188542,337 3.5 90 466.593 </v>
      </c>
      <c r="BC40" t="str">
        <f t="shared" si="14"/>
        <v>-text 8511.77842188542,320 3.5 90 472.093 </v>
      </c>
      <c r="BD40" t="str">
        <f t="shared" si="15"/>
        <v>-text 8511.77842188542,306 3.5 90 0.000 </v>
      </c>
      <c r="BE40" t="str">
        <f t="shared" si="16"/>
        <v>-text 8511.77842188542,352 3.5 90 ZG17+025.557 </v>
      </c>
      <c r="BF40" t="str">
        <f t="shared" si="17"/>
        <v>-text 8511.77842188542,280 3.5 90 IP15 </v>
      </c>
      <c r="BG40" t="str">
        <f t="shared" si="18"/>
        <v>-TEXT 8513.77842188542,300 3.5 0 R=20</v>
      </c>
      <c r="BH40" t="str">
        <f t="shared" si="19"/>
        <v>-TEXT 8513.77842188542,295 3.5 0 α=7.55° </v>
      </c>
      <c r="BI40" t="str">
        <f t="shared" si="20"/>
        <v>-TEXT 8513.77842188542,290 3.5 0 T=1.32 </v>
      </c>
      <c r="BJ40" t="str">
        <f t="shared" si="21"/>
        <v>-TEXT 8513.77842188542,285 3.5 0 S=2.63 </v>
      </c>
    </row>
    <row r="41" spans="1:62">
      <c r="A41">
        <v>0</v>
      </c>
      <c r="B41">
        <v>40</v>
      </c>
      <c r="C41" t="s">
        <v>61</v>
      </c>
      <c r="D41" s="47">
        <v>452555.6035</v>
      </c>
      <c r="E41" s="47">
        <v>3393674.357</v>
      </c>
      <c r="F41" s="47">
        <v>20</v>
      </c>
      <c r="G41" s="47">
        <f t="shared" si="22"/>
        <v>51.571</v>
      </c>
      <c r="H41" s="47">
        <f t="shared" si="23"/>
        <v>9.66213423938244</v>
      </c>
      <c r="I41" s="47">
        <f t="shared" si="24"/>
        <v>18.0016749709199</v>
      </c>
      <c r="J41" s="47">
        <f t="shared" si="25"/>
        <v>80.8393070703473</v>
      </c>
      <c r="K41" s="48">
        <f t="shared" si="26"/>
        <v>17096.7321080634</v>
      </c>
      <c r="L41" s="48">
        <f t="shared" si="27"/>
        <v>17105.7329455488</v>
      </c>
      <c r="M41" s="48">
        <f t="shared" si="28"/>
        <v>17114.7337830343</v>
      </c>
      <c r="N41" s="47"/>
      <c r="O41" s="47">
        <v>466.593</v>
      </c>
      <c r="P41" s="47">
        <v>0</v>
      </c>
      <c r="Q41" s="49">
        <f t="shared" si="33"/>
        <v>452554.514277458</v>
      </c>
      <c r="R41" s="49">
        <f t="shared" si="34"/>
        <v>3393683.95754333</v>
      </c>
      <c r="S41" s="49">
        <f t="shared" si="29"/>
        <v>452557.473766693</v>
      </c>
      <c r="T41" s="49">
        <f t="shared" si="30"/>
        <v>3393675.53742195</v>
      </c>
      <c r="U41" s="49">
        <f t="shared" si="31"/>
        <v>452563.801340243</v>
      </c>
      <c r="V41" s="49">
        <f t="shared" si="32"/>
        <v>3393669.2430726</v>
      </c>
      <c r="AI41" t="str">
        <f t="array" ref="AI41">IFERROR(INDEX($L$2:$L$805,SMALL(IF(ISNUMBER(FIND($AH$2,$C$2:$C$805)),ROW($2:$805)-1,4^8),ROW(A40)))&amp;"","")</f>
        <v>36281.0634461153</v>
      </c>
      <c r="AJ41" t="str">
        <f t="array" ref="AJ41">IFERROR(INDEX($C$2:$C$805,SMALL(IF(ISNUMBER(FIND($AH$2,$C$2:$C$805)),ROW($2:$805)-1,4^8),ROW(B40)))&amp;"","")</f>
        <v>胡家渡槽出</v>
      </c>
      <c r="AS41" t="str">
        <f t="shared" si="35"/>
        <v>-text 452555.6035,3393674.357 10 0 IP16</v>
      </c>
      <c r="AT41" t="str">
        <f t="shared" si="7"/>
        <v>452555.6035,3393674.357</v>
      </c>
      <c r="AV41">
        <f t="shared" si="8"/>
        <v>472.093</v>
      </c>
      <c r="AX41" t="str">
        <f t="shared" si="9"/>
        <v>pl 8552.86647277442,279 8552.86647277442,400 </v>
      </c>
      <c r="AY41" t="str">
        <f t="shared" si="10"/>
        <v>8552.86647277442,466.593</v>
      </c>
      <c r="AZ41" t="str">
        <f t="shared" si="11"/>
        <v>8552.86647277442,</v>
      </c>
      <c r="BA41" t="str">
        <f t="shared" si="12"/>
        <v>8552.86647277442,472.093</v>
      </c>
      <c r="BB41" t="str">
        <f t="shared" si="13"/>
        <v>-text 8551.86647277442,337 3.5 90 466.593 </v>
      </c>
      <c r="BC41" t="str">
        <f t="shared" si="14"/>
        <v>-text 8551.86647277442,320 3.5 90 472.093 </v>
      </c>
      <c r="BD41" t="str">
        <f t="shared" si="15"/>
        <v>-text 8551.86647277442,306 3.5 90 0.000 </v>
      </c>
      <c r="BE41" t="str">
        <f t="shared" si="16"/>
        <v>-text 8551.86647277442,352 3.5 90 ZG17+105.733 </v>
      </c>
      <c r="BF41" t="str">
        <f t="shared" si="17"/>
        <v>-text 8551.86647277442,280 3.5 90 IP16 </v>
      </c>
      <c r="BG41" t="str">
        <f t="shared" si="18"/>
        <v>-TEXT 8553.86647277442,300 3.5 0 R=20</v>
      </c>
      <c r="BH41" t="str">
        <f t="shared" si="19"/>
        <v>-TEXT 8553.86647277442,295 3.5 0 α=51.57° </v>
      </c>
      <c r="BI41" t="str">
        <f t="shared" si="20"/>
        <v>-TEXT 8553.86647277442,290 3.5 0 T=9.66 </v>
      </c>
      <c r="BJ41" t="str">
        <f t="shared" si="21"/>
        <v>-TEXT 8553.86647277442,285 3.5 0 S=18.00 </v>
      </c>
    </row>
    <row r="42" spans="1:62">
      <c r="A42">
        <v>0</v>
      </c>
      <c r="B42">
        <v>41</v>
      </c>
      <c r="C42" t="s">
        <v>62</v>
      </c>
      <c r="D42" s="47">
        <v>452633.5115</v>
      </c>
      <c r="E42" s="47">
        <v>3393625.7569</v>
      </c>
      <c r="F42" s="47">
        <v>20</v>
      </c>
      <c r="G42" s="47">
        <f t="shared" si="22"/>
        <v>58.481</v>
      </c>
      <c r="H42" s="47">
        <f t="shared" si="23"/>
        <v>11.1961824113974</v>
      </c>
      <c r="I42" s="47">
        <f t="shared" si="24"/>
        <v>20.4137199971761</v>
      </c>
      <c r="J42" s="47">
        <f t="shared" si="25"/>
        <v>91.8238867833522</v>
      </c>
      <c r="K42" s="48">
        <f t="shared" si="26"/>
        <v>17185.6993531669</v>
      </c>
      <c r="L42" s="48">
        <f t="shared" si="27"/>
        <v>17195.9062131655</v>
      </c>
      <c r="M42" s="48">
        <f t="shared" si="28"/>
        <v>17206.1130731641</v>
      </c>
      <c r="N42" s="47"/>
      <c r="O42" s="47">
        <v>466.593</v>
      </c>
      <c r="P42" s="47">
        <v>0</v>
      </c>
      <c r="Q42" s="49">
        <f t="shared" si="33"/>
        <v>452624.012096197</v>
      </c>
      <c r="R42" s="49">
        <f t="shared" si="34"/>
        <v>3393631.68276095</v>
      </c>
      <c r="S42" s="49">
        <f t="shared" si="29"/>
        <v>452630.952212427</v>
      </c>
      <c r="T42" s="49">
        <f t="shared" si="30"/>
        <v>3393624.34974964</v>
      </c>
      <c r="U42" s="49">
        <f t="shared" si="31"/>
        <v>452633.425977653</v>
      </c>
      <c r="V42" s="49">
        <f t="shared" si="32"/>
        <v>3393614.56104423</v>
      </c>
      <c r="AI42" t="str">
        <f t="array" ref="AI42">IFERROR(INDEX($L$2:$L$805,SMALL(IF(ISNUMBER(FIND($AH$2,$C$2:$C$805)),ROW($2:$805)-1,4^8),ROW(A41)))&amp;"","")</f>
        <v>36591.4319321057</v>
      </c>
      <c r="AJ42" t="str">
        <f t="array" ref="AJ42">IFERROR(INDEX($C$2:$C$805,SMALL(IF(ISNUMBER(FIND($AH$2,$C$2:$C$805)),ROW($2:$805)-1,4^8),ROW(B41)))&amp;"","")</f>
        <v>蔡家坟隧出</v>
      </c>
      <c r="AS42" t="str">
        <f t="shared" si="35"/>
        <v>-text 452633.5115,3393625.7569 10 0 IP17</v>
      </c>
      <c r="AT42" t="str">
        <f t="shared" si="7"/>
        <v>452633.5115,3393625.7569</v>
      </c>
      <c r="AV42">
        <f t="shared" si="8"/>
        <v>472.093</v>
      </c>
      <c r="AX42" t="str">
        <f t="shared" si="9"/>
        <v>pl 8597.95310658273,279 8597.95310658273,400 </v>
      </c>
      <c r="AY42" t="str">
        <f t="shared" si="10"/>
        <v>8597.95310658273,466.593</v>
      </c>
      <c r="AZ42" t="str">
        <f t="shared" si="11"/>
        <v>8597.95310658273,</v>
      </c>
      <c r="BA42" t="str">
        <f t="shared" si="12"/>
        <v>8597.95310658273,472.093</v>
      </c>
      <c r="BB42" t="str">
        <f t="shared" si="13"/>
        <v>-text 8596.95310658273,337 3.5 90 466.593 </v>
      </c>
      <c r="BC42" t="str">
        <f t="shared" si="14"/>
        <v>-text 8596.95310658273,320 3.5 90 472.093 </v>
      </c>
      <c r="BD42" t="str">
        <f t="shared" si="15"/>
        <v>-text 8596.95310658273,306 3.5 90 0.000 </v>
      </c>
      <c r="BE42" t="str">
        <f t="shared" si="16"/>
        <v>-text 8596.95310658273,352 3.5 90 ZG17+195.906 </v>
      </c>
      <c r="BF42" t="str">
        <f t="shared" si="17"/>
        <v>-text 8596.95310658273,280 3.5 90 IP17 </v>
      </c>
      <c r="BG42" t="str">
        <f t="shared" si="18"/>
        <v>-TEXT 8598.95310658273,300 3.5 0 R=20</v>
      </c>
      <c r="BH42" t="str">
        <f t="shared" si="19"/>
        <v>-TEXT 8598.95310658273,295 3.5 0 α=58.48° </v>
      </c>
      <c r="BI42" t="str">
        <f t="shared" si="20"/>
        <v>-TEXT 8598.95310658273,290 3.5 0 T=11.20 </v>
      </c>
      <c r="BJ42" t="str">
        <f t="shared" si="21"/>
        <v>-TEXT 8598.95310658273,285 3.5 0 S=20.41 </v>
      </c>
    </row>
    <row r="43" spans="1:62">
      <c r="A43">
        <v>0</v>
      </c>
      <c r="B43">
        <v>42</v>
      </c>
      <c r="C43" s="47" t="str">
        <f>Sheet1!C37</f>
        <v>雷家湾倒虹管出</v>
      </c>
      <c r="D43" s="47">
        <v>452632.9603</v>
      </c>
      <c r="E43" s="47">
        <v>3393553.5985</v>
      </c>
      <c r="F43" s="47">
        <v>0</v>
      </c>
      <c r="G43" s="47">
        <f t="shared" si="22"/>
        <v>0</v>
      </c>
      <c r="H43" s="47">
        <f t="shared" si="23"/>
        <v>0</v>
      </c>
      <c r="I43" s="47">
        <f t="shared" si="24"/>
        <v>0</v>
      </c>
      <c r="J43" s="47">
        <f t="shared" si="25"/>
        <v>72.1605052089478</v>
      </c>
      <c r="K43" s="48">
        <f t="shared" si="26"/>
        <v>17267.0773959616</v>
      </c>
      <c r="L43" s="48">
        <f t="shared" si="27"/>
        <v>17267.0773959616</v>
      </c>
      <c r="M43" s="48">
        <f t="shared" si="28"/>
        <v>17267.0773959616</v>
      </c>
      <c r="N43" s="47">
        <v>469.848</v>
      </c>
      <c r="O43" s="47">
        <v>465.893</v>
      </c>
      <c r="P43" s="47">
        <v>0</v>
      </c>
      <c r="Q43" s="49">
        <f t="shared" si="33"/>
        <v>452632.9603</v>
      </c>
      <c r="R43" s="49">
        <f t="shared" si="34"/>
        <v>3393553.5985</v>
      </c>
      <c r="S43" s="49" t="str">
        <f t="shared" si="29"/>
        <v> </v>
      </c>
      <c r="T43" s="49" t="str">
        <f t="shared" si="30"/>
        <v> </v>
      </c>
      <c r="U43" s="49" t="str">
        <f t="shared" si="31"/>
        <v> </v>
      </c>
      <c r="V43" s="49" t="str">
        <f t="shared" si="32"/>
        <v> </v>
      </c>
      <c r="AI43" t="str">
        <f t="array" ref="AI43">IFERROR(INDEX($L$2:$L$805,SMALL(IF(ISNUMBER(FIND($AH$2,$C$2:$C$805)),ROW($2:$805)-1,4^8),ROW(A42)))&amp;"","")</f>
        <v>36764.6791036844</v>
      </c>
      <c r="AJ43" t="str">
        <f t="array" ref="AJ43">IFERROR(INDEX($C$2:$C$805,SMALL(IF(ISNUMBER(FIND($AH$2,$C$2:$C$805)),ROW($2:$805)-1,4^8),ROW(B42)))&amp;"","")</f>
        <v>狮子山渡槽出</v>
      </c>
      <c r="AT43" t="str">
        <f t="shared" si="7"/>
        <v>452632.9603,3393553.5985</v>
      </c>
      <c r="AV43">
        <f t="shared" si="8"/>
        <v>471.393</v>
      </c>
      <c r="AX43" t="str">
        <f t="shared" si="9"/>
        <v>pl 8633.5386979808,279 8633.5386979808,400 </v>
      </c>
      <c r="AY43" t="str">
        <f t="shared" si="10"/>
        <v>8633.5386979808,465.893</v>
      </c>
      <c r="AZ43" t="str">
        <f t="shared" si="11"/>
        <v>8633.5386979808,469.848</v>
      </c>
      <c r="BA43" t="str">
        <f t="shared" si="12"/>
        <v>8633.5386979808,471.393</v>
      </c>
      <c r="BB43" t="str">
        <f t="shared" si="13"/>
        <v>-text 8632.5386979808,337 3.5 90 465.893 </v>
      </c>
      <c r="BC43" t="str">
        <f t="shared" si="14"/>
        <v>-text 8632.5386979808,320 3.5 90 471.393 </v>
      </c>
      <c r="BD43" t="str">
        <f t="shared" si="15"/>
        <v>-text 8632.5386979808,306 3.5 90 469.848 </v>
      </c>
      <c r="BE43" t="str">
        <f t="shared" si="16"/>
        <v>-text 8632.5386979808,352 3.5 90 ZG17+267.077 </v>
      </c>
      <c r="BF43" t="str">
        <f t="shared" si="17"/>
        <v>-text 8632.5386979808,280 3.5 90 雷家湾倒虹管出 </v>
      </c>
      <c r="BG43" t="str">
        <f t="shared" si="18"/>
        <v/>
      </c>
      <c r="BH43" t="str">
        <f t="shared" si="19"/>
        <v> </v>
      </c>
      <c r="BI43" t="str">
        <f t="shared" si="20"/>
        <v> </v>
      </c>
      <c r="BJ43" t="str">
        <f t="shared" si="21"/>
        <v> </v>
      </c>
    </row>
    <row r="44" spans="1:62">
      <c r="A44">
        <v>1</v>
      </c>
      <c r="B44">
        <v>43</v>
      </c>
      <c r="C44" t="str">
        <f>Sheet1!C38</f>
        <v>鹞子林隧进</v>
      </c>
      <c r="D44" s="39">
        <v>452632.8464</v>
      </c>
      <c r="E44" s="39">
        <v>3393538.6819</v>
      </c>
      <c r="F44">
        <v>0</v>
      </c>
      <c r="G44">
        <f t="shared" si="22"/>
        <v>0</v>
      </c>
      <c r="H44">
        <f t="shared" si="23"/>
        <v>0</v>
      </c>
      <c r="I44">
        <f t="shared" si="24"/>
        <v>0</v>
      </c>
      <c r="J44">
        <f t="shared" si="25"/>
        <v>14.9170348514537</v>
      </c>
      <c r="K44" s="40">
        <f t="shared" si="26"/>
        <v>17281.9944308131</v>
      </c>
      <c r="L44" s="40">
        <f t="shared" si="27"/>
        <v>17281.9944308131</v>
      </c>
      <c r="M44" s="40">
        <f t="shared" si="28"/>
        <v>17281.9944308131</v>
      </c>
      <c r="N44">
        <v>469.749</v>
      </c>
      <c r="O44">
        <v>465.828</v>
      </c>
      <c r="P44">
        <v>0</v>
      </c>
      <c r="Q44" s="39">
        <f t="shared" si="33"/>
        <v>452632.8464</v>
      </c>
      <c r="R44" s="39">
        <f t="shared" si="34"/>
        <v>3393538.6819</v>
      </c>
      <c r="S44" s="39" t="str">
        <f t="shared" si="29"/>
        <v> </v>
      </c>
      <c r="T44" s="39" t="str">
        <f t="shared" si="30"/>
        <v> </v>
      </c>
      <c r="U44" s="39" t="str">
        <f t="shared" si="31"/>
        <v> </v>
      </c>
      <c r="V44" s="39" t="str">
        <f t="shared" si="32"/>
        <v> </v>
      </c>
      <c r="AI44" t="str">
        <f t="array" ref="AI44">IFERROR(INDEX($L$2:$L$805,SMALL(IF(ISNUMBER(FIND($AH$2,$C$2:$C$805)),ROW($2:$805)-1,4^8),ROW(A43)))&amp;"","")</f>
        <v>36991.2536385325</v>
      </c>
      <c r="AJ44" t="str">
        <f t="array" ref="AJ44">IFERROR(INDEX($C$2:$C$805,SMALL(IF(ISNUMBER(FIND($AH$2,$C$2:$C$805)),ROW($2:$805)-1,4^8),ROW(B43)))&amp;"","")</f>
        <v>狮子山隧出</v>
      </c>
      <c r="AT44" t="str">
        <f t="shared" si="7"/>
        <v>452632.8464,3393538.6819</v>
      </c>
      <c r="AV44">
        <f t="shared" si="8"/>
        <v>471.028</v>
      </c>
      <c r="AX44" t="str">
        <f t="shared" si="9"/>
        <v>pl 8640.99721540653,279 8640.99721540653,400 </v>
      </c>
      <c r="AY44" t="str">
        <f t="shared" si="10"/>
        <v>8640.99721540653,465.828</v>
      </c>
      <c r="AZ44" t="str">
        <f t="shared" si="11"/>
        <v>8640.99721540653,469.749</v>
      </c>
      <c r="BA44" t="str">
        <f t="shared" si="12"/>
        <v>8640.99721540653,471.028</v>
      </c>
      <c r="BB44" t="str">
        <f t="shared" si="13"/>
        <v>-text 8639.99721540653,337 3.5 90 465.828 </v>
      </c>
      <c r="BC44" t="str">
        <f t="shared" si="14"/>
        <v>-text 8639.99721540653,320 3.5 90 471.028 </v>
      </c>
      <c r="BD44" t="str">
        <f t="shared" si="15"/>
        <v>-text 8639.99721540653,306 3.5 90 469.749 </v>
      </c>
      <c r="BE44" t="str">
        <f t="shared" si="16"/>
        <v>-text 8639.99721540653,352 3.5 90 ZG17+281.994 </v>
      </c>
      <c r="BF44" t="str">
        <f t="shared" si="17"/>
        <v>-text 8639.99721540653,280 3.5 90 鹞子林隧进 </v>
      </c>
      <c r="BG44" t="str">
        <f t="shared" si="18"/>
        <v/>
      </c>
      <c r="BH44" t="str">
        <f t="shared" si="19"/>
        <v> </v>
      </c>
      <c r="BI44" t="str">
        <f t="shared" si="20"/>
        <v> </v>
      </c>
      <c r="BJ44" t="str">
        <f t="shared" si="21"/>
        <v> </v>
      </c>
    </row>
    <row r="45" spans="1:62">
      <c r="A45">
        <v>1</v>
      </c>
      <c r="B45">
        <v>44</v>
      </c>
      <c r="C45" t="s">
        <v>65</v>
      </c>
      <c r="D45" s="39">
        <v>452632.422</v>
      </c>
      <c r="E45" s="39">
        <v>3393483.1367</v>
      </c>
      <c r="F45">
        <v>40</v>
      </c>
      <c r="G45">
        <f t="shared" si="22"/>
        <v>32.388</v>
      </c>
      <c r="H45">
        <f t="shared" si="23"/>
        <v>11.6165320588305</v>
      </c>
      <c r="I45">
        <f t="shared" si="24"/>
        <v>22.6110895254369</v>
      </c>
      <c r="J45">
        <f t="shared" si="25"/>
        <v>55.5468213168465</v>
      </c>
      <c r="K45" s="40">
        <f t="shared" si="26"/>
        <v>17325.9247200711</v>
      </c>
      <c r="L45" s="40">
        <f t="shared" si="27"/>
        <v>17337.2302648338</v>
      </c>
      <c r="M45" s="40">
        <f t="shared" si="28"/>
        <v>17348.5358095965</v>
      </c>
      <c r="N45">
        <v>469.725</v>
      </c>
      <c r="O45">
        <v>465.804</v>
      </c>
      <c r="P45">
        <v>0.002</v>
      </c>
      <c r="Q45" s="39">
        <f t="shared" si="33"/>
        <v>452632.510754965</v>
      </c>
      <c r="R45" s="39">
        <f t="shared" si="34"/>
        <v>3393494.75289299</v>
      </c>
      <c r="S45" s="39">
        <f t="shared" si="29"/>
        <v>452634.012547137</v>
      </c>
      <c r="T45" s="39">
        <f t="shared" si="30"/>
        <v>3393483.58546331</v>
      </c>
      <c r="U45" s="39">
        <f t="shared" si="31"/>
        <v>452638.569216974</v>
      </c>
      <c r="V45" s="39">
        <f t="shared" si="32"/>
        <v>3393473.27994899</v>
      </c>
      <c r="AI45" t="str">
        <f t="array" ref="AI45">IFERROR(INDEX($L$2:$L$805,SMALL(IF(ISNUMBER(FIND($AH$2,$C$2:$C$805)),ROW($2:$805)-1,4^8),ROW(A44)))&amp;"","")</f>
        <v>37273.3500416384</v>
      </c>
      <c r="AJ45" t="str">
        <f t="array" ref="AJ45">IFERROR(INDEX($C$2:$C$805,SMALL(IF(ISNUMBER(FIND($AH$2,$C$2:$C$805)),ROW($2:$805)-1,4^8),ROW(B44)))&amp;"","")</f>
        <v>小沟渡槽出</v>
      </c>
      <c r="AS45" t="str">
        <f>"-text"&amp;" "&amp;D45&amp;","&amp;E45&amp;" "&amp;"10"&amp;" "&amp;"0"&amp;" "&amp;C45</f>
        <v>-text 452632.422,3393483.1367 10 0 IP18</v>
      </c>
      <c r="AT45" t="str">
        <f t="shared" si="7"/>
        <v>452632.422,3393483.1367</v>
      </c>
      <c r="AV45">
        <f t="shared" si="8"/>
        <v>471.004</v>
      </c>
      <c r="AX45" t="str">
        <f t="shared" si="9"/>
        <v>pl 8668.61513241689,279 8668.61513241689,400 </v>
      </c>
      <c r="AY45" t="str">
        <f t="shared" si="10"/>
        <v>8668.61513241689,465.804</v>
      </c>
      <c r="AZ45" t="str">
        <f t="shared" si="11"/>
        <v>8668.61513241689,469.725</v>
      </c>
      <c r="BA45" t="str">
        <f t="shared" si="12"/>
        <v>8668.61513241689,471.004</v>
      </c>
      <c r="BB45" t="str">
        <f t="shared" si="13"/>
        <v>-text 8667.61513241689,337 3.5 90 465.804 </v>
      </c>
      <c r="BC45" t="str">
        <f t="shared" si="14"/>
        <v>-text 8667.61513241689,320 3.5 90 471.004 </v>
      </c>
      <c r="BD45" t="str">
        <f t="shared" si="15"/>
        <v>-text 8667.61513241689,306 3.5 90 469.725 </v>
      </c>
      <c r="BE45" t="str">
        <f t="shared" si="16"/>
        <v>-text 8667.61513241689,352 3.5 90 ZG17+337.230 </v>
      </c>
      <c r="BF45" t="str">
        <f t="shared" si="17"/>
        <v>-text 8667.61513241689,280 3.5 90 IP18 </v>
      </c>
      <c r="BG45" t="str">
        <f t="shared" si="18"/>
        <v>-TEXT 8669.61513241689,300 3.5 0 R=40</v>
      </c>
      <c r="BH45" t="str">
        <f t="shared" si="19"/>
        <v>-TEXT 8669.61513241689,295 3.5 0 α=32.39° </v>
      </c>
      <c r="BI45" t="str">
        <f t="shared" si="20"/>
        <v>-TEXT 8669.61513241689,290 3.5 0 T=11.62 </v>
      </c>
      <c r="BJ45" t="str">
        <f t="shared" si="21"/>
        <v>-TEXT 8669.61513241689,285 3.5 0 S=22.61 </v>
      </c>
    </row>
    <row r="46" spans="1:62">
      <c r="A46">
        <v>1</v>
      </c>
      <c r="B46">
        <v>45</v>
      </c>
      <c r="C46" t="str">
        <f>Sheet1!C40</f>
        <v>鹞子林隧出</v>
      </c>
      <c r="D46" s="39">
        <v>452640.5047</v>
      </c>
      <c r="E46" s="39">
        <v>3393470.1765</v>
      </c>
      <c r="F46">
        <v>0</v>
      </c>
      <c r="G46">
        <f t="shared" si="22"/>
        <v>0</v>
      </c>
      <c r="H46">
        <f t="shared" si="23"/>
        <v>0</v>
      </c>
      <c r="I46">
        <f t="shared" si="24"/>
        <v>0</v>
      </c>
      <c r="J46">
        <f t="shared" si="25"/>
        <v>15.2740571994415</v>
      </c>
      <c r="K46" s="40">
        <f t="shared" si="26"/>
        <v>17352.1933347371</v>
      </c>
      <c r="L46" s="40">
        <f t="shared" si="27"/>
        <v>17352.1933347371</v>
      </c>
      <c r="M46" s="40">
        <f t="shared" si="28"/>
        <v>17352.1933347371</v>
      </c>
      <c r="N46">
        <v>469.718</v>
      </c>
      <c r="O46">
        <v>465.797</v>
      </c>
      <c r="P46">
        <v>0</v>
      </c>
      <c r="Q46" s="39">
        <f t="shared" si="33"/>
        <v>452640.5047</v>
      </c>
      <c r="R46" s="39">
        <f t="shared" si="34"/>
        <v>3393470.1765</v>
      </c>
      <c r="S46" s="39" t="str">
        <f t="shared" si="29"/>
        <v> </v>
      </c>
      <c r="T46" s="39" t="str">
        <f t="shared" si="30"/>
        <v> </v>
      </c>
      <c r="U46" s="39" t="str">
        <f t="shared" si="31"/>
        <v> </v>
      </c>
      <c r="V46" s="39" t="str">
        <f t="shared" si="32"/>
        <v> </v>
      </c>
      <c r="AI46" t="str">
        <f t="array" ref="AI46">IFERROR(INDEX($L$2:$L$805,SMALL(IF(ISNUMBER(FIND($AH$2,$C$2:$C$805)),ROW($2:$805)-1,4^8),ROW(A45)))&amp;"","")</f>
        <v>37569.0572718722</v>
      </c>
      <c r="AJ46" t="str">
        <f t="array" ref="AJ46">IFERROR(INDEX($C$2:$C$805,SMALL(IF(ISNUMBER(FIND($AH$2,$C$2:$C$805)),ROW($2:$805)-1,4^8),ROW(B45)))&amp;"","")</f>
        <v>大梁子隧出</v>
      </c>
      <c r="AT46" t="str">
        <f t="shared" si="7"/>
        <v>452640.5047,3393470.1765</v>
      </c>
      <c r="AV46">
        <f t="shared" si="8"/>
        <v>470.997</v>
      </c>
      <c r="AX46" t="str">
        <f t="shared" si="9"/>
        <v>pl 8676.09666736856,279 8676.09666736856,400 </v>
      </c>
      <c r="AY46" t="str">
        <f t="shared" si="10"/>
        <v>8676.09666736856,465.797</v>
      </c>
      <c r="AZ46" t="str">
        <f t="shared" si="11"/>
        <v>8676.09666736856,469.718</v>
      </c>
      <c r="BA46" t="str">
        <f t="shared" si="12"/>
        <v>8676.09666736856,470.997</v>
      </c>
      <c r="BB46" t="str">
        <f t="shared" si="13"/>
        <v>-text 8675.09666736856,337 3.5 90 465.797 </v>
      </c>
      <c r="BC46" t="str">
        <f t="shared" si="14"/>
        <v>-text 8675.09666736856,320 3.5 90 470.997 </v>
      </c>
      <c r="BD46" t="str">
        <f t="shared" si="15"/>
        <v>-text 8675.09666736856,306 3.5 90 469.718 </v>
      </c>
      <c r="BE46" t="str">
        <f t="shared" si="16"/>
        <v>-text 8675.09666736856,352 3.5 90 ZG17+352.193 </v>
      </c>
      <c r="BF46" t="str">
        <f t="shared" si="17"/>
        <v>-text 8675.09666736856,280 3.5 90 鹞子林隧出 </v>
      </c>
      <c r="BG46" t="str">
        <f t="shared" si="18"/>
        <v/>
      </c>
      <c r="BH46" t="str">
        <f t="shared" si="19"/>
        <v> </v>
      </c>
      <c r="BI46" t="str">
        <f t="shared" si="20"/>
        <v> </v>
      </c>
      <c r="BJ46" t="str">
        <f t="shared" si="21"/>
        <v> </v>
      </c>
    </row>
    <row r="47" spans="1:62">
      <c r="A47">
        <v>0</v>
      </c>
      <c r="B47">
        <v>46</v>
      </c>
      <c r="C47" t="s">
        <v>66</v>
      </c>
      <c r="D47" s="39">
        <v>452665.3101</v>
      </c>
      <c r="E47" s="39">
        <v>3393430.4022</v>
      </c>
      <c r="F47">
        <v>40</v>
      </c>
      <c r="G47">
        <f t="shared" si="22"/>
        <v>25.979</v>
      </c>
      <c r="H47">
        <f t="shared" si="23"/>
        <v>9.22700687843587</v>
      </c>
      <c r="I47">
        <f t="shared" si="24"/>
        <v>18.1367634550243</v>
      </c>
      <c r="J47">
        <f t="shared" si="25"/>
        <v>46.8753966347347</v>
      </c>
      <c r="K47" s="40">
        <f t="shared" si="26"/>
        <v>17389.8417244934</v>
      </c>
      <c r="L47" s="40">
        <f t="shared" si="27"/>
        <v>17398.9101062209</v>
      </c>
      <c r="M47" s="40">
        <f t="shared" si="28"/>
        <v>17407.9784879484</v>
      </c>
      <c r="N47">
        <v>469.761</v>
      </c>
      <c r="O47">
        <v>465.792</v>
      </c>
      <c r="P47">
        <v>0.001</v>
      </c>
      <c r="Q47" s="39">
        <f t="shared" si="33"/>
        <v>452660.427376592</v>
      </c>
      <c r="R47" s="39">
        <f t="shared" si="34"/>
        <v>3393438.23141887</v>
      </c>
      <c r="S47" s="39">
        <f t="shared" si="29"/>
        <v>452664.316655801</v>
      </c>
      <c r="T47" s="39">
        <f t="shared" si="30"/>
        <v>3393430.06089981</v>
      </c>
      <c r="U47" s="39">
        <f t="shared" si="31"/>
        <v>452666.269888556</v>
      </c>
      <c r="V47" s="39">
        <f t="shared" si="32"/>
        <v>3393421.22524725</v>
      </c>
      <c r="AI47" t="str">
        <f t="array" ref="AI47">IFERROR(INDEX($L$2:$L$805,SMALL(IF(ISNUMBER(FIND($AH$2,$C$2:$C$805)),ROW($2:$805)-1,4^8),ROW(A46)))&amp;"","")</f>
        <v>38230.9905745546</v>
      </c>
      <c r="AJ47" t="str">
        <f t="array" ref="AJ47">IFERROR(INDEX($C$2:$C$805,SMALL(IF(ISNUMBER(FIND($AH$2,$C$2:$C$805)),ROW($2:$805)-1,4^8),ROW(B46)))&amp;"","")</f>
        <v>长梁子隧出</v>
      </c>
      <c r="AS47" t="str">
        <f>"-text"&amp;" "&amp;D47&amp;","&amp;E47&amp;" "&amp;"10"&amp;" "&amp;"0"&amp;" "&amp;C47</f>
        <v>-text 452665.3101,3393430.4022 10 0 IP19</v>
      </c>
      <c r="AT47" t="str">
        <f t="shared" si="7"/>
        <v>452665.3101,3393430.4022</v>
      </c>
      <c r="AV47">
        <f t="shared" si="8"/>
        <v>471.292</v>
      </c>
      <c r="AX47" t="str">
        <f t="shared" si="9"/>
        <v>pl 8699.45505311047,279 8699.45505311047,400 </v>
      </c>
      <c r="AY47" t="str">
        <f t="shared" si="10"/>
        <v>8699.45505311047,465.792</v>
      </c>
      <c r="AZ47" t="str">
        <f t="shared" si="11"/>
        <v>8699.45505311047,469.761</v>
      </c>
      <c r="BA47" t="str">
        <f t="shared" si="12"/>
        <v>8699.45505311047,471.292</v>
      </c>
      <c r="BB47" t="str">
        <f t="shared" si="13"/>
        <v>-text 8698.45505311047,337 3.5 90 465.792 </v>
      </c>
      <c r="BC47" t="str">
        <f t="shared" si="14"/>
        <v>-text 8698.45505311047,320 3.5 90 471.292 </v>
      </c>
      <c r="BD47" t="str">
        <f t="shared" si="15"/>
        <v>-text 8698.45505311047,306 3.5 90 469.761 </v>
      </c>
      <c r="BE47" t="str">
        <f t="shared" si="16"/>
        <v>-text 8698.45505311047,352 3.5 90 ZG17+398.910 </v>
      </c>
      <c r="BF47" t="str">
        <f t="shared" si="17"/>
        <v>-text 8698.45505311047,280 3.5 90 IP19 </v>
      </c>
      <c r="BG47" t="str">
        <f t="shared" si="18"/>
        <v>-TEXT 8700.45505311047,300 3.5 0 R=40</v>
      </c>
      <c r="BH47" t="str">
        <f t="shared" si="19"/>
        <v>-TEXT 8700.45505311047,295 3.5 0 α=25.98° </v>
      </c>
      <c r="BI47" t="str">
        <f t="shared" si="20"/>
        <v>-TEXT 8700.45505311047,290 3.5 0 T=9.23 </v>
      </c>
      <c r="BJ47" t="str">
        <f t="shared" si="21"/>
        <v>-TEXT 8700.45505311047,285 3.5 0 S=18.14 </v>
      </c>
    </row>
    <row r="48" spans="1:62">
      <c r="A48">
        <v>0</v>
      </c>
      <c r="B48">
        <v>47</v>
      </c>
      <c r="C48" t="s">
        <v>68</v>
      </c>
      <c r="D48" s="39">
        <v>452672.0851</v>
      </c>
      <c r="E48" s="39">
        <v>3393365.6235</v>
      </c>
      <c r="F48">
        <v>40</v>
      </c>
      <c r="G48">
        <f t="shared" si="22"/>
        <v>24.099</v>
      </c>
      <c r="H48">
        <f t="shared" si="23"/>
        <v>8.53838794771038</v>
      </c>
      <c r="I48">
        <f t="shared" si="24"/>
        <v>16.8242758575245</v>
      </c>
      <c r="J48">
        <f t="shared" si="25"/>
        <v>65.1320243708748</v>
      </c>
      <c r="K48" s="40">
        <f t="shared" si="26"/>
        <v>17455.3451174932</v>
      </c>
      <c r="L48" s="40">
        <f t="shared" si="27"/>
        <v>17463.7572554219</v>
      </c>
      <c r="M48" s="40">
        <f t="shared" si="28"/>
        <v>17472.1693933507</v>
      </c>
      <c r="N48">
        <v>469.748</v>
      </c>
      <c r="O48">
        <v>465.779</v>
      </c>
      <c r="P48">
        <v>0.001</v>
      </c>
      <c r="Q48" s="39">
        <f t="shared" si="33"/>
        <v>452671.196941235</v>
      </c>
      <c r="R48" s="39">
        <f t="shared" si="34"/>
        <v>3393374.1155694</v>
      </c>
      <c r="S48" s="39">
        <f t="shared" si="29"/>
        <v>452672.942048382</v>
      </c>
      <c r="T48" s="39">
        <f t="shared" si="30"/>
        <v>3393365.9022736</v>
      </c>
      <c r="U48" s="39">
        <f t="shared" si="31"/>
        <v>452676.363291058</v>
      </c>
      <c r="V48" s="39">
        <f t="shared" si="32"/>
        <v>3393358.2342409</v>
      </c>
      <c r="AI48" t="str">
        <f t="array" ref="AI48">IFERROR(INDEX($L$2:$L$805,SMALL(IF(ISNUMBER(FIND($AH$2,$C$2:$C$805)),ROW($2:$805)-1,4^8),ROW(A47)))&amp;"","")</f>
        <v>38381.6245310216</v>
      </c>
      <c r="AJ48" t="str">
        <f t="array" ref="AJ48">IFERROR(INDEX($C$2:$C$805,SMALL(IF(ISNUMBER(FIND($AH$2,$C$2:$C$805)),ROW($2:$805)-1,4^8),ROW(B47)))&amp;"","")</f>
        <v>大井湾渡槽出</v>
      </c>
      <c r="AS48" t="str">
        <f>"-text"&amp;" "&amp;D48&amp;","&amp;E48&amp;" "&amp;"10"&amp;" "&amp;"0"&amp;" "&amp;C48</f>
        <v>-text 452672.0851,3393365.6235 10 0 IP20</v>
      </c>
      <c r="AT48" t="str">
        <f t="shared" si="7"/>
        <v>452672.0851,3393365.6235</v>
      </c>
      <c r="AV48">
        <f t="shared" si="8"/>
        <v>471.279</v>
      </c>
      <c r="AX48" t="str">
        <f t="shared" si="9"/>
        <v>pl 8731.87862771097,279 8731.87862771097,400 </v>
      </c>
      <c r="AY48" t="str">
        <f t="shared" si="10"/>
        <v>8731.87862771097,465.779</v>
      </c>
      <c r="AZ48" t="str">
        <f t="shared" si="11"/>
        <v>8731.87862771097,469.748</v>
      </c>
      <c r="BA48" t="str">
        <f t="shared" si="12"/>
        <v>8731.87862771097,471.279</v>
      </c>
      <c r="BB48" t="str">
        <f t="shared" si="13"/>
        <v>-text 8730.87862771097,337 3.5 90 465.779 </v>
      </c>
      <c r="BC48" t="str">
        <f t="shared" si="14"/>
        <v>-text 8730.87862771097,320 3.5 90 471.279 </v>
      </c>
      <c r="BD48" t="str">
        <f t="shared" si="15"/>
        <v>-text 8730.87862771097,306 3.5 90 469.748 </v>
      </c>
      <c r="BE48" t="str">
        <f t="shared" si="16"/>
        <v>-text 8730.87862771097,352 3.5 90 ZG17+463.757 </v>
      </c>
      <c r="BF48" t="str">
        <f t="shared" si="17"/>
        <v>-text 8730.87862771097,280 3.5 90 IP20 </v>
      </c>
      <c r="BG48" t="str">
        <f t="shared" si="18"/>
        <v>-TEXT 8732.87862771097,300 3.5 0 R=40</v>
      </c>
      <c r="BH48" t="str">
        <f t="shared" si="19"/>
        <v>-TEXT 8732.87862771097,295 3.5 0 α=24.10° </v>
      </c>
      <c r="BI48" t="str">
        <f t="shared" si="20"/>
        <v>-TEXT 8732.87862771097,290 3.5 0 T=8.54 </v>
      </c>
      <c r="BJ48" t="str">
        <f t="shared" si="21"/>
        <v>-TEXT 8732.87862771097,285 3.5 0 S=16.82 </v>
      </c>
    </row>
    <row r="49" spans="1:62">
      <c r="A49">
        <v>2</v>
      </c>
      <c r="B49">
        <v>48</v>
      </c>
      <c r="C49" t="str">
        <f>Sheet1!C43</f>
        <v>鱼尾湾渡槽进</v>
      </c>
      <c r="D49" s="39">
        <v>452679.6681</v>
      </c>
      <c r="E49" s="39">
        <v>3393352.5262</v>
      </c>
      <c r="F49">
        <v>0</v>
      </c>
      <c r="G49">
        <f t="shared" si="22"/>
        <v>0</v>
      </c>
      <c r="H49">
        <f t="shared" si="23"/>
        <v>0</v>
      </c>
      <c r="I49">
        <f t="shared" si="24"/>
        <v>0</v>
      </c>
      <c r="J49">
        <f t="shared" si="25"/>
        <v>15.1341057314387</v>
      </c>
      <c r="K49" s="40">
        <f t="shared" si="26"/>
        <v>17478.7651111344</v>
      </c>
      <c r="L49" s="40">
        <f t="shared" si="27"/>
        <v>17478.7651111344</v>
      </c>
      <c r="M49" s="40">
        <f t="shared" si="28"/>
        <v>17478.7651111344</v>
      </c>
      <c r="N49">
        <v>469.624</v>
      </c>
      <c r="O49">
        <v>465.741</v>
      </c>
      <c r="P49">
        <v>0</v>
      </c>
      <c r="Q49" s="39">
        <f t="shared" si="33"/>
        <v>452679.6681</v>
      </c>
      <c r="R49" s="39">
        <f t="shared" si="34"/>
        <v>3393352.5262</v>
      </c>
      <c r="S49" s="39" t="str">
        <f t="shared" si="29"/>
        <v> </v>
      </c>
      <c r="T49" s="39" t="str">
        <f t="shared" si="30"/>
        <v> </v>
      </c>
      <c r="U49" s="39" t="str">
        <f t="shared" si="31"/>
        <v> </v>
      </c>
      <c r="V49" s="39" t="str">
        <f t="shared" si="32"/>
        <v> </v>
      </c>
      <c r="AI49" t="str">
        <f t="array" ref="AI49">IFERROR(INDEX($L$2:$L$805,SMALL(IF(ISNUMBER(FIND($AH$2,$C$2:$C$805)),ROW($2:$805)-1,4^8),ROW(A48)))&amp;"","")</f>
        <v>38792.4400104916</v>
      </c>
      <c r="AJ49" t="str">
        <f t="array" ref="AJ49">IFERROR(INDEX($C$2:$C$805,SMALL(IF(ISNUMBER(FIND($AH$2,$C$2:$C$805)),ROW($2:$805)-1,4^8),ROW(B48)))&amp;"","")</f>
        <v>高垭口隧出</v>
      </c>
      <c r="AT49" t="str">
        <f t="shared" si="7"/>
        <v>452679.6681,3393352.5262</v>
      </c>
      <c r="AV49">
        <f t="shared" si="8"/>
        <v>470.341</v>
      </c>
      <c r="AX49" t="str">
        <f t="shared" si="9"/>
        <v>pl 8739.38255556721,279 8739.38255556721,400 </v>
      </c>
      <c r="AY49" t="str">
        <f t="shared" si="10"/>
        <v>8739.38255556721,465.741</v>
      </c>
      <c r="AZ49" t="str">
        <f t="shared" si="11"/>
        <v>8739.38255556721,469.624</v>
      </c>
      <c r="BA49" t="str">
        <f t="shared" si="12"/>
        <v>8739.38255556721,470.341</v>
      </c>
      <c r="BB49" t="str">
        <f t="shared" si="13"/>
        <v>-text 8738.38255556721,337 3.5 90 465.741 </v>
      </c>
      <c r="BC49" t="str">
        <f t="shared" si="14"/>
        <v>-text 8738.38255556721,320 3.5 90 470.341 </v>
      </c>
      <c r="BD49" t="str">
        <f t="shared" si="15"/>
        <v>-text 8738.38255556721,306 3.5 90 469.624 </v>
      </c>
      <c r="BE49" t="str">
        <f t="shared" si="16"/>
        <v>-text 8738.38255556721,352 3.5 90 ZG17+478.765 </v>
      </c>
      <c r="BF49" t="str">
        <f t="shared" si="17"/>
        <v>-text 8738.38255556721,280 3.5 90 鱼尾湾渡槽进 </v>
      </c>
      <c r="BG49" t="str">
        <f t="shared" si="18"/>
        <v/>
      </c>
      <c r="BH49" t="str">
        <f t="shared" si="19"/>
        <v> </v>
      </c>
      <c r="BI49" t="str">
        <f t="shared" si="20"/>
        <v> </v>
      </c>
      <c r="BJ49" t="str">
        <f t="shared" si="21"/>
        <v> </v>
      </c>
    </row>
    <row r="50" spans="1:62">
      <c r="A50">
        <v>2</v>
      </c>
      <c r="B50">
        <v>49</v>
      </c>
      <c r="C50" t="str">
        <f>Sheet1!C44</f>
        <v>鱼尾湾渡槽出</v>
      </c>
      <c r="D50" s="39">
        <v>452740.0001</v>
      </c>
      <c r="E50" s="39">
        <v>3393248.3212</v>
      </c>
      <c r="F50">
        <v>0</v>
      </c>
      <c r="G50">
        <f t="shared" si="22"/>
        <v>0</v>
      </c>
      <c r="H50">
        <f t="shared" si="23"/>
        <v>0</v>
      </c>
      <c r="I50">
        <f t="shared" si="24"/>
        <v>0</v>
      </c>
      <c r="J50">
        <f t="shared" si="25"/>
        <v>120.410266377145</v>
      </c>
      <c r="K50" s="40">
        <f t="shared" si="26"/>
        <v>17599.1753775116</v>
      </c>
      <c r="L50" s="40">
        <f t="shared" si="27"/>
        <v>17599.1753775116</v>
      </c>
      <c r="M50" s="40">
        <f t="shared" si="28"/>
        <v>17599.1753775116</v>
      </c>
      <c r="N50">
        <v>469.57</v>
      </c>
      <c r="O50">
        <v>465.687</v>
      </c>
      <c r="P50">
        <v>0</v>
      </c>
      <c r="Q50" s="39">
        <f t="shared" si="33"/>
        <v>452740.0001</v>
      </c>
      <c r="R50" s="39">
        <f t="shared" si="34"/>
        <v>3393248.3212</v>
      </c>
      <c r="S50" s="39" t="str">
        <f t="shared" si="29"/>
        <v> </v>
      </c>
      <c r="T50" s="39" t="str">
        <f t="shared" si="30"/>
        <v> </v>
      </c>
      <c r="U50" s="39" t="str">
        <f t="shared" si="31"/>
        <v> </v>
      </c>
      <c r="V50" s="39" t="str">
        <f t="shared" si="32"/>
        <v> </v>
      </c>
      <c r="AI50" t="str">
        <f t="array" ref="AI50">IFERROR(INDEX($L$2:$L$805,SMALL(IF(ISNUMBER(FIND($AH$2,$C$2:$C$805)),ROW($2:$805)-1,4^8),ROW(A49)))&amp;"","")</f>
        <v>38810.2818606998</v>
      </c>
      <c r="AJ50" t="str">
        <f t="array" ref="AJ50">IFERROR(INDEX($C$2:$C$805,SMALL(IF(ISNUMBER(FIND($AH$2,$C$2:$C$805)),ROW($2:$805)-1,4^8),ROW(B49)))&amp;"","")</f>
        <v>踏水水库分水闸出</v>
      </c>
      <c r="AT50" t="str">
        <f t="shared" si="7"/>
        <v>452740.0001,3393248.3212</v>
      </c>
      <c r="AV50">
        <f t="shared" si="8"/>
        <v>470.287</v>
      </c>
      <c r="AX50" t="str">
        <f t="shared" si="9"/>
        <v>pl 8799.58768875578,279 8799.58768875578,400 </v>
      </c>
      <c r="AY50" t="str">
        <f t="shared" si="10"/>
        <v>8799.58768875578,465.687</v>
      </c>
      <c r="AZ50" t="str">
        <f t="shared" si="11"/>
        <v>8799.58768875578,469.57</v>
      </c>
      <c r="BA50" t="str">
        <f t="shared" si="12"/>
        <v>8799.58768875578,470.287</v>
      </c>
      <c r="BB50" t="str">
        <f t="shared" si="13"/>
        <v>-text 8798.58768875578,337 3.5 90 465.687 </v>
      </c>
      <c r="BC50" t="str">
        <f t="shared" si="14"/>
        <v>-text 8798.58768875578,320 3.5 90 470.287 </v>
      </c>
      <c r="BD50" t="str">
        <f t="shared" si="15"/>
        <v>-text 8798.58768875578,306 3.5 90 469.570 </v>
      </c>
      <c r="BE50" t="str">
        <f t="shared" si="16"/>
        <v>-text 8798.58768875578,352 3.5 90 ZG17+599.175 </v>
      </c>
      <c r="BF50" t="str">
        <f t="shared" si="17"/>
        <v>-text 8798.58768875578,280 3.5 90 鱼尾湾渡槽出 </v>
      </c>
      <c r="BG50" t="str">
        <f t="shared" si="18"/>
        <v/>
      </c>
      <c r="BH50" t="str">
        <f t="shared" si="19"/>
        <v> </v>
      </c>
      <c r="BI50" t="str">
        <f t="shared" si="20"/>
        <v> </v>
      </c>
      <c r="BJ50" t="str">
        <f t="shared" si="21"/>
        <v> </v>
      </c>
    </row>
    <row r="51" spans="1:62">
      <c r="A51">
        <v>0</v>
      </c>
      <c r="B51">
        <v>50</v>
      </c>
      <c r="C51" t="s">
        <v>70</v>
      </c>
      <c r="D51" s="39">
        <v>452750.4215</v>
      </c>
      <c r="E51" s="39">
        <v>3393230.3213</v>
      </c>
      <c r="F51">
        <v>40</v>
      </c>
      <c r="G51">
        <f t="shared" si="22"/>
        <v>48.131</v>
      </c>
      <c r="H51">
        <f t="shared" si="23"/>
        <v>17.8639674875667</v>
      </c>
      <c r="I51">
        <f t="shared" si="24"/>
        <v>33.6017768910956</v>
      </c>
      <c r="J51">
        <f t="shared" si="25"/>
        <v>20.7990859889551</v>
      </c>
      <c r="K51" s="40">
        <f t="shared" si="26"/>
        <v>17602.110496013</v>
      </c>
      <c r="L51" s="40">
        <f t="shared" si="27"/>
        <v>17618.9113844585</v>
      </c>
      <c r="M51" s="40">
        <f t="shared" si="28"/>
        <v>17635.712272904</v>
      </c>
      <c r="N51">
        <v>469.629</v>
      </c>
      <c r="O51">
        <v>465.66</v>
      </c>
      <c r="P51">
        <v>0.002</v>
      </c>
      <c r="Q51" s="39">
        <f t="shared" si="33"/>
        <v>452741.47074366</v>
      </c>
      <c r="R51" s="39">
        <f t="shared" si="34"/>
        <v>3393245.7810961</v>
      </c>
      <c r="S51" s="39">
        <f t="shared" si="29"/>
        <v>452752.652389902</v>
      </c>
      <c r="T51" s="39">
        <f t="shared" si="30"/>
        <v>3393233.40713242</v>
      </c>
      <c r="U51" s="39">
        <f t="shared" si="31"/>
        <v>452767.907997528</v>
      </c>
      <c r="V51" s="39">
        <f t="shared" si="32"/>
        <v>3393226.66839176</v>
      </c>
      <c r="AI51" t="str">
        <f t="array" ref="AI51">IFERROR(INDEX($L$2:$L$805,SMALL(IF(ISNUMBER(FIND($AH$2,$C$2:$C$805)),ROW($2:$805)-1,4^8),ROW(A50)))&amp;"","")</f>
        <v>39133.1614524898</v>
      </c>
      <c r="AJ51" t="str">
        <f t="array" ref="AJ51">IFERROR(INDEX($C$2:$C$805,SMALL(IF(ISNUMBER(FIND($AH$2,$C$2:$C$805)),ROW($2:$805)-1,4^8),ROW(B50)))&amp;"","")</f>
        <v>马桑梁子隧出</v>
      </c>
      <c r="AS51" t="str">
        <f>"-text"&amp;" "&amp;D51&amp;","&amp;E51&amp;" "&amp;"10"&amp;" "&amp;"0"&amp;" "&amp;C51</f>
        <v>-text 452750.4215,3393230.3213 10 0 IP21</v>
      </c>
      <c r="AT51" t="str">
        <f t="shared" si="7"/>
        <v>452750.4215,3393230.3213</v>
      </c>
      <c r="AV51">
        <f t="shared" si="8"/>
        <v>471.16</v>
      </c>
      <c r="AX51" t="str">
        <f t="shared" si="9"/>
        <v>pl 8809.45569222925,279 8809.45569222925,400 </v>
      </c>
      <c r="AY51" t="str">
        <f t="shared" si="10"/>
        <v>8809.45569222925,465.66</v>
      </c>
      <c r="AZ51" t="str">
        <f t="shared" si="11"/>
        <v>8809.45569222925,469.629</v>
      </c>
      <c r="BA51" t="str">
        <f t="shared" si="12"/>
        <v>8809.45569222925,471.16</v>
      </c>
      <c r="BB51" t="str">
        <f t="shared" si="13"/>
        <v>-text 8808.45569222925,337 3.5 90 465.660 </v>
      </c>
      <c r="BC51" t="str">
        <f t="shared" si="14"/>
        <v>-text 8808.45569222925,320 3.5 90 471.160 </v>
      </c>
      <c r="BD51" t="str">
        <f t="shared" si="15"/>
        <v>-text 8808.45569222925,306 3.5 90 469.629 </v>
      </c>
      <c r="BE51" t="str">
        <f t="shared" si="16"/>
        <v>-text 8808.45569222925,352 3.5 90 ZG17+618.911 </v>
      </c>
      <c r="BF51" t="str">
        <f t="shared" si="17"/>
        <v>-text 8808.45569222925,280 3.5 90 IP21 </v>
      </c>
      <c r="BG51" t="str">
        <f t="shared" si="18"/>
        <v>-TEXT 8810.45569222925,300 3.5 0 R=40</v>
      </c>
      <c r="BH51" t="str">
        <f t="shared" si="19"/>
        <v>-TEXT 8810.45569222925,295 3.5 0 α=48.13° </v>
      </c>
      <c r="BI51" t="str">
        <f t="shared" si="20"/>
        <v>-TEXT 8810.45569222925,290 3.5 0 T=17.86 </v>
      </c>
      <c r="BJ51" t="str">
        <f t="shared" si="21"/>
        <v>-TEXT 8810.45569222925,285 3.5 0 S=33.60 </v>
      </c>
    </row>
    <row r="52" spans="1:62">
      <c r="A52">
        <v>0</v>
      </c>
      <c r="B52">
        <v>51</v>
      </c>
      <c r="C52" t="s">
        <v>71</v>
      </c>
      <c r="D52" s="39">
        <v>452865.7405</v>
      </c>
      <c r="E52" s="39">
        <v>3393206.2313</v>
      </c>
      <c r="F52">
        <v>40</v>
      </c>
      <c r="G52">
        <f t="shared" si="22"/>
        <v>48.338</v>
      </c>
      <c r="H52">
        <f t="shared" si="23"/>
        <v>17.9507058338916</v>
      </c>
      <c r="I52">
        <f t="shared" si="24"/>
        <v>33.7462901531608</v>
      </c>
      <c r="J52">
        <f t="shared" si="25"/>
        <v>117.80831830137</v>
      </c>
      <c r="K52" s="40">
        <f t="shared" si="26"/>
        <v>17717.705917884</v>
      </c>
      <c r="L52" s="40">
        <f t="shared" si="27"/>
        <v>17734.5790629605</v>
      </c>
      <c r="M52" s="40">
        <f t="shared" si="28"/>
        <v>17751.4522080371</v>
      </c>
      <c r="N52">
        <v>469.606</v>
      </c>
      <c r="O52">
        <v>465.637</v>
      </c>
      <c r="P52">
        <v>0.002</v>
      </c>
      <c r="Q52" s="39">
        <f t="shared" si="33"/>
        <v>452848.169096928</v>
      </c>
      <c r="R52" s="39">
        <f t="shared" si="34"/>
        <v>3393209.90194491</v>
      </c>
      <c r="S52" s="39">
        <f t="shared" si="29"/>
        <v>452863.483220207</v>
      </c>
      <c r="T52" s="39">
        <f t="shared" si="30"/>
        <v>3393203.12081636</v>
      </c>
      <c r="U52" s="39">
        <f t="shared" si="31"/>
        <v>452874.678522191</v>
      </c>
      <c r="V52" s="39">
        <f t="shared" si="32"/>
        <v>3393190.66403951</v>
      </c>
      <c r="AI52" t="str">
        <f t="array" ref="AI52">IFERROR(INDEX($L$2:$L$805,SMALL(IF(ISNUMBER(FIND($AH$2,$C$2:$C$805)),ROW($2:$805)-1,4^8),ROW(A51)))&amp;"","")</f>
        <v>39286.1998336</v>
      </c>
      <c r="AJ52" t="str">
        <f t="array" ref="AJ52">IFERROR(INDEX($C$2:$C$805,SMALL(IF(ISNUMBER(FIND($AH$2,$C$2:$C$805)),ROW($2:$805)-1,4^8),ROW(B51)))&amp;"","")</f>
        <v>双岔沟渡槽出</v>
      </c>
      <c r="AS52" t="str">
        <f>"-text"&amp;" "&amp;D52&amp;","&amp;E52&amp;" "&amp;"10"&amp;" "&amp;"0"&amp;" "&amp;C52</f>
        <v>-text 452865.7405,3393206.2313 10 0 IP22</v>
      </c>
      <c r="AT52" t="str">
        <f t="shared" si="7"/>
        <v>452865.7405,3393206.2313</v>
      </c>
      <c r="AV52">
        <f t="shared" si="8"/>
        <v>471.137</v>
      </c>
      <c r="AX52" t="str">
        <f t="shared" si="9"/>
        <v>pl 8867.28953148027,279 8867.28953148027,400 </v>
      </c>
      <c r="AY52" t="str">
        <f t="shared" si="10"/>
        <v>8867.28953148027,465.637</v>
      </c>
      <c r="AZ52" t="str">
        <f t="shared" si="11"/>
        <v>8867.28953148027,469.606</v>
      </c>
      <c r="BA52" t="str">
        <f t="shared" si="12"/>
        <v>8867.28953148027,471.137</v>
      </c>
      <c r="BB52" t="str">
        <f t="shared" si="13"/>
        <v>-text 8866.28953148027,337 3.5 90 465.637 </v>
      </c>
      <c r="BC52" t="str">
        <f t="shared" si="14"/>
        <v>-text 8866.28953148027,320 3.5 90 471.137 </v>
      </c>
      <c r="BD52" t="str">
        <f t="shared" si="15"/>
        <v>-text 8866.28953148027,306 3.5 90 469.606 </v>
      </c>
      <c r="BE52" t="str">
        <f t="shared" si="16"/>
        <v>-text 8866.28953148027,352 3.5 90 ZG17+734.579 </v>
      </c>
      <c r="BF52" t="str">
        <f t="shared" si="17"/>
        <v>-text 8866.28953148027,280 3.5 90 IP22 </v>
      </c>
      <c r="BG52" t="str">
        <f t="shared" si="18"/>
        <v>-TEXT 8868.28953148027,300 3.5 0 R=40</v>
      </c>
      <c r="BH52" t="str">
        <f t="shared" si="19"/>
        <v>-TEXT 8868.28953148027,295 3.5 0 α=48.34° </v>
      </c>
      <c r="BI52" t="str">
        <f t="shared" si="20"/>
        <v>-TEXT 8868.28953148027,290 3.5 0 T=17.95 </v>
      </c>
      <c r="BJ52" t="str">
        <f t="shared" si="21"/>
        <v>-TEXT 8868.28953148027,285 3.5 0 S=33.75 </v>
      </c>
    </row>
    <row r="53" spans="1:62">
      <c r="A53">
        <v>1</v>
      </c>
      <c r="B53">
        <v>52</v>
      </c>
      <c r="C53" t="str">
        <f>Sheet1!C47</f>
        <v>鱼尾湾隧进</v>
      </c>
      <c r="D53" s="39">
        <v>452904.5113</v>
      </c>
      <c r="E53" s="39">
        <v>3393138.7046</v>
      </c>
      <c r="F53">
        <v>0</v>
      </c>
      <c r="G53">
        <f t="shared" si="22"/>
        <v>0</v>
      </c>
      <c r="H53">
        <f t="shared" si="23"/>
        <v>0</v>
      </c>
      <c r="I53">
        <f t="shared" si="24"/>
        <v>0</v>
      </c>
      <c r="J53">
        <f t="shared" si="25"/>
        <v>77.8654618272281</v>
      </c>
      <c r="K53" s="40">
        <f t="shared" si="26"/>
        <v>17811.3669640305</v>
      </c>
      <c r="L53" s="40">
        <f t="shared" si="27"/>
        <v>17811.3669640305</v>
      </c>
      <c r="M53" s="40">
        <f t="shared" si="28"/>
        <v>17811.3669640305</v>
      </c>
      <c r="N53">
        <v>469.495</v>
      </c>
      <c r="O53">
        <v>465.574</v>
      </c>
      <c r="P53">
        <v>0</v>
      </c>
      <c r="Q53" s="39">
        <f t="shared" si="33"/>
        <v>452904.5113</v>
      </c>
      <c r="R53" s="39">
        <f t="shared" si="34"/>
        <v>3393138.7046</v>
      </c>
      <c r="S53" s="39" t="str">
        <f t="shared" si="29"/>
        <v> </v>
      </c>
      <c r="T53" s="39" t="str">
        <f t="shared" si="30"/>
        <v> </v>
      </c>
      <c r="U53" s="39" t="str">
        <f t="shared" si="31"/>
        <v> </v>
      </c>
      <c r="V53" s="39" t="str">
        <f t="shared" si="32"/>
        <v> </v>
      </c>
      <c r="AI53" t="str">
        <f t="array" ref="AI53">IFERROR(INDEX($L$2:$L$805,SMALL(IF(ISNUMBER(FIND($AH$2,$C$2:$C$805)),ROW($2:$805)-1,4^8),ROW(A52)))&amp;"","")</f>
        <v>40173.947895803</v>
      </c>
      <c r="AJ53" t="str">
        <f t="array" ref="AJ53">IFERROR(INDEX($C$2:$C$805,SMALL(IF(ISNUMBER(FIND($AH$2,$C$2:$C$805)),ROW($2:$805)-1,4^8),ROW(B52)))&amp;"","")</f>
        <v>高梁子隧出</v>
      </c>
      <c r="AT53" t="str">
        <f t="shared" si="7"/>
        <v>452904.5113,3393138.7046</v>
      </c>
      <c r="AV53">
        <f t="shared" si="8"/>
        <v>470.774</v>
      </c>
      <c r="AX53" t="str">
        <f t="shared" si="9"/>
        <v>pl 8905.68348201523,279 8905.68348201523,400 </v>
      </c>
      <c r="AY53" t="str">
        <f t="shared" si="10"/>
        <v>8905.68348201523,465.574</v>
      </c>
      <c r="AZ53" t="str">
        <f t="shared" si="11"/>
        <v>8905.68348201523,469.495</v>
      </c>
      <c r="BA53" t="str">
        <f t="shared" si="12"/>
        <v>8905.68348201523,470.774</v>
      </c>
      <c r="BB53" t="str">
        <f t="shared" si="13"/>
        <v>-text 8904.68348201523,337 3.5 90 465.574 </v>
      </c>
      <c r="BC53" t="str">
        <f t="shared" si="14"/>
        <v>-text 8904.68348201523,320 3.5 90 470.774 </v>
      </c>
      <c r="BD53" t="str">
        <f t="shared" si="15"/>
        <v>-text 8904.68348201523,306 3.5 90 469.495 </v>
      </c>
      <c r="BE53" t="str">
        <f t="shared" si="16"/>
        <v>-text 8904.68348201523,352 3.5 90 ZG17+811.367 </v>
      </c>
      <c r="BF53" t="str">
        <f t="shared" si="17"/>
        <v>-text 8904.68348201523,280 3.5 90 鱼尾湾隧进 </v>
      </c>
      <c r="BG53" t="str">
        <f t="shared" si="18"/>
        <v/>
      </c>
      <c r="BH53" t="str">
        <f t="shared" si="19"/>
        <v> </v>
      </c>
      <c r="BI53" t="str">
        <f t="shared" si="20"/>
        <v> </v>
      </c>
      <c r="BJ53" t="str">
        <f t="shared" si="21"/>
        <v> </v>
      </c>
    </row>
    <row r="54" spans="1:62">
      <c r="A54">
        <v>1</v>
      </c>
      <c r="B54">
        <v>53</v>
      </c>
      <c r="C54" t="s">
        <v>72</v>
      </c>
      <c r="D54" s="39">
        <v>452922.8022</v>
      </c>
      <c r="E54" s="39">
        <v>3393106.8476</v>
      </c>
      <c r="F54">
        <v>40</v>
      </c>
      <c r="G54">
        <f t="shared" si="22"/>
        <v>51.559</v>
      </c>
      <c r="H54">
        <f t="shared" si="23"/>
        <v>19.3191023193794</v>
      </c>
      <c r="I54">
        <f t="shared" si="24"/>
        <v>35.9949723614302</v>
      </c>
      <c r="J54">
        <f t="shared" si="25"/>
        <v>36.734526971212</v>
      </c>
      <c r="K54" s="40">
        <f t="shared" si="26"/>
        <v>17828.7823886823</v>
      </c>
      <c r="L54" s="40">
        <f t="shared" si="27"/>
        <v>17846.779874863</v>
      </c>
      <c r="M54" s="40">
        <f t="shared" si="28"/>
        <v>17864.7773610437</v>
      </c>
      <c r="N54">
        <v>469.479</v>
      </c>
      <c r="O54">
        <v>465.558</v>
      </c>
      <c r="P54">
        <v>0.004</v>
      </c>
      <c r="Q54" s="39">
        <f t="shared" si="33"/>
        <v>452913.182809259</v>
      </c>
      <c r="R54" s="39">
        <f t="shared" si="34"/>
        <v>3393123.60155584</v>
      </c>
      <c r="S54" s="39">
        <f t="shared" si="29"/>
        <v>452918.392421355</v>
      </c>
      <c r="T54" s="39">
        <f t="shared" si="30"/>
        <v>3393106.53280018</v>
      </c>
      <c r="U54" s="39">
        <f t="shared" si="31"/>
        <v>452915.660247571</v>
      </c>
      <c r="V54" s="39">
        <f t="shared" si="32"/>
        <v>3393088.89710614</v>
      </c>
      <c r="AI54" t="str">
        <f t="array" ref="AI54">IFERROR(INDEX($L$2:$L$805,SMALL(IF(ISNUMBER(FIND($AH$2,$C$2:$C$805)),ROW($2:$805)-1,4^8),ROW(A53)))&amp;"","")</f>
        <v>40358.4791779068</v>
      </c>
      <c r="AJ54" t="str">
        <f t="array" ref="AJ54">IFERROR(INDEX($C$2:$C$805,SMALL(IF(ISNUMBER(FIND($AH$2,$C$2:$C$805)),ROW($2:$805)-1,4^8),ROW(B53)))&amp;"","")</f>
        <v>大湾渡槽出</v>
      </c>
      <c r="AS54" t="str">
        <f>"-text"&amp;" "&amp;D54&amp;","&amp;E54&amp;" "&amp;"10"&amp;" "&amp;"0"&amp;" "&amp;C54</f>
        <v>-text 452922.8022,3393106.8476 10 0 IP23</v>
      </c>
      <c r="AT54" t="str">
        <f t="shared" si="7"/>
        <v>452922.8022,3393106.8476</v>
      </c>
      <c r="AV54">
        <f t="shared" si="8"/>
        <v>470.758</v>
      </c>
      <c r="AX54" t="str">
        <f t="shared" si="9"/>
        <v>pl 8923.3899374315,279 8923.3899374315,400 </v>
      </c>
      <c r="AY54" t="str">
        <f t="shared" si="10"/>
        <v>8923.3899374315,465.558</v>
      </c>
      <c r="AZ54" t="str">
        <f t="shared" si="11"/>
        <v>8923.3899374315,469.479</v>
      </c>
      <c r="BA54" t="str">
        <f t="shared" si="12"/>
        <v>8923.3899374315,470.758</v>
      </c>
      <c r="BB54" t="str">
        <f t="shared" si="13"/>
        <v>-text 8922.3899374315,337 3.5 90 465.558 </v>
      </c>
      <c r="BC54" t="str">
        <f t="shared" si="14"/>
        <v>-text 8922.3899374315,320 3.5 90 470.758 </v>
      </c>
      <c r="BD54" t="str">
        <f t="shared" si="15"/>
        <v>-text 8922.3899374315,306 3.5 90 469.479 </v>
      </c>
      <c r="BE54" t="str">
        <f t="shared" si="16"/>
        <v>-text 8922.3899374315,352 3.5 90 ZG17+846.780 </v>
      </c>
      <c r="BF54" t="str">
        <f t="shared" si="17"/>
        <v>-text 8922.3899374315,280 3.5 90 IP23 </v>
      </c>
      <c r="BG54" t="str">
        <f t="shared" si="18"/>
        <v>-TEXT 8924.3899374315,300 3.5 0 R=40</v>
      </c>
      <c r="BH54" t="str">
        <f t="shared" si="19"/>
        <v>-TEXT 8924.3899374315,295 3.5 0 α=51.56° </v>
      </c>
      <c r="BI54" t="str">
        <f t="shared" si="20"/>
        <v>-TEXT 8924.3899374315,290 3.5 0 T=19.32 </v>
      </c>
      <c r="BJ54" t="str">
        <f t="shared" si="21"/>
        <v>-TEXT 8924.3899374315,285 3.5 0 S=35.99 </v>
      </c>
    </row>
    <row r="55" spans="1:62">
      <c r="A55">
        <v>1</v>
      </c>
      <c r="B55">
        <v>54</v>
      </c>
      <c r="C55" t="str">
        <f>Sheet1!C49</f>
        <v>鱼尾湾隧出</v>
      </c>
      <c r="D55" s="39">
        <v>452891.9637</v>
      </c>
      <c r="E55" s="39">
        <v>3393029.3385</v>
      </c>
      <c r="F55">
        <v>0</v>
      </c>
      <c r="G55">
        <f t="shared" si="22"/>
        <v>0</v>
      </c>
      <c r="H55">
        <f t="shared" si="23"/>
        <v>0</v>
      </c>
      <c r="I55">
        <f t="shared" si="24"/>
        <v>0</v>
      </c>
      <c r="J55">
        <f t="shared" si="25"/>
        <v>83.4186649679973</v>
      </c>
      <c r="K55" s="40">
        <f t="shared" si="26"/>
        <v>17928.8769236923</v>
      </c>
      <c r="L55" s="40">
        <f t="shared" si="27"/>
        <v>17928.8769236923</v>
      </c>
      <c r="M55" s="40">
        <f t="shared" si="28"/>
        <v>17928.8769236923</v>
      </c>
      <c r="N55">
        <v>469.444</v>
      </c>
      <c r="O55">
        <v>465.523</v>
      </c>
      <c r="P55">
        <v>0</v>
      </c>
      <c r="Q55" s="39">
        <f t="shared" si="33"/>
        <v>452891.9637</v>
      </c>
      <c r="R55" s="39">
        <f t="shared" si="34"/>
        <v>3393029.3385</v>
      </c>
      <c r="S55" s="39" t="str">
        <f t="shared" si="29"/>
        <v> </v>
      </c>
      <c r="T55" s="39" t="str">
        <f t="shared" si="30"/>
        <v> </v>
      </c>
      <c r="U55" s="39" t="str">
        <f t="shared" si="31"/>
        <v> </v>
      </c>
      <c r="V55" s="39" t="str">
        <f t="shared" si="32"/>
        <v> </v>
      </c>
      <c r="AI55" t="str">
        <f t="array" ref="AI55">IFERROR(INDEX($L$2:$L$805,SMALL(IF(ISNUMBER(FIND($AH$2,$C$2:$C$805)),ROW($2:$805)-1,4^8),ROW(A54)))&amp;"","")</f>
        <v>41827.6447084337</v>
      </c>
      <c r="AJ55" t="str">
        <f t="array" ref="AJ55">IFERROR(INDEX($C$2:$C$805,SMALL(IF(ISNUMBER(FIND($AH$2,$C$2:$C$805)),ROW($2:$805)-1,4^8),ROW(B54)))&amp;"","")</f>
        <v>庙梁子隧出</v>
      </c>
      <c r="AT55" t="str">
        <f t="shared" si="7"/>
        <v>452891.9637,3393029.3385</v>
      </c>
      <c r="AV55">
        <f t="shared" si="8"/>
        <v>470.723</v>
      </c>
      <c r="AX55" t="str">
        <f t="shared" si="9"/>
        <v>pl 8964.43846184617,279 8964.43846184617,400 </v>
      </c>
      <c r="AY55" t="str">
        <f t="shared" si="10"/>
        <v>8964.43846184617,465.523</v>
      </c>
      <c r="AZ55" t="str">
        <f t="shared" si="11"/>
        <v>8964.43846184617,469.444</v>
      </c>
      <c r="BA55" t="str">
        <f t="shared" si="12"/>
        <v>8964.43846184617,470.723</v>
      </c>
      <c r="BB55" t="str">
        <f t="shared" si="13"/>
        <v>-text 8963.43846184617,337 3.5 90 465.523 </v>
      </c>
      <c r="BC55" t="str">
        <f t="shared" si="14"/>
        <v>-text 8963.43846184617,320 3.5 90 470.723 </v>
      </c>
      <c r="BD55" t="str">
        <f t="shared" si="15"/>
        <v>-text 8963.43846184617,306 3.5 90 469.444 </v>
      </c>
      <c r="BE55" t="str">
        <f t="shared" si="16"/>
        <v>-text 8963.43846184617,352 3.5 90 ZG17+928.877 </v>
      </c>
      <c r="BF55" t="str">
        <f t="shared" si="17"/>
        <v>-text 8963.43846184617,280 3.5 90 鱼尾湾隧出 </v>
      </c>
      <c r="BG55" t="str">
        <f t="shared" si="18"/>
        <v/>
      </c>
      <c r="BH55" t="str">
        <f t="shared" si="19"/>
        <v> </v>
      </c>
      <c r="BI55" t="str">
        <f t="shared" si="20"/>
        <v> </v>
      </c>
      <c r="BJ55" t="str">
        <f t="shared" si="21"/>
        <v> </v>
      </c>
    </row>
    <row r="56" spans="1:62">
      <c r="A56">
        <v>0</v>
      </c>
      <c r="B56">
        <v>55</v>
      </c>
      <c r="C56" t="s">
        <v>73</v>
      </c>
      <c r="D56" s="39">
        <v>452871.8398</v>
      </c>
      <c r="E56" s="39">
        <v>3392978.7594</v>
      </c>
      <c r="F56">
        <v>40</v>
      </c>
      <c r="G56">
        <f t="shared" si="22"/>
        <v>34.556</v>
      </c>
      <c r="H56">
        <f t="shared" si="23"/>
        <v>12.441765778191</v>
      </c>
      <c r="I56">
        <f t="shared" si="24"/>
        <v>24.1246390527664</v>
      </c>
      <c r="J56">
        <f t="shared" si="25"/>
        <v>54.4354361426554</v>
      </c>
      <c r="K56" s="40">
        <f t="shared" si="26"/>
        <v>17970.8705940568</v>
      </c>
      <c r="L56" s="40">
        <f t="shared" si="27"/>
        <v>17982.9329135832</v>
      </c>
      <c r="M56" s="40">
        <f t="shared" si="28"/>
        <v>17994.9952331096</v>
      </c>
      <c r="N56">
        <v>469.485</v>
      </c>
      <c r="O56">
        <v>465.516</v>
      </c>
      <c r="P56">
        <v>0.001</v>
      </c>
      <c r="Q56" s="39">
        <f t="shared" si="33"/>
        <v>452876.439319506</v>
      </c>
      <c r="R56" s="39">
        <f t="shared" si="34"/>
        <v>3392990.31976141</v>
      </c>
      <c r="S56" s="39">
        <f t="shared" si="29"/>
        <v>452873.724491894</v>
      </c>
      <c r="T56" s="39">
        <f t="shared" si="30"/>
        <v>3392978.61378297</v>
      </c>
      <c r="U56" s="39">
        <f t="shared" si="31"/>
        <v>452874.6089543</v>
      </c>
      <c r="V56" s="39">
        <f t="shared" si="32"/>
        <v>3392966.62971245</v>
      </c>
      <c r="AI56" t="str">
        <f t="array" ref="AI56">IFERROR(INDEX($L$2:$L$805,SMALL(IF(ISNUMBER(FIND($AH$2,$C$2:$C$805)),ROW($2:$805)-1,4^8),ROW(A55)))&amp;"","")</f>
        <v>42110.401492906</v>
      </c>
      <c r="AJ56" t="str">
        <f t="array" ref="AJ56">IFERROR(INDEX($C$2:$C$805,SMALL(IF(ISNUMBER(FIND($AH$2,$C$2:$C$805)),ROW($2:$805)-1,4^8),ROW(B55)))&amp;"","")</f>
        <v>小梁子隧出</v>
      </c>
      <c r="AS56" t="str">
        <f>"-text"&amp;" "&amp;D56&amp;","&amp;E56&amp;" "&amp;"10"&amp;" "&amp;"0"&amp;" "&amp;C56</f>
        <v>-text 452871.8398,3392978.7594 10 0 IP24</v>
      </c>
      <c r="AT56" t="str">
        <f t="shared" si="7"/>
        <v>452871.8398,3392978.7594</v>
      </c>
      <c r="AV56">
        <f t="shared" si="8"/>
        <v>471.016</v>
      </c>
      <c r="AX56" t="str">
        <f t="shared" si="9"/>
        <v>pl 8991.46645679159,279 8991.46645679159,400 </v>
      </c>
      <c r="AY56" t="str">
        <f t="shared" si="10"/>
        <v>8991.46645679159,465.516</v>
      </c>
      <c r="AZ56" t="str">
        <f t="shared" si="11"/>
        <v>8991.46645679159,469.485</v>
      </c>
      <c r="BA56" t="str">
        <f t="shared" si="12"/>
        <v>8991.46645679159,471.016</v>
      </c>
      <c r="BB56" t="str">
        <f t="shared" si="13"/>
        <v>-text 8990.46645679159,337 3.5 90 465.516 </v>
      </c>
      <c r="BC56" t="str">
        <f t="shared" si="14"/>
        <v>-text 8990.46645679159,320 3.5 90 471.016 </v>
      </c>
      <c r="BD56" t="str">
        <f t="shared" si="15"/>
        <v>-text 8990.46645679159,306 3.5 90 469.485 </v>
      </c>
      <c r="BE56" t="str">
        <f t="shared" si="16"/>
        <v>-text 8990.46645679159,352 3.5 90 ZG17+982.933 </v>
      </c>
      <c r="BF56" t="str">
        <f t="shared" si="17"/>
        <v>-text 8990.46645679159,280 3.5 90 IP24 </v>
      </c>
      <c r="BG56" t="str">
        <f t="shared" si="18"/>
        <v>-TEXT 8992.46645679159,300 3.5 0 R=40</v>
      </c>
      <c r="BH56" t="str">
        <f t="shared" si="19"/>
        <v>-TEXT 8992.46645679159,295 3.5 0 α=34.56° </v>
      </c>
      <c r="BI56" t="str">
        <f t="shared" si="20"/>
        <v>-TEXT 8992.46645679159,290 3.5 0 T=12.44 </v>
      </c>
      <c r="BJ56" t="str">
        <f t="shared" si="21"/>
        <v>-TEXT 8992.46645679159,285 3.5 0 S=24.12 </v>
      </c>
    </row>
    <row r="57" spans="1:62">
      <c r="A57">
        <v>0</v>
      </c>
      <c r="B57">
        <v>56</v>
      </c>
      <c r="C57" t="s">
        <v>76</v>
      </c>
      <c r="D57" s="39">
        <v>452900.8982</v>
      </c>
      <c r="E57" s="39">
        <v>3392851.4753</v>
      </c>
      <c r="F57">
        <v>40</v>
      </c>
      <c r="G57">
        <f t="shared" si="22"/>
        <v>40.457</v>
      </c>
      <c r="H57">
        <f t="shared" si="23"/>
        <v>14.7397287505961</v>
      </c>
      <c r="I57">
        <f t="shared" si="24"/>
        <v>28.2443142191738</v>
      </c>
      <c r="J57">
        <f t="shared" si="25"/>
        <v>130.558924334271</v>
      </c>
      <c r="K57" s="40">
        <f t="shared" si="26"/>
        <v>18098.3726629151</v>
      </c>
      <c r="L57" s="40">
        <f t="shared" si="27"/>
        <v>18112.4948200246</v>
      </c>
      <c r="M57" s="40">
        <f t="shared" si="28"/>
        <v>18126.6169771342</v>
      </c>
      <c r="N57">
        <v>469.459</v>
      </c>
      <c r="O57">
        <v>465.49</v>
      </c>
      <c r="P57">
        <v>0.001</v>
      </c>
      <c r="Q57" s="39">
        <f t="shared" si="33"/>
        <v>452897.617589838</v>
      </c>
      <c r="R57" s="39">
        <f t="shared" si="34"/>
        <v>3392865.84531046</v>
      </c>
      <c r="S57" s="39">
        <f t="shared" si="29"/>
        <v>452903.101141355</v>
      </c>
      <c r="T57" s="39">
        <f t="shared" si="30"/>
        <v>3392852.91075911</v>
      </c>
      <c r="U57" s="39">
        <f t="shared" si="31"/>
        <v>452912.718825797</v>
      </c>
      <c r="V57" s="39">
        <f t="shared" si="32"/>
        <v>3392842.67005103</v>
      </c>
      <c r="AI57" t="str">
        <f t="array" ref="AI57">IFERROR(INDEX($L$2:$L$805,SMALL(IF(ISNUMBER(FIND($AH$2,$C$2:$C$805)),ROW($2:$805)-1,4^8),ROW(A56)))&amp;"","")</f>
        <v>42501.1987984869</v>
      </c>
      <c r="AJ57" t="str">
        <f t="array" ref="AJ57">IFERROR(INDEX($C$2:$C$805,SMALL(IF(ISNUMBER(FIND($AH$2,$C$2:$C$805)),ROW($2:$805)-1,4^8),ROW(B56)))&amp;"","")</f>
        <v>求雨寨隧出</v>
      </c>
      <c r="AS57" t="str">
        <f>"-text"&amp;" "&amp;D57&amp;","&amp;E57&amp;" "&amp;"10"&amp;" "&amp;"0"&amp;" "&amp;C57</f>
        <v>-text 452900.8982,3392851.4753 10 0 IP25</v>
      </c>
      <c r="AT57" t="str">
        <f t="shared" si="7"/>
        <v>452900.8982,3392851.4753</v>
      </c>
      <c r="AV57">
        <f t="shared" si="8"/>
        <v>470.99</v>
      </c>
      <c r="AX57" t="str">
        <f t="shared" si="9"/>
        <v>pl 9056.24741001232,279 9056.24741001232,400 </v>
      </c>
      <c r="AY57" t="str">
        <f t="shared" si="10"/>
        <v>9056.24741001232,465.49</v>
      </c>
      <c r="AZ57" t="str">
        <f t="shared" si="11"/>
        <v>9056.24741001232,469.459</v>
      </c>
      <c r="BA57" t="str">
        <f t="shared" si="12"/>
        <v>9056.24741001232,470.99</v>
      </c>
      <c r="BB57" t="str">
        <f t="shared" si="13"/>
        <v>-text 9055.24741001232,337 3.5 90 465.490 </v>
      </c>
      <c r="BC57" t="str">
        <f t="shared" si="14"/>
        <v>-text 9055.24741001232,320 3.5 90 470.990 </v>
      </c>
      <c r="BD57" t="str">
        <f t="shared" si="15"/>
        <v>-text 9055.24741001232,306 3.5 90 469.459 </v>
      </c>
      <c r="BE57" t="str">
        <f t="shared" si="16"/>
        <v>-text 9055.24741001232,352 3.5 90 ZG18+112.495 </v>
      </c>
      <c r="BF57" t="str">
        <f t="shared" si="17"/>
        <v>-text 9055.24741001232,280 3.5 90 IP25 </v>
      </c>
      <c r="BG57" t="str">
        <f t="shared" si="18"/>
        <v>-TEXT 9057.24741001232,300 3.5 0 R=40</v>
      </c>
      <c r="BH57" t="str">
        <f t="shared" si="19"/>
        <v>-TEXT 9057.24741001232,295 3.5 0 α=40.46° </v>
      </c>
      <c r="BI57" t="str">
        <f t="shared" si="20"/>
        <v>-TEXT 9057.24741001232,290 3.5 0 T=14.74 </v>
      </c>
      <c r="BJ57" t="str">
        <f t="shared" si="21"/>
        <v>-TEXT 9057.24741001232,285 3.5 0 S=28.24 </v>
      </c>
    </row>
    <row r="58" spans="1:62">
      <c r="A58">
        <v>0</v>
      </c>
      <c r="B58">
        <v>57</v>
      </c>
      <c r="C58" t="s">
        <v>77</v>
      </c>
      <c r="D58" s="39">
        <v>452955.8249</v>
      </c>
      <c r="E58" s="39">
        <v>3392810.5601</v>
      </c>
      <c r="F58">
        <v>40</v>
      </c>
      <c r="G58">
        <f t="shared" si="22"/>
        <v>44.855</v>
      </c>
      <c r="H58">
        <f t="shared" si="23"/>
        <v>16.509274895376</v>
      </c>
      <c r="I58">
        <f t="shared" si="24"/>
        <v>31.3146974392823</v>
      </c>
      <c r="J58">
        <f t="shared" si="25"/>
        <v>68.4908458404811</v>
      </c>
      <c r="K58" s="40">
        <f t="shared" si="26"/>
        <v>18163.8588193287</v>
      </c>
      <c r="L58" s="40">
        <f t="shared" si="27"/>
        <v>18179.5161680484</v>
      </c>
      <c r="M58" s="40">
        <f t="shared" si="28"/>
        <v>18195.173516768</v>
      </c>
      <c r="N58">
        <v>469.445</v>
      </c>
      <c r="O58">
        <v>465.476</v>
      </c>
      <c r="P58">
        <v>0.002</v>
      </c>
      <c r="Q58" s="39">
        <f t="shared" si="33"/>
        <v>452942.585174628</v>
      </c>
      <c r="R58" s="39">
        <f t="shared" si="34"/>
        <v>3392820.42244402</v>
      </c>
      <c r="S58" s="39">
        <f t="shared" si="29"/>
        <v>452953.016105759</v>
      </c>
      <c r="T58" s="39">
        <f t="shared" si="30"/>
        <v>3392808.87975223</v>
      </c>
      <c r="U58" s="39">
        <f t="shared" si="31"/>
        <v>452958.2543458</v>
      </c>
      <c r="V58" s="39">
        <f t="shared" si="32"/>
        <v>3392794.23055773</v>
      </c>
      <c r="AI58" t="str">
        <f t="array" ref="AI58">IFERROR(INDEX($L$2:$L$805,SMALL(IF(ISNUMBER(FIND($AH$2,$C$2:$C$805)),ROW($2:$805)-1,4^8),ROW(A57)))&amp;"","")</f>
        <v>42950.7819810404</v>
      </c>
      <c r="AJ58" t="str">
        <f t="array" ref="AJ58">IFERROR(INDEX($C$2:$C$805,SMALL(IF(ISNUMBER(FIND($AH$2,$C$2:$C$805)),ROW($2:$805)-1,4^8),ROW(B57)))&amp;"","")</f>
        <v>笔架山隧出</v>
      </c>
      <c r="AS58" t="str">
        <f>"-text"&amp;" "&amp;D58&amp;","&amp;E58&amp;" "&amp;"10"&amp;" "&amp;"0"&amp;" "&amp;C58</f>
        <v>-text 452955.8249,3392810.5601 10 0 IP26</v>
      </c>
      <c r="AT58" t="str">
        <f t="shared" si="7"/>
        <v>452955.8249,3392810.5601</v>
      </c>
      <c r="AV58">
        <f t="shared" si="8"/>
        <v>470.976</v>
      </c>
      <c r="AX58" t="str">
        <f t="shared" si="9"/>
        <v>pl 9089.75808402419,279 9089.75808402419,400 </v>
      </c>
      <c r="AY58" t="str">
        <f t="shared" si="10"/>
        <v>9089.75808402419,465.476</v>
      </c>
      <c r="AZ58" t="str">
        <f t="shared" si="11"/>
        <v>9089.75808402419,469.445</v>
      </c>
      <c r="BA58" t="str">
        <f t="shared" si="12"/>
        <v>9089.75808402419,470.976</v>
      </c>
      <c r="BB58" t="str">
        <f t="shared" si="13"/>
        <v>-text 9088.75808402419,337 3.5 90 465.476 </v>
      </c>
      <c r="BC58" t="str">
        <f t="shared" si="14"/>
        <v>-text 9088.75808402419,320 3.5 90 470.976 </v>
      </c>
      <c r="BD58" t="str">
        <f t="shared" si="15"/>
        <v>-text 9088.75808402419,306 3.5 90 469.445 </v>
      </c>
      <c r="BE58" t="str">
        <f t="shared" si="16"/>
        <v>-text 9088.75808402419,352 3.5 90 ZG18+179.516 </v>
      </c>
      <c r="BF58" t="str">
        <f t="shared" si="17"/>
        <v>-text 9088.75808402419,280 3.5 90 IP26 </v>
      </c>
      <c r="BG58" t="str">
        <f t="shared" si="18"/>
        <v>-TEXT 9090.75808402419,300 3.5 0 R=40</v>
      </c>
      <c r="BH58" t="str">
        <f t="shared" si="19"/>
        <v>-TEXT 9090.75808402419,295 3.5 0 α=44.86° </v>
      </c>
      <c r="BI58" t="str">
        <f t="shared" si="20"/>
        <v>-TEXT 9090.75808402419,290 3.5 0 T=16.51 </v>
      </c>
      <c r="BJ58" t="str">
        <f t="shared" si="21"/>
        <v>-TEXT 9090.75808402419,285 3.5 0 S=31.31 </v>
      </c>
    </row>
    <row r="59" spans="1:62">
      <c r="A59">
        <v>0</v>
      </c>
      <c r="B59">
        <v>58</v>
      </c>
      <c r="C59" t="s">
        <v>78</v>
      </c>
      <c r="D59" s="39">
        <v>452967.8393</v>
      </c>
      <c r="E59" s="39">
        <v>3392729.8052</v>
      </c>
      <c r="F59">
        <v>40</v>
      </c>
      <c r="G59">
        <f t="shared" si="22"/>
        <v>48.71</v>
      </c>
      <c r="H59">
        <f t="shared" si="23"/>
        <v>18.1069377898991</v>
      </c>
      <c r="I59">
        <f t="shared" si="24"/>
        <v>34.0059951458575</v>
      </c>
      <c r="J59">
        <f t="shared" si="25"/>
        <v>81.6437363266714</v>
      </c>
      <c r="K59" s="40">
        <f t="shared" si="26"/>
        <v>18242.2010404094</v>
      </c>
      <c r="L59" s="40">
        <f t="shared" si="27"/>
        <v>18259.2040379823</v>
      </c>
      <c r="M59" s="40">
        <f t="shared" si="28"/>
        <v>18276.2070355553</v>
      </c>
      <c r="N59">
        <v>469.429</v>
      </c>
      <c r="O59">
        <v>465.46</v>
      </c>
      <c r="P59">
        <v>0.002</v>
      </c>
      <c r="Q59" s="39">
        <f t="shared" si="33"/>
        <v>452965.174747847</v>
      </c>
      <c r="R59" s="39">
        <f t="shared" si="34"/>
        <v>3392747.71501178</v>
      </c>
      <c r="S59" s="39">
        <f t="shared" si="29"/>
        <v>452971.123112145</v>
      </c>
      <c r="T59" s="39">
        <f t="shared" si="30"/>
        <v>3392731.92286864</v>
      </c>
      <c r="U59" s="39">
        <f t="shared" si="31"/>
        <v>452983.054633603</v>
      </c>
      <c r="V59" s="39">
        <f t="shared" si="32"/>
        <v>3392719.98915092</v>
      </c>
      <c r="AI59" t="str">
        <f t="array" ref="AI59">IFERROR(INDEX($L$2:$L$805,SMALL(IF(ISNUMBER(FIND($AH$2,$C$2:$C$805)),ROW($2:$805)-1,4^8),ROW(A58)))&amp;"","")</f>
        <v>43484.7844677966</v>
      </c>
      <c r="AJ59" t="str">
        <f t="array" ref="AJ59">IFERROR(INDEX($C$2:$C$805,SMALL(IF(ISNUMBER(FIND($AH$2,$C$2:$C$805)),ROW($2:$805)-1,4^8),ROW(B58)))&amp;"","")</f>
        <v>凤型湾隧出</v>
      </c>
      <c r="AS59" t="str">
        <f>"-text"&amp;" "&amp;D59&amp;","&amp;E59&amp;" "&amp;"10"&amp;" "&amp;"0"&amp;" "&amp;C59</f>
        <v>-text 452967.8393,3392729.8052 10 0 IP27</v>
      </c>
      <c r="AT59" t="str">
        <f t="shared" si="7"/>
        <v>452967.8393,3392729.8052</v>
      </c>
      <c r="AV59">
        <f t="shared" si="8"/>
        <v>470.96</v>
      </c>
      <c r="AX59" t="str">
        <f t="shared" si="9"/>
        <v>pl 9129.60201899117,279 9129.60201899117,400 </v>
      </c>
      <c r="AY59" t="str">
        <f t="shared" si="10"/>
        <v>9129.60201899117,465.46</v>
      </c>
      <c r="AZ59" t="str">
        <f t="shared" si="11"/>
        <v>9129.60201899117,469.429</v>
      </c>
      <c r="BA59" t="str">
        <f t="shared" si="12"/>
        <v>9129.60201899117,470.96</v>
      </c>
      <c r="BB59" t="str">
        <f t="shared" si="13"/>
        <v>-text 9128.60201899117,337 3.5 90 465.460 </v>
      </c>
      <c r="BC59" t="str">
        <f t="shared" si="14"/>
        <v>-text 9128.60201899117,320 3.5 90 470.960 </v>
      </c>
      <c r="BD59" t="str">
        <f t="shared" si="15"/>
        <v>-text 9128.60201899117,306 3.5 90 469.429 </v>
      </c>
      <c r="BE59" t="str">
        <f t="shared" si="16"/>
        <v>-text 9128.60201899117,352 3.5 90 ZG18+259.204 </v>
      </c>
      <c r="BF59" t="str">
        <f t="shared" si="17"/>
        <v>-text 9128.60201899117,280 3.5 90 IP27 </v>
      </c>
      <c r="BG59" t="str">
        <f t="shared" si="18"/>
        <v>-TEXT 9130.60201899117,300 3.5 0 R=40</v>
      </c>
      <c r="BH59" t="str">
        <f t="shared" si="19"/>
        <v>-TEXT 9130.60201899117,295 3.5 0 α=48.71° </v>
      </c>
      <c r="BI59" t="str">
        <f t="shared" si="20"/>
        <v>-TEXT 9130.60201899117,290 3.5 0 T=18.11 </v>
      </c>
      <c r="BJ59" t="str">
        <f t="shared" si="21"/>
        <v>-TEXT 9130.60201899117,285 3.5 0 S=34.01 </v>
      </c>
    </row>
    <row r="60" spans="1:62">
      <c r="A60">
        <v>1</v>
      </c>
      <c r="B60">
        <v>59</v>
      </c>
      <c r="C60" t="str">
        <f>Sheet1!C54</f>
        <v>堰塘湾渡槽进</v>
      </c>
      <c r="D60" s="39">
        <v>453079.7429</v>
      </c>
      <c r="E60" s="39">
        <v>3392657.6115</v>
      </c>
      <c r="F60">
        <v>0</v>
      </c>
      <c r="G60">
        <f t="shared" si="22"/>
        <v>0</v>
      </c>
      <c r="H60">
        <f t="shared" si="23"/>
        <v>0</v>
      </c>
      <c r="I60">
        <f t="shared" si="24"/>
        <v>0</v>
      </c>
      <c r="J60">
        <f t="shared" si="25"/>
        <v>133.170364618457</v>
      </c>
      <c r="K60" s="40">
        <f t="shared" si="26"/>
        <v>18391.2704623838</v>
      </c>
      <c r="L60" s="40">
        <f t="shared" si="27"/>
        <v>18391.2704623838</v>
      </c>
      <c r="M60" s="40">
        <f t="shared" si="28"/>
        <v>18391.2704623838</v>
      </c>
      <c r="N60">
        <v>469.283</v>
      </c>
      <c r="O60">
        <v>465.4</v>
      </c>
      <c r="P60">
        <v>0</v>
      </c>
      <c r="Q60" s="39">
        <f t="shared" si="33"/>
        <v>453079.7429</v>
      </c>
      <c r="R60" s="39">
        <f t="shared" si="34"/>
        <v>3392657.6115</v>
      </c>
      <c r="S60" s="39" t="str">
        <f t="shared" si="29"/>
        <v> </v>
      </c>
      <c r="T60" s="39" t="str">
        <f t="shared" si="30"/>
        <v> </v>
      </c>
      <c r="U60" s="39" t="str">
        <f t="shared" si="31"/>
        <v> </v>
      </c>
      <c r="V60" s="39" t="str">
        <f t="shared" si="32"/>
        <v> </v>
      </c>
      <c r="AI60" t="str">
        <f t="array" ref="AI60">IFERROR(INDEX($L$2:$L$805,SMALL(IF(ISNUMBER(FIND($AH$2,$C$2:$C$805)),ROW($2:$805)-1,4^8),ROW(A59)))&amp;"","")</f>
        <v>44264.5005332329</v>
      </c>
      <c r="AJ60" t="str">
        <f t="array" ref="AJ60">IFERROR(INDEX($C$2:$C$805,SMALL(IF(ISNUMBER(FIND($AH$2,$C$2:$C$805)),ROW($2:$805)-1,4^8),ROW(B59)))&amp;"","")</f>
        <v>花果山隧出</v>
      </c>
      <c r="AT60" t="str">
        <f t="shared" si="7"/>
        <v>453079.7429,3392657.6115</v>
      </c>
      <c r="AV60">
        <f t="shared" si="8"/>
        <v>470.6</v>
      </c>
      <c r="AX60" t="str">
        <f t="shared" si="9"/>
        <v>pl 9195.63523119192,279 9195.63523119192,400 </v>
      </c>
      <c r="AY60" t="str">
        <f t="shared" si="10"/>
        <v>9195.63523119192,465.4</v>
      </c>
      <c r="AZ60" t="str">
        <f t="shared" si="11"/>
        <v>9195.63523119192,469.283</v>
      </c>
      <c r="BA60" t="str">
        <f t="shared" si="12"/>
        <v>9195.63523119192,470.6</v>
      </c>
      <c r="BB60" t="str">
        <f t="shared" si="13"/>
        <v>-text 9194.63523119192,337 3.5 90 465.400 </v>
      </c>
      <c r="BC60" t="str">
        <f t="shared" si="14"/>
        <v>-text 9194.63523119192,320 3.5 90 470.600 </v>
      </c>
      <c r="BD60" t="str">
        <f t="shared" si="15"/>
        <v>-text 9194.63523119192,306 3.5 90 469.283 </v>
      </c>
      <c r="BE60" t="str">
        <f t="shared" si="16"/>
        <v>-text 9194.63523119192,352 3.5 90 ZG18+391.270 </v>
      </c>
      <c r="BF60" t="str">
        <f t="shared" si="17"/>
        <v>-text 9194.63523119192,280 3.5 90 堰塘湾渡槽进 </v>
      </c>
      <c r="BG60" t="str">
        <f t="shared" si="18"/>
        <v/>
      </c>
      <c r="BH60" t="str">
        <f t="shared" si="19"/>
        <v> </v>
      </c>
      <c r="BI60" t="str">
        <f t="shared" si="20"/>
        <v> </v>
      </c>
      <c r="BJ60" t="str">
        <f t="shared" si="21"/>
        <v> </v>
      </c>
    </row>
    <row r="61" spans="1:62">
      <c r="A61">
        <v>1</v>
      </c>
      <c r="B61">
        <v>60</v>
      </c>
      <c r="C61" t="str">
        <f>Sheet1!C55</f>
        <v>堰塘湾渡槽出</v>
      </c>
      <c r="D61" s="39">
        <v>453282.0086</v>
      </c>
      <c r="E61" s="39">
        <v>3392527.1214</v>
      </c>
      <c r="F61">
        <v>0</v>
      </c>
      <c r="G61">
        <f t="shared" si="22"/>
        <v>0</v>
      </c>
      <c r="H61">
        <f t="shared" si="23"/>
        <v>0</v>
      </c>
      <c r="I61">
        <f t="shared" si="24"/>
        <v>0</v>
      </c>
      <c r="J61">
        <f t="shared" si="25"/>
        <v>240.705379238831</v>
      </c>
      <c r="K61" s="40">
        <f t="shared" si="26"/>
        <v>18631.9758416227</v>
      </c>
      <c r="L61" s="40">
        <f t="shared" si="27"/>
        <v>18631.9758416227</v>
      </c>
      <c r="M61" s="40">
        <f t="shared" si="28"/>
        <v>18631.9758416227</v>
      </c>
      <c r="N61">
        <v>469.174</v>
      </c>
      <c r="O61">
        <v>465.291</v>
      </c>
      <c r="P61">
        <v>0</v>
      </c>
      <c r="Q61" s="39">
        <f t="shared" si="33"/>
        <v>453282.0086</v>
      </c>
      <c r="R61" s="39">
        <f t="shared" si="34"/>
        <v>3392527.1214</v>
      </c>
      <c r="S61" s="39" t="str">
        <f t="shared" si="29"/>
        <v> </v>
      </c>
      <c r="T61" s="39" t="str">
        <f t="shared" si="30"/>
        <v> </v>
      </c>
      <c r="U61" s="39" t="str">
        <f t="shared" si="31"/>
        <v> </v>
      </c>
      <c r="V61" s="39" t="str">
        <f t="shared" si="32"/>
        <v> </v>
      </c>
      <c r="AI61" t="str">
        <f t="array" ref="AI61">IFERROR(INDEX($L$2:$L$805,SMALL(IF(ISNUMBER(FIND($AH$2,$C$2:$C$805)),ROW($2:$805)-1,4^8),ROW(A60)))&amp;"","")</f>
        <v>45054.9505646651</v>
      </c>
      <c r="AJ61" t="str">
        <f t="array" ref="AJ61">IFERROR(INDEX($C$2:$C$805,SMALL(IF(ISNUMBER(FIND($AH$2,$C$2:$C$805)),ROW($2:$805)-1,4^8),ROW(B60)))&amp;"","")</f>
        <v>黄鹤渡槽出</v>
      </c>
      <c r="AT61" t="str">
        <f t="shared" si="7"/>
        <v>453282.0086,3392527.1214</v>
      </c>
      <c r="AV61">
        <f t="shared" si="8"/>
        <v>470.491</v>
      </c>
      <c r="AX61" t="str">
        <f t="shared" si="9"/>
        <v>pl 9315.98792081133,279 9315.98792081133,400 </v>
      </c>
      <c r="AY61" t="str">
        <f t="shared" si="10"/>
        <v>9315.98792081133,465.291</v>
      </c>
      <c r="AZ61" t="str">
        <f t="shared" si="11"/>
        <v>9315.98792081133,469.174</v>
      </c>
      <c r="BA61" t="str">
        <f t="shared" si="12"/>
        <v>9315.98792081133,470.491</v>
      </c>
      <c r="BB61" t="str">
        <f t="shared" si="13"/>
        <v>-text 9314.98792081133,337 3.5 90 465.291 </v>
      </c>
      <c r="BC61" t="str">
        <f t="shared" si="14"/>
        <v>-text 9314.98792081133,320 3.5 90 470.491 </v>
      </c>
      <c r="BD61" t="str">
        <f t="shared" si="15"/>
        <v>-text 9314.98792081133,306 3.5 90 469.174 </v>
      </c>
      <c r="BE61" t="str">
        <f t="shared" si="16"/>
        <v>-text 9314.98792081133,352 3.5 90 ZG18+631.976 </v>
      </c>
      <c r="BF61" t="str">
        <f t="shared" si="17"/>
        <v>-text 9314.98792081133,280 3.5 90 堰塘湾渡槽出 </v>
      </c>
      <c r="BG61" t="str">
        <f t="shared" si="18"/>
        <v/>
      </c>
      <c r="BH61" t="str">
        <f t="shared" si="19"/>
        <v> </v>
      </c>
      <c r="BI61" t="str">
        <f t="shared" si="20"/>
        <v> </v>
      </c>
      <c r="BJ61" t="str">
        <f t="shared" si="21"/>
        <v> </v>
      </c>
    </row>
    <row r="62" spans="1:62">
      <c r="A62">
        <v>0</v>
      </c>
      <c r="B62">
        <v>61</v>
      </c>
      <c r="C62" t="s">
        <v>79</v>
      </c>
      <c r="D62" s="39">
        <v>453293.3141</v>
      </c>
      <c r="E62" s="39">
        <v>3392519.8278</v>
      </c>
      <c r="F62">
        <v>40</v>
      </c>
      <c r="G62">
        <f t="shared" si="22"/>
        <v>22.892</v>
      </c>
      <c r="H62">
        <f t="shared" si="23"/>
        <v>8.09883990680424</v>
      </c>
      <c r="I62">
        <f t="shared" si="24"/>
        <v>15.9816308946617</v>
      </c>
      <c r="J62">
        <f t="shared" si="25"/>
        <v>13.4540302961611</v>
      </c>
      <c r="K62" s="40">
        <f t="shared" si="26"/>
        <v>18637.331032012</v>
      </c>
      <c r="L62" s="40">
        <f t="shared" si="27"/>
        <v>18645.3218474594</v>
      </c>
      <c r="M62" s="40">
        <f t="shared" si="28"/>
        <v>18653.3126629067</v>
      </c>
      <c r="N62">
        <v>469.235</v>
      </c>
      <c r="O62">
        <v>465.266</v>
      </c>
      <c r="P62">
        <v>0.001</v>
      </c>
      <c r="Q62" s="39">
        <f t="shared" si="33"/>
        <v>453286.508597667</v>
      </c>
      <c r="R62" s="39">
        <f t="shared" si="34"/>
        <v>3392524.21828355</v>
      </c>
      <c r="S62" s="39">
        <f t="shared" si="29"/>
        <v>453293.610011511</v>
      </c>
      <c r="T62" s="39">
        <f t="shared" si="30"/>
        <v>3392520.58359391</v>
      </c>
      <c r="U62" s="39">
        <f t="shared" si="31"/>
        <v>453301.291478301</v>
      </c>
      <c r="V62" s="39">
        <f t="shared" si="32"/>
        <v>3392518.43042987</v>
      </c>
      <c r="AI62" t="str">
        <f t="array" ref="AI62">IFERROR(INDEX($L$2:$L$805,SMALL(IF(ISNUMBER(FIND($AH$2,$C$2:$C$805)),ROW($2:$805)-1,4^8),ROW(A61)))&amp;"","")</f>
        <v>45391.7815726768</v>
      </c>
      <c r="AJ62" t="str">
        <f t="array" ref="AJ62">IFERROR(INDEX($C$2:$C$805,SMALL(IF(ISNUMBER(FIND($AH$2,$C$2:$C$805)),ROW($2:$805)-1,4^8),ROW(B61)))&amp;"","")</f>
        <v>廖家湾1#渡槽出</v>
      </c>
      <c r="AS62" t="str">
        <f>"-text"&amp;" "&amp;D62&amp;","&amp;E62&amp;" "&amp;"10"&amp;" "&amp;"0"&amp;" "&amp;C62</f>
        <v>-text 453293.3141,3392519.8278 10 0 IP28</v>
      </c>
      <c r="AT62" t="str">
        <f t="shared" si="7"/>
        <v>453293.3141,3392519.8278</v>
      </c>
      <c r="AV62">
        <f t="shared" si="8"/>
        <v>470.766</v>
      </c>
      <c r="AX62" t="str">
        <f t="shared" si="9"/>
        <v>pl 9322.66092372968,279 9322.66092372968,400 </v>
      </c>
      <c r="AY62" t="str">
        <f t="shared" si="10"/>
        <v>9322.66092372968,465.266</v>
      </c>
      <c r="AZ62" t="str">
        <f t="shared" si="11"/>
        <v>9322.66092372968,469.235</v>
      </c>
      <c r="BA62" t="str">
        <f t="shared" si="12"/>
        <v>9322.66092372968,470.766</v>
      </c>
      <c r="BB62" t="str">
        <f t="shared" si="13"/>
        <v>-text 9321.66092372968,337 3.5 90 465.266 </v>
      </c>
      <c r="BC62" t="str">
        <f t="shared" si="14"/>
        <v>-text 9321.66092372968,320 3.5 90 470.766 </v>
      </c>
      <c r="BD62" t="str">
        <f t="shared" si="15"/>
        <v>-text 9321.66092372968,306 3.5 90 469.235 </v>
      </c>
      <c r="BE62" t="str">
        <f t="shared" si="16"/>
        <v>-text 9321.66092372968,352 3.5 90 ZG18+645.322 </v>
      </c>
      <c r="BF62" t="str">
        <f t="shared" si="17"/>
        <v>-text 9321.66092372968,280 3.5 90 IP28 </v>
      </c>
      <c r="BG62" t="str">
        <f t="shared" si="18"/>
        <v>-TEXT 9323.66092372968,300 3.5 0 R=40</v>
      </c>
      <c r="BH62" t="str">
        <f t="shared" si="19"/>
        <v>-TEXT 9323.66092372968,295 3.5 0 α=22.89° </v>
      </c>
      <c r="BI62" t="str">
        <f t="shared" si="20"/>
        <v>-TEXT 9323.66092372968,290 3.5 0 T=8.10 </v>
      </c>
      <c r="BJ62" t="str">
        <f t="shared" si="21"/>
        <v>-TEXT 9323.66092372968,285 3.5 0 S=15.98 </v>
      </c>
    </row>
    <row r="63" spans="1:62">
      <c r="A63">
        <v>0</v>
      </c>
      <c r="B63">
        <v>62</v>
      </c>
      <c r="C63" t="s">
        <v>815</v>
      </c>
      <c r="D63" s="39">
        <v>453406.423</v>
      </c>
      <c r="E63" s="39">
        <v>3392500.0149</v>
      </c>
      <c r="F63">
        <v>40</v>
      </c>
      <c r="G63">
        <f t="shared" si="22"/>
        <v>62.841</v>
      </c>
      <c r="H63">
        <f t="shared" si="23"/>
        <v>24.4357526862476</v>
      </c>
      <c r="I63">
        <f t="shared" si="24"/>
        <v>43.8712942098303</v>
      </c>
      <c r="J63">
        <f t="shared" si="25"/>
        <v>114.831068381463</v>
      </c>
      <c r="K63" s="40">
        <f t="shared" si="26"/>
        <v>18735.6091386951</v>
      </c>
      <c r="L63" s="40">
        <f t="shared" si="27"/>
        <v>18757.5447858</v>
      </c>
      <c r="M63" s="40">
        <f t="shared" si="28"/>
        <v>18779.4804329049</v>
      </c>
      <c r="N63">
        <v>469.212</v>
      </c>
      <c r="O63">
        <v>465.243</v>
      </c>
      <c r="P63">
        <v>0.002</v>
      </c>
      <c r="Q63" s="39">
        <f t="shared" si="33"/>
        <v>453382.353720266</v>
      </c>
      <c r="R63" s="39">
        <f t="shared" si="34"/>
        <v>3392504.23103359</v>
      </c>
      <c r="S63" s="39">
        <f t="shared" si="29"/>
        <v>453401.881517756</v>
      </c>
      <c r="T63" s="39">
        <f t="shared" si="30"/>
        <v>3392494.85565969</v>
      </c>
      <c r="U63" s="39">
        <f t="shared" si="31"/>
        <v>453413.658237349</v>
      </c>
      <c r="V63" s="39">
        <f t="shared" si="32"/>
        <v>3392476.67486251</v>
      </c>
      <c r="AI63" t="str">
        <f t="array" ref="AI63">IFERROR(INDEX($L$2:$L$805,SMALL(IF(ISNUMBER(FIND($AH$2,$C$2:$C$805)),ROW($2:$805)-1,4^8),ROW(A62)))&amp;"","")</f>
        <v>45638.4002950327</v>
      </c>
      <c r="AJ63" t="str">
        <f t="array" ref="AJ63">IFERROR(INDEX($C$2:$C$805,SMALL(IF(ISNUMBER(FIND($AH$2,$C$2:$C$805)),ROW($2:$805)-1,4^8),ROW(B62)))&amp;"","")</f>
        <v>廖家湾2#渡槽出</v>
      </c>
      <c r="AS63" t="str">
        <f>"-text"&amp;" "&amp;D63&amp;","&amp;E63&amp;" "&amp;"10"&amp;" "&amp;"0"&amp;" "&amp;C63</f>
        <v>-text 453406.423,3392500.0149 10 0 IP29</v>
      </c>
      <c r="AT63" t="str">
        <f t="shared" si="7"/>
        <v>453406.423,3392500.0149</v>
      </c>
      <c r="AV63">
        <f t="shared" si="8"/>
        <v>470.743</v>
      </c>
      <c r="AX63" t="str">
        <f t="shared" si="9"/>
        <v>pl 9378.7723929,279 9378.7723929,400 </v>
      </c>
      <c r="AY63" t="str">
        <f t="shared" si="10"/>
        <v>9378.7723929,465.243</v>
      </c>
      <c r="AZ63" t="str">
        <f t="shared" si="11"/>
        <v>9378.7723929,469.212</v>
      </c>
      <c r="BA63" t="str">
        <f t="shared" si="12"/>
        <v>9378.7723929,470.743</v>
      </c>
      <c r="BB63" t="str">
        <f t="shared" si="13"/>
        <v>-text 9377.7723929,337 3.5 90 465.243 </v>
      </c>
      <c r="BC63" t="str">
        <f t="shared" si="14"/>
        <v>-text 9377.7723929,320 3.5 90 470.743 </v>
      </c>
      <c r="BD63" t="str">
        <f t="shared" si="15"/>
        <v>-text 9377.7723929,306 3.5 90 469.212 </v>
      </c>
      <c r="BE63" t="str">
        <f t="shared" si="16"/>
        <v>-text 9377.7723929,352 3.5 90 ZG18+757.545 </v>
      </c>
      <c r="BF63" t="str">
        <f t="shared" si="17"/>
        <v>-text 9377.7723929,280 3.5 90 IP29 </v>
      </c>
      <c r="BG63" t="str">
        <f t="shared" si="18"/>
        <v>-TEXT 9379.7723929,300 3.5 0 R=40</v>
      </c>
      <c r="BH63" t="str">
        <f t="shared" si="19"/>
        <v>-TEXT 9379.7723929,295 3.5 0 α=62.84° </v>
      </c>
      <c r="BI63" t="str">
        <f t="shared" si="20"/>
        <v>-TEXT 9379.7723929,290 3.5 0 T=24.44 </v>
      </c>
      <c r="BJ63" t="str">
        <f t="shared" si="21"/>
        <v>-TEXT 9379.7723929,285 3.5 0 S=43.87 </v>
      </c>
    </row>
    <row r="64" spans="1:62">
      <c r="A64">
        <v>0</v>
      </c>
      <c r="B64">
        <v>63</v>
      </c>
      <c r="C64" t="s">
        <v>816</v>
      </c>
      <c r="D64" s="39">
        <v>453455.9112</v>
      </c>
      <c r="E64" s="39">
        <v>3392340.3717</v>
      </c>
      <c r="F64">
        <v>40</v>
      </c>
      <c r="G64">
        <f t="shared" si="22"/>
        <v>57.655</v>
      </c>
      <c r="H64">
        <f t="shared" si="23"/>
        <v>22.0151937128653</v>
      </c>
      <c r="I64">
        <f t="shared" si="24"/>
        <v>40.2507832094932</v>
      </c>
      <c r="J64">
        <f t="shared" si="25"/>
        <v>167.137767262273</v>
      </c>
      <c r="K64" s="40">
        <f t="shared" si="26"/>
        <v>18900.1672537681</v>
      </c>
      <c r="L64" s="40">
        <f t="shared" si="27"/>
        <v>18920.2926453728</v>
      </c>
      <c r="M64" s="40">
        <f t="shared" si="28"/>
        <v>18940.4180369776</v>
      </c>
      <c r="N64">
        <v>469.18</v>
      </c>
      <c r="O64">
        <v>465.211</v>
      </c>
      <c r="P64">
        <v>0.002</v>
      </c>
      <c r="Q64" s="39">
        <f t="shared" si="33"/>
        <v>453449.392671439</v>
      </c>
      <c r="R64" s="39">
        <f t="shared" si="34"/>
        <v>3392361.39971797</v>
      </c>
      <c r="S64" s="39">
        <f t="shared" si="29"/>
        <v>453459.838096241</v>
      </c>
      <c r="T64" s="39">
        <f t="shared" si="30"/>
        <v>3392344.44528245</v>
      </c>
      <c r="U64" s="39">
        <f t="shared" si="31"/>
        <v>453477.164035072</v>
      </c>
      <c r="V64" s="39">
        <f t="shared" si="32"/>
        <v>3392334.6283773</v>
      </c>
      <c r="AI64" t="str">
        <f t="array" ref="AI64">IFERROR(INDEX($L$2:$L$805,SMALL(IF(ISNUMBER(FIND($AH$2,$C$2:$C$805)),ROW($2:$805)-1,4^8),ROW(A63)))&amp;"","")</f>
        <v>45899.1186463485</v>
      </c>
      <c r="AJ64" t="str">
        <f t="array" ref="AJ64">IFERROR(INDEX($C$2:$C$805,SMALL(IF(ISNUMBER(FIND($AH$2,$C$2:$C$805)),ROW($2:$805)-1,4^8),ROW(B63)))&amp;"","")</f>
        <v>石湾渡槽出</v>
      </c>
      <c r="AS64" t="str">
        <f>"-text"&amp;" "&amp;D64&amp;","&amp;E64&amp;" "&amp;"10"&amp;" "&amp;"0"&amp;" "&amp;C64</f>
        <v>-text 453455.9112,3392340.3717 10 0 IP30</v>
      </c>
      <c r="AT64" t="str">
        <f t="shared" si="7"/>
        <v>453455.9112,3392340.3717</v>
      </c>
      <c r="AV64">
        <f t="shared" si="8"/>
        <v>470.711</v>
      </c>
      <c r="AX64" t="str">
        <f t="shared" si="9"/>
        <v>pl 9460.14632268641,279 9460.14632268641,400 </v>
      </c>
      <c r="AY64" t="str">
        <f t="shared" si="10"/>
        <v>9460.14632268641,465.211</v>
      </c>
      <c r="AZ64" t="str">
        <f t="shared" si="11"/>
        <v>9460.14632268641,469.18</v>
      </c>
      <c r="BA64" t="str">
        <f t="shared" si="12"/>
        <v>9460.14632268641,470.711</v>
      </c>
      <c r="BB64" t="str">
        <f t="shared" si="13"/>
        <v>-text 9459.14632268641,337 3.5 90 465.211 </v>
      </c>
      <c r="BC64" t="str">
        <f t="shared" si="14"/>
        <v>-text 9459.14632268641,320 3.5 90 470.711 </v>
      </c>
      <c r="BD64" t="str">
        <f t="shared" si="15"/>
        <v>-text 9459.14632268641,306 3.5 90 469.180 </v>
      </c>
      <c r="BE64" t="str">
        <f t="shared" si="16"/>
        <v>-text 9459.14632268641,352 3.5 90 ZG18+920.293 </v>
      </c>
      <c r="BF64" t="str">
        <f t="shared" si="17"/>
        <v>-text 9459.14632268641,280 3.5 90 IP30 </v>
      </c>
      <c r="BG64" t="str">
        <f t="shared" si="18"/>
        <v>-TEXT 9461.14632268641,300 3.5 0 R=40</v>
      </c>
      <c r="BH64" t="str">
        <f t="shared" si="19"/>
        <v>-TEXT 9461.14632268641,295 3.5 0 α=57.66° </v>
      </c>
      <c r="BI64" t="str">
        <f t="shared" si="20"/>
        <v>-TEXT 9461.14632268641,290 3.5 0 T=22.02 </v>
      </c>
      <c r="BJ64" t="str">
        <f t="shared" si="21"/>
        <v>-TEXT 9461.14632268641,285 3.5 0 S=40.25 </v>
      </c>
    </row>
    <row r="65" spans="1:62">
      <c r="A65">
        <v>0</v>
      </c>
      <c r="B65">
        <v>64</v>
      </c>
      <c r="C65" t="s">
        <v>817</v>
      </c>
      <c r="D65" s="39">
        <v>453564.0533</v>
      </c>
      <c r="E65" s="39">
        <v>3392311.1476</v>
      </c>
      <c r="F65">
        <v>40</v>
      </c>
      <c r="G65">
        <f t="shared" si="22"/>
        <v>28.736</v>
      </c>
      <c r="H65">
        <f t="shared" si="23"/>
        <v>10.246444859627</v>
      </c>
      <c r="I65">
        <f t="shared" si="24"/>
        <v>20.0615125541236</v>
      </c>
      <c r="J65">
        <f t="shared" si="25"/>
        <v>112.021256077787</v>
      </c>
      <c r="K65" s="40">
        <f t="shared" si="26"/>
        <v>19020.1776544829</v>
      </c>
      <c r="L65" s="40">
        <f t="shared" si="27"/>
        <v>19030.2084107599</v>
      </c>
      <c r="M65" s="40">
        <f t="shared" si="28"/>
        <v>19040.239167037</v>
      </c>
      <c r="N65">
        <v>469.158</v>
      </c>
      <c r="O65">
        <v>465.189</v>
      </c>
      <c r="P65">
        <v>0.001</v>
      </c>
      <c r="Q65" s="39">
        <f t="shared" si="33"/>
        <v>453554.161676718</v>
      </c>
      <c r="R65" s="39">
        <f t="shared" si="34"/>
        <v>3392313.82069205</v>
      </c>
      <c r="S65" s="39">
        <f t="shared" si="29"/>
        <v>453563.4175139</v>
      </c>
      <c r="T65" s="39">
        <f t="shared" si="30"/>
        <v>3392310.02340835</v>
      </c>
      <c r="U65" s="39">
        <f t="shared" si="31"/>
        <v>453571.441551237</v>
      </c>
      <c r="V65" s="39">
        <f t="shared" si="32"/>
        <v>3392304.0480665</v>
      </c>
      <c r="AI65" t="str">
        <f t="array" ref="AI65">IFERROR(INDEX($L$2:$L$805,SMALL(IF(ISNUMBER(FIND($AH$2,$C$2:$C$805)),ROW($2:$805)-1,4^8),ROW(A64)))&amp;"","")</f>
        <v>46276.6784941064</v>
      </c>
      <c r="AJ65" t="str">
        <f t="array" ref="AJ65">IFERROR(INDEX($C$2:$C$805,SMALL(IF(ISNUMBER(FIND($AH$2,$C$2:$C$805)),ROW($2:$805)-1,4^8),ROW(B64)))&amp;"","")</f>
        <v>蟆怪梁子渡槽出</v>
      </c>
      <c r="AS65" t="str">
        <f>"-text"&amp;" "&amp;D65&amp;","&amp;E65&amp;" "&amp;"10"&amp;" "&amp;"0"&amp;" "&amp;C65</f>
        <v>-text 453564.0533,3392311.1476 10 0 IP31</v>
      </c>
      <c r="AT65" t="str">
        <f t="shared" si="7"/>
        <v>453564.0533,3392311.1476</v>
      </c>
      <c r="AV65">
        <f t="shared" si="8"/>
        <v>470.689</v>
      </c>
      <c r="AX65" t="str">
        <f t="shared" si="9"/>
        <v>pl 9515.10420537997,279 9515.10420537997,400 </v>
      </c>
      <c r="AY65" t="str">
        <f t="shared" si="10"/>
        <v>9515.10420537997,465.189</v>
      </c>
      <c r="AZ65" t="str">
        <f t="shared" si="11"/>
        <v>9515.10420537997,469.158</v>
      </c>
      <c r="BA65" t="str">
        <f t="shared" si="12"/>
        <v>9515.10420537997,470.689</v>
      </c>
      <c r="BB65" t="str">
        <f t="shared" si="13"/>
        <v>-text 9514.10420537997,337 3.5 90 465.189 </v>
      </c>
      <c r="BC65" t="str">
        <f t="shared" si="14"/>
        <v>-text 9514.10420537997,320 3.5 90 470.689 </v>
      </c>
      <c r="BD65" t="str">
        <f t="shared" si="15"/>
        <v>-text 9514.10420537997,306 3.5 90 469.158 </v>
      </c>
      <c r="BE65" t="str">
        <f t="shared" si="16"/>
        <v>-text 9514.10420537997,352 3.5 90 ZG19+030.208 </v>
      </c>
      <c r="BF65" t="str">
        <f t="shared" si="17"/>
        <v>-text 9514.10420537997,280 3.5 90 IP31 </v>
      </c>
      <c r="BG65" t="str">
        <f t="shared" si="18"/>
        <v>-TEXT 9516.10420537997,300 3.5 0 R=40</v>
      </c>
      <c r="BH65" t="str">
        <f t="shared" si="19"/>
        <v>-TEXT 9516.10420537997,295 3.5 0 α=28.74° </v>
      </c>
      <c r="BI65" t="str">
        <f t="shared" si="20"/>
        <v>-TEXT 9516.10420537997,290 3.5 0 T=10.25 </v>
      </c>
      <c r="BJ65" t="str">
        <f t="shared" si="21"/>
        <v>-TEXT 9516.10420537997,285 3.5 0 S=20.06 </v>
      </c>
    </row>
    <row r="66" spans="1:62">
      <c r="A66">
        <v>0</v>
      </c>
      <c r="B66">
        <v>65</v>
      </c>
      <c r="C66" s="47" t="s">
        <v>80</v>
      </c>
      <c r="D66" s="49">
        <v>453584.7811</v>
      </c>
      <c r="E66" s="49">
        <v>3392291.2298</v>
      </c>
      <c r="F66" s="47">
        <v>0</v>
      </c>
      <c r="G66" s="47">
        <f t="shared" si="22"/>
        <v>0</v>
      </c>
      <c r="H66" s="47">
        <f t="shared" si="23"/>
        <v>0</v>
      </c>
      <c r="I66" s="47">
        <f t="shared" si="24"/>
        <v>0</v>
      </c>
      <c r="J66" s="47">
        <f t="shared" si="25"/>
        <v>28.7464858665756</v>
      </c>
      <c r="K66" s="48">
        <f t="shared" si="26"/>
        <v>19058.7392080439</v>
      </c>
      <c r="L66" s="48">
        <f t="shared" si="27"/>
        <v>19058.7392080439</v>
      </c>
      <c r="M66" s="48">
        <f t="shared" si="28"/>
        <v>19058.7392080439</v>
      </c>
      <c r="N66" s="47">
        <v>469.145</v>
      </c>
      <c r="O66" s="47">
        <v>465.19</v>
      </c>
      <c r="P66" s="47">
        <v>0</v>
      </c>
      <c r="Q66" s="49">
        <f t="shared" si="33"/>
        <v>453584.7811</v>
      </c>
      <c r="R66" s="49">
        <f t="shared" si="34"/>
        <v>3392291.2298</v>
      </c>
      <c r="S66" s="49" t="str">
        <f t="shared" si="29"/>
        <v> </v>
      </c>
      <c r="T66" s="49" t="str">
        <f t="shared" si="30"/>
        <v> </v>
      </c>
      <c r="U66" s="49" t="str">
        <f t="shared" si="31"/>
        <v> </v>
      </c>
      <c r="V66" s="49" t="str">
        <f t="shared" si="32"/>
        <v> </v>
      </c>
      <c r="AI66" t="str">
        <f t="array" ref="AI66">IFERROR(INDEX($L$2:$L$805,SMALL(IF(ISNUMBER(FIND($AH$2,$C$2:$C$805)),ROW($2:$805)-1,4^8),ROW(A65)))&amp;"","")</f>
        <v>49861.9801707288</v>
      </c>
      <c r="AJ66" t="str">
        <f t="array" ref="AJ66">IFERROR(INDEX($C$2:$C$805,SMALL(IF(ISNUMBER(FIND($AH$2,$C$2:$C$805)),ROW($2:$805)-1,4^8),ROW(B65)))&amp;"","")</f>
        <v>资水河倒虹管出</v>
      </c>
      <c r="AT66" t="str">
        <f t="shared" si="7"/>
        <v>453584.7811,3392291.2298</v>
      </c>
      <c r="AV66">
        <f t="shared" si="8"/>
        <v>470.69</v>
      </c>
      <c r="AX66" t="str">
        <f t="shared" si="9"/>
        <v>pl 9529.36960402197,279 9529.36960402197,400 </v>
      </c>
      <c r="AY66" t="str">
        <f t="shared" si="10"/>
        <v>9529.36960402197,465.19</v>
      </c>
      <c r="AZ66" t="str">
        <f t="shared" si="11"/>
        <v>9529.36960402197,469.145</v>
      </c>
      <c r="BA66" t="str">
        <f t="shared" si="12"/>
        <v>9529.36960402197,470.69</v>
      </c>
      <c r="BB66" t="str">
        <f t="shared" si="13"/>
        <v>-text 9528.36960402197,337 3.5 90 465.190 </v>
      </c>
      <c r="BC66" t="str">
        <f t="shared" si="14"/>
        <v>-text 9528.36960402197,320 3.5 90 470.690 </v>
      </c>
      <c r="BD66" t="str">
        <f t="shared" si="15"/>
        <v>-text 9528.36960402197,306 3.5 90 469.145 </v>
      </c>
      <c r="BE66" t="str">
        <f t="shared" si="16"/>
        <v>-text 9528.36960402197,352 3.5 90 ZG19+058.739 </v>
      </c>
      <c r="BF66" t="str">
        <f t="shared" si="17"/>
        <v>-text 9528.36960402197,280 3.5 90 付家坝倒虹管进 </v>
      </c>
      <c r="BG66" t="str">
        <f t="shared" si="18"/>
        <v/>
      </c>
      <c r="BH66" t="str">
        <f t="shared" si="19"/>
        <v> </v>
      </c>
      <c r="BI66" t="str">
        <f t="shared" si="20"/>
        <v> </v>
      </c>
      <c r="BJ66" t="str">
        <f t="shared" si="21"/>
        <v> </v>
      </c>
    </row>
    <row r="67" spans="1:62">
      <c r="A67">
        <v>0</v>
      </c>
      <c r="B67">
        <v>66</v>
      </c>
      <c r="C67" t="s">
        <v>818</v>
      </c>
      <c r="D67" s="49">
        <v>453690.0395</v>
      </c>
      <c r="E67" s="49">
        <v>3392190.0841</v>
      </c>
      <c r="F67" s="47">
        <v>20</v>
      </c>
      <c r="G67" s="47">
        <f t="shared" ref="G67:G76" si="36">ROUND(IF((2*SQRT((D66-D67)^2+(E66-E67)^2)*SQRT((D68-D67)^2+(E68-E67)^2))=0,0,180-ACOS(((D66-D67)^2+(E66-E67)^2+(D68-D67)^2+(E68-E67)^2-(D68-D66)^2-(E68-E66)^2)/(2*SQRT((D66-D67)^2+(E66-E67)^2)*SQRT((D68-D67)^2+(E68-E67)^2)))/PI()*180),3)</f>
        <v>49.263</v>
      </c>
      <c r="H67" s="47">
        <f t="shared" ref="H67:H76" si="37">F67*TAN(PI()/180*G67/2)</f>
        <v>9.17001866553919</v>
      </c>
      <c r="I67" s="47">
        <f t="shared" ref="I67:I76" si="38">F67*G67/180*PI()</f>
        <v>17.1960309881993</v>
      </c>
      <c r="J67" s="47">
        <f t="shared" ref="J67:J76" si="39">SQRT((D67-D66)^2+(E67-E66)^2)</f>
        <v>145.978708718086</v>
      </c>
      <c r="K67" s="48">
        <f t="shared" ref="K67:K76" si="40">L67-I67/2</f>
        <v>19195.5478980965</v>
      </c>
      <c r="L67" s="48">
        <f t="shared" ref="L67:L76" si="41">L66+J67-H67+I67/2+I66/2-H66</f>
        <v>19204.1459135906</v>
      </c>
      <c r="M67" s="48">
        <f t="shared" ref="M67:M76" si="42">K67+I67</f>
        <v>19212.7439290847</v>
      </c>
      <c r="N67" s="47"/>
      <c r="O67" s="47">
        <v>465.19</v>
      </c>
      <c r="P67" s="47">
        <v>0</v>
      </c>
      <c r="Q67" s="49">
        <f t="shared" ref="Q67:Q95" si="43">IF(G67=0,D67,D66+(D67-D66)/J67*(J67-H67))</f>
        <v>453683.427429643</v>
      </c>
      <c r="R67" s="49">
        <f t="shared" ref="R67:R95" si="44">IF(G67=0,E67,E66+(E67-E66)/J67*(J67-H67))</f>
        <v>3392196.43782079</v>
      </c>
      <c r="S67" s="49">
        <f t="shared" si="29"/>
        <v>453690.698789667</v>
      </c>
      <c r="T67" s="49">
        <f t="shared" si="30"/>
        <v>3392191.97447523</v>
      </c>
      <c r="U67" s="49">
        <f t="shared" si="31"/>
        <v>453699.168747681</v>
      </c>
      <c r="V67" s="49">
        <f t="shared" si="32"/>
        <v>3392190.94785871</v>
      </c>
      <c r="AI67" t="str">
        <f t="array" ref="AI67">IFERROR(INDEX($L$2:$L$805,SMALL(IF(ISNUMBER(FIND($AH$2,$C$2:$C$805)),ROW($2:$805)-1,4^8),ROW(A66)))&amp;"","")</f>
        <v>51641.4442961683</v>
      </c>
      <c r="AJ67" t="str">
        <f t="array" ref="AJ67">IFERROR(INDEX($C$2:$C$805,SMALL(IF(ISNUMBER(FIND($AH$2,$C$2:$C$805)),ROW($2:$805)-1,4^8),ROW(B66)))&amp;"","")</f>
        <v>金鸡山隧出</v>
      </c>
      <c r="AS67" t="str">
        <f t="shared" ref="AS67:AS73" si="45">"-text"&amp;" "&amp;D67&amp;","&amp;E67&amp;" "&amp;"10"&amp;" "&amp;"0"&amp;" "&amp;C67</f>
        <v>-text 453690.0395,3392190.0841 10 0 IP32</v>
      </c>
      <c r="AT67" t="str">
        <f t="shared" ref="AT67:AT127" si="46">D67&amp;","&amp;E67</f>
        <v>453690.0395,3392190.0841</v>
      </c>
      <c r="AV67">
        <f t="shared" ref="AV67:AV127" si="47">IF(A67=0,O67+5.5,IF(A67=1,O67+5.2,O67+4.6))</f>
        <v>470.69</v>
      </c>
      <c r="AX67" t="str">
        <f t="shared" ref="AX67:AX127" si="48">"pl "&amp;L67/2&amp;",279 "&amp;L67/2&amp;",400 "</f>
        <v>pl 9602.07295679529,279 9602.07295679529,400 </v>
      </c>
      <c r="AY67" t="str">
        <f t="shared" ref="AY67:AY127" si="49">L67/2&amp;","&amp;O67</f>
        <v>9602.07295679529,465.19</v>
      </c>
      <c r="AZ67" t="str">
        <f t="shared" ref="AZ67:AZ127" si="50">L67/2&amp;","&amp;N67</f>
        <v>9602.07295679529,</v>
      </c>
      <c r="BA67" t="str">
        <f t="shared" ref="BA67:BA127" si="51">L67/2&amp;","&amp;AV67</f>
        <v>9602.07295679529,470.69</v>
      </c>
      <c r="BB67" t="str">
        <f t="shared" ref="BB67:BB127" si="52">"-text "&amp;L67/2-1&amp;",337 3.5 90 "&amp;FIXED(O67,3)&amp;" "</f>
        <v>-text 9601.07295679529,337 3.5 90 465.190 </v>
      </c>
      <c r="BC67" t="str">
        <f t="shared" ref="BC67:BC127" si="53">"-text "&amp;L67/2-1&amp;",320 3.5 90 "&amp;FIXED(AV67,3)&amp;" "</f>
        <v>-text 9601.07295679529,320 3.5 90 470.690 </v>
      </c>
      <c r="BD67" t="str">
        <f t="shared" ref="BD67:BD127" si="54">"-text "&amp;L67/2-1&amp;",306 3.5 90 "&amp;FIXED(N67,3)&amp;" "</f>
        <v>-text 9601.07295679529,306 3.5 90 0.000 </v>
      </c>
      <c r="BE67" t="str">
        <f t="shared" ref="BE67:BE127" si="55">"-text "&amp;L67/2-1&amp;",352 3.5 90 "&amp;"ZG"&amp;TEXT(L67,"0+000.000")&amp;" "</f>
        <v>-text 9601.07295679529,352 3.5 90 ZG19+204.146 </v>
      </c>
      <c r="BF67" t="str">
        <f t="shared" ref="BF67:BF127" si="56">"-text "&amp;L67/2-1&amp;",280 3.5 90 "&amp;C67&amp;" "</f>
        <v>-text 9601.07295679529,280 3.5 90 IP32 </v>
      </c>
      <c r="BG67" t="str">
        <f t="shared" ref="BG67:BG127" si="57">IF(G67&lt;0.01,"",("-TEXT "&amp;L67/2+1&amp;",300 3.5 0 "&amp;"R="&amp;FIXED(F67,0)))</f>
        <v>-TEXT 9603.07295679529,300 3.5 0 R=20</v>
      </c>
      <c r="BH67" t="str">
        <f t="shared" ref="BH67:BH127" si="58">IF(G67&lt;0.01," ",("-TEXT "&amp;L67/2+1&amp;",295 3.5 0 "&amp;"α="&amp;FIXED(G67,2)&amp;"° "))</f>
        <v>-TEXT 9603.07295679529,295 3.5 0 α=49.26° </v>
      </c>
      <c r="BI67" t="str">
        <f t="shared" ref="BI67:BI127" si="59">IF(G67&lt;0.01," ",("-TEXT "&amp;L67/2+1&amp;",290 3.5 0 "&amp;"T="&amp;FIXED(H67,2)&amp;" "))</f>
        <v>-TEXT 9603.07295679529,290 3.5 0 T=9.17 </v>
      </c>
      <c r="BJ67" t="str">
        <f t="shared" ref="BJ67:BJ127" si="60">IF(G67&lt;0.01," ",("-TEXT "&amp;L67/2+1&amp;",285 3.5 0 "&amp;"S="&amp;FIXED(I67,2)&amp;" "))</f>
        <v>-TEXT 9603.07295679529,285 3.5 0 S=17.20 </v>
      </c>
    </row>
    <row r="68" spans="1:62">
      <c r="A68">
        <v>0</v>
      </c>
      <c r="B68">
        <v>67</v>
      </c>
      <c r="C68" t="s">
        <v>819</v>
      </c>
      <c r="D68" s="49">
        <v>453919.1821</v>
      </c>
      <c r="E68" s="49">
        <v>3392211.7643</v>
      </c>
      <c r="F68" s="47">
        <v>20</v>
      </c>
      <c r="G68" s="47">
        <f t="shared" si="36"/>
        <v>39.451</v>
      </c>
      <c r="H68" s="47">
        <f t="shared" si="37"/>
        <v>7.17108066941161</v>
      </c>
      <c r="I68" s="47">
        <f t="shared" si="38"/>
        <v>13.7709968640857</v>
      </c>
      <c r="J68" s="47">
        <f t="shared" si="39"/>
        <v>230.165944932728</v>
      </c>
      <c r="K68" s="48">
        <f t="shared" si="40"/>
        <v>19426.5687746825</v>
      </c>
      <c r="L68" s="48">
        <f t="shared" si="41"/>
        <v>19433.4542731145</v>
      </c>
      <c r="M68" s="48">
        <f t="shared" si="42"/>
        <v>19440.3397715466</v>
      </c>
      <c r="N68" s="47"/>
      <c r="O68" s="47">
        <v>465.19</v>
      </c>
      <c r="P68" s="47">
        <v>0</v>
      </c>
      <c r="Q68" s="49">
        <f t="shared" si="43"/>
        <v>453912.042902801</v>
      </c>
      <c r="R68" s="49">
        <f t="shared" si="44"/>
        <v>3392211.08882882</v>
      </c>
      <c r="S68" s="49">
        <f t="shared" ref="S68:S128" si="61">IF(G68=0," ",(Q68+U68)/2+(D68-(Q68+U68)/2)/(H68*SIN(G68/360*PI()))*(F68-F68*COS(G68/360*PI())))</f>
        <v>453918.873722094</v>
      </c>
      <c r="T68" s="49">
        <f t="shared" ref="T68:T128" si="62">IF(G68=0," ",(R68+V68)/2+(E68-(R68+V68)/2)/(H68*SIN(G68/360*PI()))*(F68-F68*COS(G68/360*PI())))</f>
        <v>3392210.55629321</v>
      </c>
      <c r="U68" s="49">
        <f t="shared" ref="U68:U128" si="63">IF(G68=0," ",D68+(D69-D68)/J69*H68)</f>
        <v>453925.123976546</v>
      </c>
      <c r="V68" s="49">
        <f t="shared" ref="V68:V128" si="64">IF(G68=0," ",E68+(E69-E68)/J69*H68)</f>
        <v>3392207.74951469</v>
      </c>
      <c r="AI68" t="str">
        <f t="array" ref="AI68">IFERROR(INDEX($L$2:$L$805,SMALL(IF(ISNUMBER(FIND($AH$2,$C$2:$C$805)),ROW($2:$805)-1,4^8),ROW(A67)))&amp;"","")</f>
        <v>51953.3624797278</v>
      </c>
      <c r="AJ68" t="str">
        <f t="array" ref="AJ68">IFERROR(INDEX($C$2:$C$805,SMALL(IF(ISNUMBER(FIND($AH$2,$C$2:$C$805)),ROW($2:$805)-1,4^8),ROW(B67)))&amp;"","")</f>
        <v>大梁子1#隧出</v>
      </c>
      <c r="AS68" t="str">
        <f t="shared" si="45"/>
        <v>-text 453919.1821,3392211.7643 10 0 IP33</v>
      </c>
      <c r="AT68" t="str">
        <f t="shared" si="46"/>
        <v>453919.1821,3392211.7643</v>
      </c>
      <c r="AV68">
        <f t="shared" si="47"/>
        <v>470.69</v>
      </c>
      <c r="AX68" t="str">
        <f t="shared" si="48"/>
        <v>pl 9716.72713655725,279 9716.72713655725,400 </v>
      </c>
      <c r="AY68" t="str">
        <f t="shared" si="49"/>
        <v>9716.72713655725,465.19</v>
      </c>
      <c r="AZ68" t="str">
        <f t="shared" si="50"/>
        <v>9716.72713655725,</v>
      </c>
      <c r="BA68" t="str">
        <f t="shared" si="51"/>
        <v>9716.72713655725,470.69</v>
      </c>
      <c r="BB68" t="str">
        <f t="shared" si="52"/>
        <v>-text 9715.72713655725,337 3.5 90 465.190 </v>
      </c>
      <c r="BC68" t="str">
        <f t="shared" si="53"/>
        <v>-text 9715.72713655725,320 3.5 90 470.690 </v>
      </c>
      <c r="BD68" t="str">
        <f t="shared" si="54"/>
        <v>-text 9715.72713655725,306 3.5 90 0.000 </v>
      </c>
      <c r="BE68" t="str">
        <f t="shared" si="55"/>
        <v>-text 9715.72713655725,352 3.5 90 ZG19+433.454 </v>
      </c>
      <c r="BF68" t="str">
        <f t="shared" si="56"/>
        <v>-text 9715.72713655725,280 3.5 90 IP33 </v>
      </c>
      <c r="BG68" t="str">
        <f t="shared" si="57"/>
        <v>-TEXT 9717.72713655725,300 3.5 0 R=20</v>
      </c>
      <c r="BH68" t="str">
        <f t="shared" si="58"/>
        <v>-TEXT 9717.72713655725,295 3.5 0 α=39.45° </v>
      </c>
      <c r="BI68" t="str">
        <f t="shared" si="59"/>
        <v>-TEXT 9717.72713655725,290 3.5 0 T=7.17 </v>
      </c>
      <c r="BJ68" t="str">
        <f t="shared" si="60"/>
        <v>-TEXT 9717.72713655725,285 3.5 0 S=13.77 </v>
      </c>
    </row>
    <row r="69" spans="1:62">
      <c r="A69">
        <v>0</v>
      </c>
      <c r="B69">
        <v>68</v>
      </c>
      <c r="C69" t="s">
        <v>820</v>
      </c>
      <c r="D69" s="49">
        <v>454680.7167</v>
      </c>
      <c r="E69" s="49">
        <v>3391697.2134</v>
      </c>
      <c r="F69" s="47">
        <v>20</v>
      </c>
      <c r="G69" s="47">
        <f t="shared" si="36"/>
        <v>13.644</v>
      </c>
      <c r="H69" s="47">
        <f t="shared" si="37"/>
        <v>2.39264461218743</v>
      </c>
      <c r="I69" s="47">
        <f t="shared" si="38"/>
        <v>4.76265446284213</v>
      </c>
      <c r="J69" s="47">
        <f t="shared" si="39"/>
        <v>919.074303681777</v>
      </c>
      <c r="K69" s="48">
        <f t="shared" si="40"/>
        <v>20349.8503499467</v>
      </c>
      <c r="L69" s="48">
        <f t="shared" si="41"/>
        <v>20352.2316771782</v>
      </c>
      <c r="M69" s="48">
        <f t="shared" si="42"/>
        <v>20354.6130044096</v>
      </c>
      <c r="N69" s="47"/>
      <c r="O69" s="47">
        <v>465.19</v>
      </c>
      <c r="P69" s="47">
        <v>0</v>
      </c>
      <c r="Q69" s="49">
        <f t="shared" si="43"/>
        <v>454678.734181666</v>
      </c>
      <c r="R69" s="49">
        <f t="shared" si="44"/>
        <v>3391698.5529407</v>
      </c>
      <c r="S69" s="49">
        <f t="shared" si="61"/>
        <v>454680.781938944</v>
      </c>
      <c r="T69" s="49">
        <f t="shared" si="62"/>
        <v>3391697.34021006</v>
      </c>
      <c r="U69" s="49">
        <f t="shared" si="63"/>
        <v>454682.959250323</v>
      </c>
      <c r="V69" s="49">
        <f t="shared" si="64"/>
        <v>3391696.37930391</v>
      </c>
      <c r="AI69" t="str">
        <f t="array" ref="AI69">IFERROR(INDEX($L$2:$L$805,SMALL(IF(ISNUMBER(FIND($AH$2,$C$2:$C$805)),ROW($2:$805)-1,4^8),ROW(A68)))&amp;"","")</f>
        <v>52247.038337424</v>
      </c>
      <c r="AJ69" t="str">
        <f t="array" ref="AJ69">IFERROR(INDEX($C$2:$C$805,SMALL(IF(ISNUMBER(FIND($AH$2,$C$2:$C$805)),ROW($2:$805)-1,4^8),ROW(B68)))&amp;"","")</f>
        <v>大梁子2#隧出</v>
      </c>
      <c r="AS69" t="str">
        <f t="shared" si="45"/>
        <v>-text 454680.7167,3391697.2134 10 0 IP34</v>
      </c>
      <c r="AT69" t="str">
        <f t="shared" si="46"/>
        <v>454680.7167,3391697.2134</v>
      </c>
      <c r="AV69">
        <f t="shared" si="47"/>
        <v>470.69</v>
      </c>
      <c r="AX69" t="str">
        <f t="shared" si="48"/>
        <v>pl 10176.1158385891,279 10176.1158385891,400 </v>
      </c>
      <c r="AY69" t="str">
        <f t="shared" si="49"/>
        <v>10176.1158385891,465.19</v>
      </c>
      <c r="AZ69" t="str">
        <f t="shared" si="50"/>
        <v>10176.1158385891,</v>
      </c>
      <c r="BA69" t="str">
        <f t="shared" si="51"/>
        <v>10176.1158385891,470.69</v>
      </c>
      <c r="BB69" t="str">
        <f t="shared" si="52"/>
        <v>-text 10175.1158385891,337 3.5 90 465.190 </v>
      </c>
      <c r="BC69" t="str">
        <f t="shared" si="53"/>
        <v>-text 10175.1158385891,320 3.5 90 470.690 </v>
      </c>
      <c r="BD69" t="str">
        <f t="shared" si="54"/>
        <v>-text 10175.1158385891,306 3.5 90 0.000 </v>
      </c>
      <c r="BE69" t="str">
        <f t="shared" si="55"/>
        <v>-text 10175.1158385891,352 3.5 90 ZG20+352.232 </v>
      </c>
      <c r="BF69" t="str">
        <f t="shared" si="56"/>
        <v>-text 10175.1158385891,280 3.5 90 IP34 </v>
      </c>
      <c r="BG69" t="str">
        <f t="shared" si="57"/>
        <v>-TEXT 10177.1158385891,300 3.5 0 R=20</v>
      </c>
      <c r="BH69" t="str">
        <f t="shared" si="58"/>
        <v>-TEXT 10177.1158385891,295 3.5 0 α=13.64° </v>
      </c>
      <c r="BI69" t="str">
        <f t="shared" si="59"/>
        <v>-TEXT 10177.1158385891,290 3.5 0 T=2.39 </v>
      </c>
      <c r="BJ69" t="str">
        <f t="shared" si="60"/>
        <v>-TEXT 10177.1158385891,285 3.5 0 S=4.76 </v>
      </c>
    </row>
    <row r="70" spans="1:62">
      <c r="A70">
        <v>0</v>
      </c>
      <c r="B70">
        <v>69</v>
      </c>
      <c r="C70" t="s">
        <v>821</v>
      </c>
      <c r="D70" s="49">
        <v>455323.834</v>
      </c>
      <c r="E70" s="49">
        <v>3391458.0118</v>
      </c>
      <c r="F70" s="47">
        <v>20</v>
      </c>
      <c r="G70" s="47">
        <f t="shared" si="36"/>
        <v>55.086</v>
      </c>
      <c r="H70" s="47">
        <f t="shared" si="37"/>
        <v>10.4304258173287</v>
      </c>
      <c r="I70" s="47">
        <f t="shared" si="38"/>
        <v>19.2286414350719</v>
      </c>
      <c r="J70" s="47">
        <f t="shared" si="39"/>
        <v>686.161254372273</v>
      </c>
      <c r="K70" s="48">
        <f t="shared" si="40"/>
        <v>21027.9511883523</v>
      </c>
      <c r="L70" s="48">
        <f t="shared" si="41"/>
        <v>21037.5655090699</v>
      </c>
      <c r="M70" s="48">
        <f t="shared" si="42"/>
        <v>21047.1798297874</v>
      </c>
      <c r="N70" s="47"/>
      <c r="O70" s="47">
        <v>465.19</v>
      </c>
      <c r="P70" s="47">
        <v>0</v>
      </c>
      <c r="Q70" s="49">
        <f t="shared" si="43"/>
        <v>455314.05789089</v>
      </c>
      <c r="R70" s="49">
        <f t="shared" si="44"/>
        <v>3391461.6479344</v>
      </c>
      <c r="S70" s="49">
        <f t="shared" si="61"/>
        <v>455321.935826474</v>
      </c>
      <c r="T70" s="49">
        <f t="shared" si="62"/>
        <v>3391456.29938266</v>
      </c>
      <c r="U70" s="49">
        <f t="shared" si="63"/>
        <v>455326.447677625</v>
      </c>
      <c r="V70" s="49">
        <f t="shared" si="64"/>
        <v>3391447.91415315</v>
      </c>
      <c r="AI70" t="str">
        <f t="array" ref="AI70">IFERROR(INDEX($L$2:$L$805,SMALL(IF(ISNUMBER(FIND($AH$2,$C$2:$C$805)),ROW($2:$805)-1,4^8),ROW(A69)))&amp;"","")</f>
        <v>52427.5830713968</v>
      </c>
      <c r="AJ70" t="str">
        <f t="array" ref="AJ70">IFERROR(INDEX($C$2:$C$805,SMALL(IF(ISNUMBER(FIND($AH$2,$C$2:$C$805)),ROW($2:$805)-1,4^8),ROW(B69)))&amp;"","")</f>
        <v>大梁子渡槽出</v>
      </c>
      <c r="AS70" t="str">
        <f t="shared" si="45"/>
        <v>-text 455323.834,3391458.0118 10 0 IP35</v>
      </c>
      <c r="AT70" t="str">
        <f t="shared" si="46"/>
        <v>455323.834,3391458.0118</v>
      </c>
      <c r="AV70">
        <f t="shared" si="47"/>
        <v>470.69</v>
      </c>
      <c r="AX70" t="str">
        <f t="shared" si="48"/>
        <v>pl 10518.7827545349,279 10518.7827545349,400 </v>
      </c>
      <c r="AY70" t="str">
        <f t="shared" si="49"/>
        <v>10518.7827545349,465.19</v>
      </c>
      <c r="AZ70" t="str">
        <f t="shared" si="50"/>
        <v>10518.7827545349,</v>
      </c>
      <c r="BA70" t="str">
        <f t="shared" si="51"/>
        <v>10518.7827545349,470.69</v>
      </c>
      <c r="BB70" t="str">
        <f t="shared" si="52"/>
        <v>-text 10517.7827545349,337 3.5 90 465.190 </v>
      </c>
      <c r="BC70" t="str">
        <f t="shared" si="53"/>
        <v>-text 10517.7827545349,320 3.5 90 470.690 </v>
      </c>
      <c r="BD70" t="str">
        <f t="shared" si="54"/>
        <v>-text 10517.7827545349,306 3.5 90 0.000 </v>
      </c>
      <c r="BE70" t="str">
        <f t="shared" si="55"/>
        <v>-text 10517.7827545349,352 3.5 90 ZG21+037.566 </v>
      </c>
      <c r="BF70" t="str">
        <f t="shared" si="56"/>
        <v>-text 10517.7827545349,280 3.5 90 IP35 </v>
      </c>
      <c r="BG70" t="str">
        <f t="shared" si="57"/>
        <v>-TEXT 10519.7827545349,300 3.5 0 R=20</v>
      </c>
      <c r="BH70" t="str">
        <f t="shared" si="58"/>
        <v>-TEXT 10519.7827545349,295 3.5 0 α=55.09° </v>
      </c>
      <c r="BI70" t="str">
        <f t="shared" si="59"/>
        <v>-TEXT 10519.7827545349,290 3.5 0 T=10.43 </v>
      </c>
      <c r="BJ70" t="str">
        <f t="shared" si="60"/>
        <v>-TEXT 10519.7827545349,285 3.5 0 S=19.23 </v>
      </c>
    </row>
    <row r="71" spans="1:62">
      <c r="A71">
        <v>0</v>
      </c>
      <c r="B71">
        <v>70</v>
      </c>
      <c r="C71" t="s">
        <v>822</v>
      </c>
      <c r="D71" s="49">
        <v>455357.5071</v>
      </c>
      <c r="E71" s="49">
        <v>3391327.9196</v>
      </c>
      <c r="F71" s="47">
        <v>20</v>
      </c>
      <c r="G71" s="47">
        <f t="shared" si="36"/>
        <v>25.902</v>
      </c>
      <c r="H71" s="47">
        <f t="shared" si="37"/>
        <v>4.59935149046231</v>
      </c>
      <c r="I71" s="47">
        <f t="shared" si="38"/>
        <v>9.04150365703142</v>
      </c>
      <c r="J71" s="47">
        <f t="shared" si="39"/>
        <v>134.37953030283</v>
      </c>
      <c r="K71" s="48">
        <f t="shared" si="40"/>
        <v>21166.5295827824</v>
      </c>
      <c r="L71" s="48">
        <f t="shared" si="41"/>
        <v>21171.050334611</v>
      </c>
      <c r="M71" s="48">
        <f t="shared" si="42"/>
        <v>21175.5710864395</v>
      </c>
      <c r="N71" s="47"/>
      <c r="O71" s="47">
        <v>465.19</v>
      </c>
      <c r="P71" s="47">
        <v>0</v>
      </c>
      <c r="Q71" s="49">
        <f t="shared" si="43"/>
        <v>455356.354585013</v>
      </c>
      <c r="R71" s="49">
        <f t="shared" si="44"/>
        <v>3391332.37221084</v>
      </c>
      <c r="S71" s="49">
        <f t="shared" si="61"/>
        <v>455357.97031323</v>
      </c>
      <c r="T71" s="49">
        <f t="shared" si="62"/>
        <v>3391328.16035449</v>
      </c>
      <c r="U71" s="49">
        <f t="shared" si="63"/>
        <v>455360.488901554</v>
      </c>
      <c r="V71" s="49">
        <f t="shared" si="64"/>
        <v>3391324.41775854</v>
      </c>
      <c r="AI71" t="str">
        <f t="array" ref="AI71">IFERROR(INDEX($L$2:$L$805,SMALL(IF(ISNUMBER(FIND($AH$2,$C$2:$C$805)),ROW($2:$805)-1,4^8),ROW(A70)))&amp;"","")</f>
        <v>52520.8918231098</v>
      </c>
      <c r="AJ71" t="str">
        <f t="array" ref="AJ71">IFERROR(INDEX($C$2:$C$805,SMALL(IF(ISNUMBER(FIND($AH$2,$C$2:$C$805)),ROW($2:$805)-1,4^8),ROW(B70)))&amp;"","")</f>
        <v>麻柳湾泄水闸出</v>
      </c>
      <c r="AS71" t="str">
        <f t="shared" si="45"/>
        <v>-text 455357.5071,3391327.9196 10 0 IP36</v>
      </c>
      <c r="AT71" t="str">
        <f t="shared" si="46"/>
        <v>455357.5071,3391327.9196</v>
      </c>
      <c r="AV71">
        <f t="shared" si="47"/>
        <v>470.69</v>
      </c>
      <c r="AX71" t="str">
        <f t="shared" si="48"/>
        <v>pl 10585.5251673055,279 10585.5251673055,400 </v>
      </c>
      <c r="AY71" t="str">
        <f t="shared" si="49"/>
        <v>10585.5251673055,465.19</v>
      </c>
      <c r="AZ71" t="str">
        <f t="shared" si="50"/>
        <v>10585.5251673055,</v>
      </c>
      <c r="BA71" t="str">
        <f t="shared" si="51"/>
        <v>10585.5251673055,470.69</v>
      </c>
      <c r="BB71" t="str">
        <f t="shared" si="52"/>
        <v>-text 10584.5251673055,337 3.5 90 465.190 </v>
      </c>
      <c r="BC71" t="str">
        <f t="shared" si="53"/>
        <v>-text 10584.5251673055,320 3.5 90 470.690 </v>
      </c>
      <c r="BD71" t="str">
        <f t="shared" si="54"/>
        <v>-text 10584.5251673055,306 3.5 90 0.000 </v>
      </c>
      <c r="BE71" t="str">
        <f t="shared" si="55"/>
        <v>-text 10584.5251673055,352 3.5 90 ZG21+171.050 </v>
      </c>
      <c r="BF71" t="str">
        <f t="shared" si="56"/>
        <v>-text 10584.5251673055,280 3.5 90 IP36 </v>
      </c>
      <c r="BG71" t="str">
        <f t="shared" si="57"/>
        <v>-TEXT 10586.5251673055,300 3.5 0 R=20</v>
      </c>
      <c r="BH71" t="str">
        <f t="shared" si="58"/>
        <v>-TEXT 10586.5251673055,295 3.5 0 α=25.90° </v>
      </c>
      <c r="BI71" t="str">
        <f t="shared" si="59"/>
        <v>-TEXT 10586.5251673055,290 3.5 0 T=4.60 </v>
      </c>
      <c r="BJ71" t="str">
        <f t="shared" si="60"/>
        <v>-TEXT 10586.5251673055,285 3.5 0 S=9.04 </v>
      </c>
    </row>
    <row r="72" spans="1:62">
      <c r="A72">
        <v>0</v>
      </c>
      <c r="B72">
        <v>71</v>
      </c>
      <c r="C72" t="s">
        <v>823</v>
      </c>
      <c r="D72" s="49">
        <v>455428.4972</v>
      </c>
      <c r="E72" s="49">
        <v>3391244.5485</v>
      </c>
      <c r="F72" s="47">
        <v>20</v>
      </c>
      <c r="G72" s="47">
        <f t="shared" si="36"/>
        <v>19.073</v>
      </c>
      <c r="H72" s="47">
        <f t="shared" si="37"/>
        <v>3.35995127388028</v>
      </c>
      <c r="I72" s="47">
        <f t="shared" si="38"/>
        <v>6.65773296465757</v>
      </c>
      <c r="J72" s="47">
        <f t="shared" si="39"/>
        <v>109.500386361131</v>
      </c>
      <c r="K72" s="48">
        <f t="shared" si="40"/>
        <v>21277.1121700363</v>
      </c>
      <c r="L72" s="48">
        <f t="shared" si="41"/>
        <v>21280.4410365186</v>
      </c>
      <c r="M72" s="48">
        <f t="shared" si="42"/>
        <v>21283.7699030009</v>
      </c>
      <c r="N72" s="47"/>
      <c r="O72" s="47">
        <v>465.19</v>
      </c>
      <c r="P72" s="47">
        <v>0</v>
      </c>
      <c r="Q72" s="49">
        <f t="shared" si="43"/>
        <v>455426.318912919</v>
      </c>
      <c r="R72" s="49">
        <f t="shared" si="44"/>
        <v>3391247.10669037</v>
      </c>
      <c r="S72" s="49">
        <f t="shared" ref="S72:S75" si="65">IF(G72=0," ",(Q72+U72)/2+(D72-(Q72+U72)/2)/(H72*SIN(G72/360*PI()))*(F72-F72*COS(G72/360*PI())))</f>
        <v>455428.677534925</v>
      </c>
      <c r="T72" s="49">
        <f t="shared" ref="T72:T75" si="66">IF(G72=0," ",(R72+V72)/2+(E72-(R72+V72)/2)/(H72*SIN(G72/360*PI()))*(F72-F72*COS(G72/360*PI())))</f>
        <v>3391244.76303868</v>
      </c>
      <c r="U72" s="49">
        <f t="shared" ref="U72:U75" si="67">IF(G72=0," ",D72+(D73-D72)/J73*H72)</f>
        <v>455431.391842416</v>
      </c>
      <c r="V72" s="49">
        <f t="shared" ref="V72:V75" si="68">IF(G72=0," ",E72+(E73-E72)/J73*H72)</f>
        <v>3391242.84253463</v>
      </c>
      <c r="AI72" t="str">
        <f t="array" ref="AI72">IFERROR(INDEX($L$2:$L$805,SMALL(IF(ISNUMBER(FIND($AH$2,$C$2:$C$805)),ROW($2:$805)-1,4^8),ROW(A71)))&amp;"","")</f>
        <v>53487.5275262724</v>
      </c>
      <c r="AJ72" t="str">
        <f t="array" ref="AJ72">IFERROR(INDEX($C$2:$C$805,SMALL(IF(ISNUMBER(FIND($AH$2,$C$2:$C$805)),ROW($2:$805)-1,4^8),ROW(B71)))&amp;"","")</f>
        <v>麻柳湾渡槽出</v>
      </c>
      <c r="AS72" t="str">
        <f t="shared" si="45"/>
        <v>-text 455428.4972,3391244.5485 10 0 IP37</v>
      </c>
      <c r="AT72" t="str">
        <f t="shared" si="46"/>
        <v>455428.4972,3391244.5485</v>
      </c>
      <c r="AV72">
        <f t="shared" si="47"/>
        <v>470.69</v>
      </c>
      <c r="AX72" t="str">
        <f t="shared" si="48"/>
        <v>pl 10640.2205182593,279 10640.2205182593,400 </v>
      </c>
      <c r="AY72" t="str">
        <f t="shared" si="49"/>
        <v>10640.2205182593,465.19</v>
      </c>
      <c r="AZ72" t="str">
        <f t="shared" si="50"/>
        <v>10640.2205182593,</v>
      </c>
      <c r="BA72" t="str">
        <f t="shared" si="51"/>
        <v>10640.2205182593,470.69</v>
      </c>
      <c r="BB72" t="str">
        <f t="shared" si="52"/>
        <v>-text 10639.2205182593,337 3.5 90 465.190 </v>
      </c>
      <c r="BC72" t="str">
        <f t="shared" si="53"/>
        <v>-text 10639.2205182593,320 3.5 90 470.690 </v>
      </c>
      <c r="BD72" t="str">
        <f t="shared" si="54"/>
        <v>-text 10639.2205182593,306 3.5 90 0.000 </v>
      </c>
      <c r="BE72" t="str">
        <f t="shared" si="55"/>
        <v>-text 10639.2205182593,352 3.5 90 ZG21+280.441 </v>
      </c>
      <c r="BF72" t="str">
        <f t="shared" si="56"/>
        <v>-text 10639.2205182593,280 3.5 90 IP37 </v>
      </c>
      <c r="BG72" t="str">
        <f t="shared" si="57"/>
        <v>-TEXT 10641.2205182593,300 3.5 0 R=20</v>
      </c>
      <c r="BH72" t="str">
        <f t="shared" si="58"/>
        <v>-TEXT 10641.2205182593,295 3.5 0 α=19.07° </v>
      </c>
      <c r="BI72" t="str">
        <f t="shared" si="59"/>
        <v>-TEXT 10641.2205182593,290 3.5 0 T=3.36 </v>
      </c>
      <c r="BJ72" t="str">
        <f t="shared" si="60"/>
        <v>-TEXT 10641.2205182593,285 3.5 0 S=6.66 </v>
      </c>
    </row>
    <row r="73" spans="1:62">
      <c r="A73">
        <v>0</v>
      </c>
      <c r="B73">
        <v>72</v>
      </c>
      <c r="C73" t="s">
        <v>82</v>
      </c>
      <c r="D73" s="49">
        <v>455557.9706</v>
      </c>
      <c r="E73" s="49">
        <v>3391168.243</v>
      </c>
      <c r="F73" s="47">
        <v>60</v>
      </c>
      <c r="G73" s="47">
        <f t="shared" si="36"/>
        <v>11.876</v>
      </c>
      <c r="H73" s="47">
        <f t="shared" si="37"/>
        <v>6.24061807339082</v>
      </c>
      <c r="I73" s="47">
        <f t="shared" si="38"/>
        <v>12.4365181180108</v>
      </c>
      <c r="J73" s="47">
        <f t="shared" si="39"/>
        <v>150.286029416751</v>
      </c>
      <c r="K73" s="48">
        <f t="shared" si="40"/>
        <v>21424.4553630704</v>
      </c>
      <c r="L73" s="48">
        <f t="shared" si="41"/>
        <v>21430.6736221294</v>
      </c>
      <c r="M73" s="48">
        <f t="shared" si="42"/>
        <v>21436.8918811884</v>
      </c>
      <c r="N73" s="47"/>
      <c r="O73" s="47">
        <v>465.19</v>
      </c>
      <c r="P73" s="47">
        <v>0</v>
      </c>
      <c r="Q73" s="49">
        <f t="shared" si="43"/>
        <v>455552.594225075</v>
      </c>
      <c r="R73" s="49">
        <f t="shared" si="44"/>
        <v>3391171.41158117</v>
      </c>
      <c r="S73" s="49">
        <f t="shared" si="65"/>
        <v>455557.778304074</v>
      </c>
      <c r="T73" s="49">
        <f t="shared" si="66"/>
        <v>3391167.98266015</v>
      </c>
      <c r="U73" s="49">
        <f t="shared" si="67"/>
        <v>455562.579854778</v>
      </c>
      <c r="V73" s="49">
        <f t="shared" si="68"/>
        <v>3391164.03585318</v>
      </c>
      <c r="AI73" t="str">
        <f t="array" ref="AI73">IFERROR(INDEX($L$2:$L$805,SMALL(IF(ISNUMBER(FIND($AH$2,$C$2:$C$805)),ROW($2:$805)-1,4^8),ROW(A72)))&amp;"","")</f>
        <v>53513.8916690914</v>
      </c>
      <c r="AJ73" t="str">
        <f t="array" ref="AJ73">IFERROR(INDEX($C$2:$C$805,SMALL(IF(ISNUMBER(FIND($AH$2,$C$2:$C$805)),ROW($2:$805)-1,4^8),ROW(B72)))&amp;"","")</f>
        <v>长一沟泄水闸出</v>
      </c>
      <c r="AS73" t="str">
        <f t="shared" si="45"/>
        <v>-text 455557.9706,3391168.243 10 0 IP38</v>
      </c>
      <c r="AT73" t="str">
        <f t="shared" si="46"/>
        <v>455557.9706,3391168.243</v>
      </c>
      <c r="AV73">
        <f t="shared" si="47"/>
        <v>470.69</v>
      </c>
      <c r="AX73" t="str">
        <f t="shared" si="48"/>
        <v>pl 10715.3368110647,279 10715.3368110647,400 </v>
      </c>
      <c r="AY73" t="str">
        <f t="shared" si="49"/>
        <v>10715.3368110647,465.19</v>
      </c>
      <c r="AZ73" t="str">
        <f t="shared" si="50"/>
        <v>10715.3368110647,</v>
      </c>
      <c r="BA73" t="str">
        <f t="shared" si="51"/>
        <v>10715.3368110647,470.69</v>
      </c>
      <c r="BB73" t="str">
        <f t="shared" si="52"/>
        <v>-text 10714.3368110647,337 3.5 90 465.190 </v>
      </c>
      <c r="BC73" t="str">
        <f t="shared" si="53"/>
        <v>-text 10714.3368110647,320 3.5 90 470.690 </v>
      </c>
      <c r="BD73" t="str">
        <f t="shared" si="54"/>
        <v>-text 10714.3368110647,306 3.5 90 0.000 </v>
      </c>
      <c r="BE73" t="str">
        <f t="shared" si="55"/>
        <v>-text 10714.3368110647,352 3.5 90 ZG21+430.674 </v>
      </c>
      <c r="BF73" t="str">
        <f t="shared" si="56"/>
        <v>-text 10714.3368110647,280 3.5 90 IP38 </v>
      </c>
      <c r="BG73" t="str">
        <f t="shared" si="57"/>
        <v>-TEXT 10716.3368110647,300 3.5 0 R=60</v>
      </c>
      <c r="BH73" t="str">
        <f t="shared" si="58"/>
        <v>-TEXT 10716.3368110647,295 3.5 0 α=11.88° </v>
      </c>
      <c r="BI73" t="str">
        <f t="shared" si="59"/>
        <v>-TEXT 10716.3368110647,290 3.5 0 T=6.24 </v>
      </c>
      <c r="BJ73" t="str">
        <f t="shared" si="60"/>
        <v>-TEXT 10716.3368110647,285 3.5 0 S=12.44 </v>
      </c>
    </row>
    <row r="74" spans="1:62">
      <c r="A74">
        <v>0</v>
      </c>
      <c r="B74">
        <v>73</v>
      </c>
      <c r="C74" s="47" t="s">
        <v>81</v>
      </c>
      <c r="D74" s="49">
        <v>455565.152</v>
      </c>
      <c r="E74" s="49">
        <v>3391161.6881</v>
      </c>
      <c r="F74" s="47">
        <v>0</v>
      </c>
      <c r="G74" s="47">
        <f>ROUND(IF((2*SQRT((D73-D74)^2+(E73-E74)^2)*SQRT((D75-D74)^2+(E75-E74)^2))=0,0,180-ACOS(((D73-D74)^2+(E73-E74)^2+(D75-D74)^2+(E75-E74)^2-(D75-D73)^2-(E75-E73)^2)/(2*SQRT((D73-D74)^2+(E73-E74)^2)*SQRT((D75-D74)^2+(E75-E74)^2)))/PI()*180),2)</f>
        <v>0</v>
      </c>
      <c r="H74" s="47">
        <f t="shared" si="37"/>
        <v>0</v>
      </c>
      <c r="I74" s="47">
        <f t="shared" si="38"/>
        <v>0</v>
      </c>
      <c r="J74" s="47">
        <f t="shared" si="39"/>
        <v>9.7231280958516</v>
      </c>
      <c r="K74" s="48">
        <f t="shared" si="40"/>
        <v>21440.3743912109</v>
      </c>
      <c r="L74" s="50">
        <f t="shared" si="41"/>
        <v>21440.3743912109</v>
      </c>
      <c r="M74" s="48">
        <f t="shared" si="42"/>
        <v>21440.3743912109</v>
      </c>
      <c r="N74" s="47">
        <v>467.595</v>
      </c>
      <c r="O74" s="47">
        <v>463.64</v>
      </c>
      <c r="P74" s="47">
        <v>0</v>
      </c>
      <c r="Q74" s="49">
        <f t="shared" ref="Q74:Q76" si="69">IF(G74=0,D74,D73+(D74-D73)/J74*(J74-H74))</f>
        <v>455565.152</v>
      </c>
      <c r="R74" s="49">
        <f t="shared" ref="R74:R76" si="70">IF(G74=0,E74,E73+(E74-E73)/J74*(J74-H74))</f>
        <v>3391161.6881</v>
      </c>
      <c r="S74" s="49" t="str">
        <f t="shared" si="65"/>
        <v> </v>
      </c>
      <c r="T74" s="49" t="str">
        <f t="shared" si="66"/>
        <v> </v>
      </c>
      <c r="U74" s="49" t="str">
        <f t="shared" si="67"/>
        <v> </v>
      </c>
      <c r="V74" s="49" t="str">
        <f t="shared" si="68"/>
        <v> </v>
      </c>
      <c r="AI74" t="str">
        <f t="array" ref="AI74">IFERROR(INDEX($L$2:$L$805,SMALL(IF(ISNUMBER(FIND($AH$2,$C$2:$C$805)),ROW($2:$805)-1,4^8),ROW(A73)))&amp;"","")</f>
        <v>54297.8392589807</v>
      </c>
      <c r="AJ74" t="str">
        <f t="array" ref="AJ74">IFERROR(INDEX($C$2:$C$805,SMALL(IF(ISNUMBER(FIND($AH$2,$C$2:$C$805)),ROW($2:$805)-1,4^8),ROW(B73)))&amp;"","")</f>
        <v>长一沟渡槽出</v>
      </c>
      <c r="AT74" t="str">
        <f t="shared" si="46"/>
        <v>455565.152,3391161.6881</v>
      </c>
      <c r="AV74">
        <f t="shared" si="47"/>
        <v>469.14</v>
      </c>
      <c r="AX74" t="str">
        <f t="shared" si="48"/>
        <v>pl 10720.1871956054,279 10720.1871956054,400 </v>
      </c>
      <c r="AY74" t="str">
        <f t="shared" si="49"/>
        <v>10720.1871956054,463.64</v>
      </c>
      <c r="AZ74" t="str">
        <f t="shared" si="50"/>
        <v>10720.1871956054,467.595</v>
      </c>
      <c r="BA74" t="str">
        <f t="shared" si="51"/>
        <v>10720.1871956054,469.14</v>
      </c>
      <c r="BB74" t="str">
        <f t="shared" si="52"/>
        <v>-text 10719.1871956054,337 3.5 90 463.640 </v>
      </c>
      <c r="BC74" t="str">
        <f t="shared" si="53"/>
        <v>-text 10719.1871956054,320 3.5 90 469.140 </v>
      </c>
      <c r="BD74" t="str">
        <f t="shared" si="54"/>
        <v>-text 10719.1871956054,306 3.5 90 467.595 </v>
      </c>
      <c r="BE74" t="str">
        <f t="shared" si="55"/>
        <v>-text 10719.1871956054,352 3.5 90 ZG21+440.374 </v>
      </c>
      <c r="BF74" t="str">
        <f t="shared" si="56"/>
        <v>-text 10719.1871956054,280 3.5 90 付家坝倒虹管出 </v>
      </c>
      <c r="BG74" t="str">
        <f t="shared" si="57"/>
        <v/>
      </c>
      <c r="BH74" t="str">
        <f t="shared" si="58"/>
        <v> </v>
      </c>
      <c r="BI74" t="str">
        <f t="shared" si="59"/>
        <v> </v>
      </c>
      <c r="BJ74" t="str">
        <f t="shared" si="60"/>
        <v> </v>
      </c>
    </row>
    <row r="75" spans="1:62">
      <c r="A75">
        <v>0</v>
      </c>
      <c r="B75">
        <v>74</v>
      </c>
      <c r="C75" s="42" t="str">
        <f>Sheet1!C63</f>
        <v>杨溪河泄水闸进</v>
      </c>
      <c r="D75" s="42">
        <v>455589.9069</v>
      </c>
      <c r="E75" s="42">
        <v>3391139.0913</v>
      </c>
      <c r="F75">
        <v>0</v>
      </c>
      <c r="G75" s="47">
        <f t="shared" si="36"/>
        <v>0</v>
      </c>
      <c r="H75" s="47">
        <f t="shared" si="37"/>
        <v>0</v>
      </c>
      <c r="I75" s="47">
        <f t="shared" si="38"/>
        <v>0</v>
      </c>
      <c r="J75" s="47">
        <f t="shared" si="39"/>
        <v>33.5174647646169</v>
      </c>
      <c r="K75" s="48">
        <f t="shared" si="40"/>
        <v>21473.8918559755</v>
      </c>
      <c r="L75" s="48">
        <f t="shared" si="41"/>
        <v>21473.8918559755</v>
      </c>
      <c r="M75" s="48">
        <f t="shared" si="42"/>
        <v>21473.8918559755</v>
      </c>
      <c r="N75">
        <v>467.583</v>
      </c>
      <c r="O75">
        <v>463.614</v>
      </c>
      <c r="P75">
        <v>0</v>
      </c>
      <c r="Q75" s="49">
        <f t="shared" si="69"/>
        <v>455589.9069</v>
      </c>
      <c r="R75" s="49">
        <f t="shared" si="70"/>
        <v>3391139.0913</v>
      </c>
      <c r="S75" s="49" t="str">
        <f t="shared" si="65"/>
        <v> </v>
      </c>
      <c r="T75" s="49" t="str">
        <f t="shared" si="66"/>
        <v> </v>
      </c>
      <c r="U75" s="49" t="str">
        <f t="shared" si="67"/>
        <v> </v>
      </c>
      <c r="V75" s="49" t="str">
        <f t="shared" si="68"/>
        <v> </v>
      </c>
      <c r="AI75" t="str">
        <f t="array" ref="AI75">IFERROR(INDEX($L$2:$L$805,SMALL(IF(ISNUMBER(FIND($AH$2,$C$2:$C$805)),ROW($2:$805)-1,4^8),ROW(#REF!)))&amp;"","")</f>
        <v/>
      </c>
      <c r="AJ75" t="str">
        <f t="array" ref="AJ75">IFERROR(INDEX($C$2:$C$805,SMALL(IF(ISNUMBER(FIND($AH$2,$C$2:$C$805)),ROW($2:$805)-1,4^8),ROW(#REF!)))&amp;"","")</f>
        <v/>
      </c>
      <c r="AS75" t="str">
        <f>"c "&amp;D75&amp;","&amp;E75&amp;" 1.5"</f>
        <v>c 455589.9069,3391139.0913 1.5</v>
      </c>
      <c r="AT75" t="str">
        <f t="shared" si="46"/>
        <v>455589.9069,3391139.0913</v>
      </c>
      <c r="AV75">
        <f t="shared" si="47"/>
        <v>469.114</v>
      </c>
      <c r="AX75" t="str">
        <f t="shared" si="48"/>
        <v>pl 10736.9459279877,279 10736.9459279877,400 </v>
      </c>
      <c r="AY75" t="str">
        <f t="shared" si="49"/>
        <v>10736.9459279877,463.614</v>
      </c>
      <c r="AZ75" t="str">
        <f t="shared" si="50"/>
        <v>10736.9459279877,467.583</v>
      </c>
      <c r="BA75" t="str">
        <f t="shared" si="51"/>
        <v>10736.9459279877,469.114</v>
      </c>
      <c r="BB75" t="str">
        <f t="shared" si="52"/>
        <v>-text 10735.9459279877,337 3.5 90 463.614 </v>
      </c>
      <c r="BC75" t="str">
        <f t="shared" si="53"/>
        <v>-text 10735.9459279877,320 3.5 90 469.114 </v>
      </c>
      <c r="BD75" t="str">
        <f t="shared" si="54"/>
        <v>-text 10735.9459279877,306 3.5 90 467.583 </v>
      </c>
      <c r="BE75" t="str">
        <f t="shared" si="55"/>
        <v>-text 10735.9459279877,352 3.5 90 ZG21+473.892 </v>
      </c>
      <c r="BF75" t="str">
        <f t="shared" si="56"/>
        <v>-text 10735.9459279877,280 3.5 90 杨溪河泄水闸进 </v>
      </c>
      <c r="BG75" t="str">
        <f t="shared" si="57"/>
        <v/>
      </c>
      <c r="BH75" t="str">
        <f t="shared" si="58"/>
        <v> </v>
      </c>
      <c r="BI75" t="str">
        <f t="shared" si="59"/>
        <v> </v>
      </c>
      <c r="BJ75" t="str">
        <f t="shared" si="60"/>
        <v> </v>
      </c>
    </row>
    <row r="76" spans="1:62">
      <c r="A76">
        <v>0</v>
      </c>
      <c r="B76">
        <v>75</v>
      </c>
      <c r="C76" s="42" t="str">
        <f>Sheet1!C64</f>
        <v>杨溪河泄水闸出</v>
      </c>
      <c r="D76" s="42">
        <v>455589.9069</v>
      </c>
      <c r="E76" s="42">
        <v>3391139.0913</v>
      </c>
      <c r="F76">
        <v>0</v>
      </c>
      <c r="G76" s="47">
        <f t="shared" si="36"/>
        <v>0</v>
      </c>
      <c r="H76" s="47">
        <f t="shared" si="37"/>
        <v>0</v>
      </c>
      <c r="I76" s="47">
        <f t="shared" si="38"/>
        <v>0</v>
      </c>
      <c r="J76" s="47">
        <f t="shared" si="39"/>
        <v>0</v>
      </c>
      <c r="K76" s="48">
        <f t="shared" si="40"/>
        <v>21473.8918559755</v>
      </c>
      <c r="L76" s="48">
        <f t="shared" si="41"/>
        <v>21473.8918559755</v>
      </c>
      <c r="M76" s="48">
        <f t="shared" si="42"/>
        <v>21473.8918559755</v>
      </c>
      <c r="N76">
        <v>467.553</v>
      </c>
      <c r="O76">
        <v>463.584</v>
      </c>
      <c r="P76">
        <v>0</v>
      </c>
      <c r="Q76" s="49">
        <f t="shared" si="69"/>
        <v>455589.9069</v>
      </c>
      <c r="R76" s="49">
        <f t="shared" si="70"/>
        <v>3391139.0913</v>
      </c>
      <c r="S76" s="49" t="str">
        <f t="shared" ref="S76" si="71">IF(G76=0," ",(Q76+U76)/2+(D76-(Q76+U76)/2)/(H76*SIN(G76/360*PI()))*(F76-F76*COS(G76/360*PI())))</f>
        <v> </v>
      </c>
      <c r="T76" s="49" t="str">
        <f t="shared" ref="T76" si="72">IF(G76=0," ",(R76+V76)/2+(E76-(R76+V76)/2)/(H76*SIN(G76/360*PI()))*(F76-F76*COS(G76/360*PI())))</f>
        <v> </v>
      </c>
      <c r="U76" s="49" t="str">
        <f t="shared" ref="U76" si="73">IF(G76=0," ",D76+(D77-D76)/J77*H76)</f>
        <v> </v>
      </c>
      <c r="V76" s="49" t="str">
        <f t="shared" ref="V76" si="74">IF(G76=0," ",E76+(E77-E76)/J77*H76)</f>
        <v> </v>
      </c>
      <c r="AI76" t="str">
        <f t="array" ref="AI76">IFERROR(INDEX($L$2:$L$805,SMALL(IF(ISNUMBER(FIND($AH$2,$C$2:$C$805)),ROW($2:$805)-1,4^8),ROW(A75)))&amp;"","")</f>
        <v>56053.0078677678</v>
      </c>
      <c r="AJ76" t="str">
        <f t="array" ref="AJ76">IFERROR(INDEX($C$2:$C$805,SMALL(IF(ISNUMBER(FIND($AH$2,$C$2:$C$805)),ROW($2:$805)-1,4^8),ROW(B75)))&amp;"","")</f>
        <v>金堂坳隧出</v>
      </c>
      <c r="AT76" t="str">
        <f t="shared" si="46"/>
        <v>455589.9069,3391139.0913</v>
      </c>
      <c r="AV76">
        <f t="shared" si="47"/>
        <v>469.084</v>
      </c>
      <c r="AX76" t="str">
        <f t="shared" si="48"/>
        <v>pl 10736.9459279877,279 10736.9459279877,400 </v>
      </c>
      <c r="AY76" t="str">
        <f t="shared" si="49"/>
        <v>10736.9459279877,463.584</v>
      </c>
      <c r="AZ76" t="str">
        <f t="shared" si="50"/>
        <v>10736.9459279877,467.553</v>
      </c>
      <c r="BA76" t="str">
        <f t="shared" si="51"/>
        <v>10736.9459279877,469.084</v>
      </c>
      <c r="BB76" t="str">
        <f t="shared" si="52"/>
        <v>-text 10735.9459279877,337 3.5 90 463.584 </v>
      </c>
      <c r="BC76" t="str">
        <f t="shared" si="53"/>
        <v>-text 10735.9459279877,320 3.5 90 469.084 </v>
      </c>
      <c r="BD76" t="str">
        <f t="shared" si="54"/>
        <v>-text 10735.9459279877,306 3.5 90 467.553 </v>
      </c>
      <c r="BE76" t="str">
        <f t="shared" si="55"/>
        <v>-text 10735.9459279877,352 3.5 90 ZG21+473.892 </v>
      </c>
      <c r="BF76" t="str">
        <f t="shared" si="56"/>
        <v>-text 10735.9459279877,280 3.5 90 杨溪河泄水闸出 </v>
      </c>
      <c r="BG76" t="str">
        <f t="shared" si="57"/>
        <v/>
      </c>
      <c r="BH76" t="str">
        <f t="shared" si="58"/>
        <v> </v>
      </c>
      <c r="BI76" t="str">
        <f t="shared" si="59"/>
        <v> </v>
      </c>
      <c r="BJ76" t="str">
        <f t="shared" si="60"/>
        <v> </v>
      </c>
    </row>
    <row r="77" spans="1:62">
      <c r="A77">
        <v>2</v>
      </c>
      <c r="B77">
        <v>76</v>
      </c>
      <c r="C77" t="str">
        <f>Sheet1!C65</f>
        <v>杨溪河渡槽进</v>
      </c>
      <c r="D77">
        <v>455619.132</v>
      </c>
      <c r="E77">
        <v>3391112.414</v>
      </c>
      <c r="F77">
        <v>0</v>
      </c>
      <c r="G77">
        <f t="shared" ref="G77:G128" si="75">ROUND(IF((2*SQRT((D76-D77)^2+(E76-E77)^2)*SQRT((D78-D77)^2+(E78-E77)^2))=0,0,180-ACOS(((D76-D77)^2+(E76-E77)^2+(D78-D77)^2+(E78-E77)^2-(D78-D76)^2-(E78-E76)^2)/(2*SQRT((D76-D77)^2+(E76-E77)^2)*SQRT((D78-D77)^2+(E78-E77)^2)))/PI()*180),3)</f>
        <v>0</v>
      </c>
      <c r="H77">
        <f t="shared" ref="H77:H128" si="76">F77*TAN(PI()/180*G77/2)</f>
        <v>0</v>
      </c>
      <c r="I77">
        <f t="shared" ref="I77:I128" si="77">F77*G77/180*PI()</f>
        <v>0</v>
      </c>
      <c r="J77">
        <f t="shared" ref="J77:J128" si="78">SQRT((D77-D76)^2+(E77-E76)^2)</f>
        <v>39.5699988034385</v>
      </c>
      <c r="K77" s="40">
        <f t="shared" ref="K77:K128" si="79">L77-I77/2</f>
        <v>21513.4618547789</v>
      </c>
      <c r="L77" s="40">
        <f t="shared" ref="L77:L128" si="80">L76+J77-H77+I77/2+I76/2-H76</f>
        <v>21513.4618547789</v>
      </c>
      <c r="M77" s="40">
        <f t="shared" ref="M77:M128" si="81">K77+I77</f>
        <v>21513.4618547789</v>
      </c>
      <c r="N77">
        <v>467.426</v>
      </c>
      <c r="O77">
        <v>463.543</v>
      </c>
      <c r="P77">
        <v>0</v>
      </c>
      <c r="Q77" s="39">
        <f t="shared" si="43"/>
        <v>455619.132</v>
      </c>
      <c r="R77" s="39">
        <f t="shared" si="44"/>
        <v>3391112.414</v>
      </c>
      <c r="S77" s="39" t="str">
        <f t="shared" si="61"/>
        <v> </v>
      </c>
      <c r="T77" s="39" t="str">
        <f t="shared" si="62"/>
        <v> </v>
      </c>
      <c r="U77" s="39" t="str">
        <f t="shared" si="63"/>
        <v> </v>
      </c>
      <c r="V77" s="39" t="str">
        <f t="shared" si="64"/>
        <v> </v>
      </c>
      <c r="AI77" t="str">
        <f t="array" ref="AI77">IFERROR(INDEX($L$2:$L$805,SMALL(IF(ISNUMBER(FIND($AH$2,$C$2:$C$805)),ROW($2:$805)-1,4^8),ROW(A76)))&amp;"","")</f>
        <v>56693.8061637031</v>
      </c>
      <c r="AJ77" t="str">
        <f t="array" ref="AJ77">IFERROR(INDEX($C$2:$C$805,SMALL(IF(ISNUMBER(FIND($AH$2,$C$2:$C$805)),ROW($2:$805)-1,4^8),ROW(B76)))&amp;"","")</f>
        <v>堡镇湾隧出</v>
      </c>
      <c r="AT77" t="str">
        <f t="shared" si="46"/>
        <v>455619.132,3391112.414</v>
      </c>
      <c r="AV77">
        <f t="shared" si="47"/>
        <v>468.143</v>
      </c>
      <c r="AX77" t="str">
        <f t="shared" si="48"/>
        <v>pl 10756.7309273895,279 10756.7309273895,400 </v>
      </c>
      <c r="AY77" t="str">
        <f t="shared" si="49"/>
        <v>10756.7309273895,463.543</v>
      </c>
      <c r="AZ77" t="str">
        <f t="shared" si="50"/>
        <v>10756.7309273895,467.426</v>
      </c>
      <c r="BA77" t="str">
        <f t="shared" si="51"/>
        <v>10756.7309273895,468.143</v>
      </c>
      <c r="BB77" t="str">
        <f t="shared" si="52"/>
        <v>-text 10755.7309273895,337 3.5 90 463.543 </v>
      </c>
      <c r="BC77" t="str">
        <f t="shared" si="53"/>
        <v>-text 10755.7309273895,320 3.5 90 468.143 </v>
      </c>
      <c r="BD77" t="str">
        <f t="shared" si="54"/>
        <v>-text 10755.7309273895,306 3.5 90 467.426 </v>
      </c>
      <c r="BE77" t="str">
        <f t="shared" si="55"/>
        <v>-text 10755.7309273895,352 3.5 90 ZG21+513.462 </v>
      </c>
      <c r="BF77" t="str">
        <f t="shared" si="56"/>
        <v>-text 10755.7309273895,280 3.5 90 杨溪河渡槽进 </v>
      </c>
      <c r="BG77" t="str">
        <f t="shared" si="57"/>
        <v/>
      </c>
      <c r="BH77" t="str">
        <f t="shared" si="58"/>
        <v> </v>
      </c>
      <c r="BI77" t="str">
        <f t="shared" si="59"/>
        <v> </v>
      </c>
      <c r="BJ77" t="str">
        <f t="shared" si="60"/>
        <v> </v>
      </c>
    </row>
    <row r="78" spans="1:62">
      <c r="A78">
        <v>2</v>
      </c>
      <c r="B78">
        <v>77</v>
      </c>
      <c r="C78" t="s">
        <v>86</v>
      </c>
      <c r="D78">
        <v>455660.571</v>
      </c>
      <c r="E78">
        <v>3391074.5876</v>
      </c>
      <c r="F78">
        <v>80</v>
      </c>
      <c r="G78">
        <f t="shared" si="75"/>
        <v>25.715</v>
      </c>
      <c r="H78">
        <f t="shared" si="76"/>
        <v>18.2600025954799</v>
      </c>
      <c r="I78">
        <f t="shared" si="77"/>
        <v>35.9049133720273</v>
      </c>
      <c r="J78">
        <f t="shared" si="78"/>
        <v>56.1072834660186</v>
      </c>
      <c r="K78" s="40">
        <f t="shared" si="79"/>
        <v>21551.3091356495</v>
      </c>
      <c r="L78" s="40">
        <f t="shared" si="80"/>
        <v>21569.2615923355</v>
      </c>
      <c r="M78" s="40">
        <f t="shared" si="81"/>
        <v>21587.2140490215</v>
      </c>
      <c r="N78">
        <v>467.399</v>
      </c>
      <c r="O78">
        <v>463.516</v>
      </c>
      <c r="P78">
        <v>0.003</v>
      </c>
      <c r="Q78" s="39">
        <f t="shared" si="43"/>
        <v>455647.084760767</v>
      </c>
      <c r="R78" s="39">
        <f t="shared" si="44"/>
        <v>3391086.89812583</v>
      </c>
      <c r="S78" s="39">
        <f t="shared" si="61"/>
        <v>455658.880524683</v>
      </c>
      <c r="T78" s="39">
        <f t="shared" si="62"/>
        <v>3391073.41478957</v>
      </c>
      <c r="U78" s="39">
        <f t="shared" si="63"/>
        <v>455667.380110145</v>
      </c>
      <c r="V78" s="39">
        <f t="shared" si="64"/>
        <v>3391057.6446453</v>
      </c>
      <c r="AI78" t="str">
        <f t="array" ref="AI78">IFERROR(INDEX($L$2:$L$805,SMALL(IF(ISNUMBER(FIND($AH$2,$C$2:$C$805)),ROW($2:$805)-1,4^8),ROW(A77)))&amp;"","")</f>
        <v>57515.0761514587</v>
      </c>
      <c r="AJ78" t="str">
        <f t="array" ref="AJ78">IFERROR(INDEX($C$2:$C$805,SMALL(IF(ISNUMBER(FIND($AH$2,$C$2:$C$805)),ROW($2:$805)-1,4^8),ROW(B77)))&amp;"","")</f>
        <v>东岳隧出</v>
      </c>
      <c r="AS78" t="str">
        <f t="shared" ref="AS78:AS85" si="82">"-text"&amp;" "&amp;D78&amp;","&amp;E78&amp;" "&amp;"10"&amp;" "&amp;"0"&amp;" "&amp;C78</f>
        <v>-text 455660.571,3391074.5876 10 0 IP39</v>
      </c>
      <c r="AT78" t="str">
        <f t="shared" si="46"/>
        <v>455660.571,3391074.5876</v>
      </c>
      <c r="AV78">
        <f t="shared" si="47"/>
        <v>468.116</v>
      </c>
      <c r="AX78" t="str">
        <f t="shared" si="48"/>
        <v>pl 10784.6307961677,279 10784.6307961677,400 </v>
      </c>
      <c r="AY78" t="str">
        <f t="shared" si="49"/>
        <v>10784.6307961677,463.516</v>
      </c>
      <c r="AZ78" t="str">
        <f t="shared" si="50"/>
        <v>10784.6307961677,467.399</v>
      </c>
      <c r="BA78" t="str">
        <f t="shared" si="51"/>
        <v>10784.6307961677,468.116</v>
      </c>
      <c r="BB78" t="str">
        <f t="shared" si="52"/>
        <v>-text 10783.6307961677,337 3.5 90 463.516 </v>
      </c>
      <c r="BC78" t="str">
        <f t="shared" si="53"/>
        <v>-text 10783.6307961677,320 3.5 90 468.116 </v>
      </c>
      <c r="BD78" t="str">
        <f t="shared" si="54"/>
        <v>-text 10783.6307961677,306 3.5 90 467.399 </v>
      </c>
      <c r="BE78" t="str">
        <f t="shared" si="55"/>
        <v>-text 10783.6307961677,352 3.5 90 ZG21+569.262 </v>
      </c>
      <c r="BF78" t="str">
        <f t="shared" si="56"/>
        <v>-text 10783.6307961677,280 3.5 90 IP39 </v>
      </c>
      <c r="BG78" t="str">
        <f t="shared" si="57"/>
        <v>-TEXT 10785.6307961677,300 3.5 0 R=80</v>
      </c>
      <c r="BH78" t="str">
        <f t="shared" si="58"/>
        <v>-TEXT 10785.6307961677,295 3.5 0 α=25.72° </v>
      </c>
      <c r="BI78" t="str">
        <f t="shared" si="59"/>
        <v>-TEXT 10785.6307961677,290 3.5 0 T=18.26 </v>
      </c>
      <c r="BJ78" t="str">
        <f t="shared" si="60"/>
        <v>-TEXT 10785.6307961677,285 3.5 0 S=35.90 </v>
      </c>
    </row>
    <row r="79" spans="1:62">
      <c r="A79">
        <v>2</v>
      </c>
      <c r="B79">
        <v>78</v>
      </c>
      <c r="C79" t="s">
        <v>87</v>
      </c>
      <c r="D79">
        <v>455743.1634</v>
      </c>
      <c r="E79">
        <v>3390869.0748</v>
      </c>
      <c r="F79">
        <v>80</v>
      </c>
      <c r="G79">
        <f t="shared" si="75"/>
        <v>48.018</v>
      </c>
      <c r="H79">
        <f t="shared" si="76"/>
        <v>35.633353262384</v>
      </c>
      <c r="I79">
        <f t="shared" si="77"/>
        <v>67.045776017811</v>
      </c>
      <c r="J79">
        <f t="shared" si="78"/>
        <v>221.488183661482</v>
      </c>
      <c r="K79" s="40">
        <f t="shared" si="79"/>
        <v>21754.8088768251</v>
      </c>
      <c r="L79" s="40">
        <f t="shared" si="80"/>
        <v>21788.331764834</v>
      </c>
      <c r="M79" s="40">
        <f t="shared" si="81"/>
        <v>21821.8546528429</v>
      </c>
      <c r="N79">
        <v>467.295</v>
      </c>
      <c r="O79">
        <v>463.412</v>
      </c>
      <c r="P79">
        <v>0.006</v>
      </c>
      <c r="Q79" s="39">
        <f t="shared" si="43"/>
        <v>455729.875810038</v>
      </c>
      <c r="R79" s="39">
        <f t="shared" si="44"/>
        <v>3390902.13800943</v>
      </c>
      <c r="S79" s="39">
        <f t="shared" si="61"/>
        <v>455748.435997597</v>
      </c>
      <c r="T79" s="39">
        <f t="shared" si="62"/>
        <v>3390874.5163028</v>
      </c>
      <c r="U79" s="39">
        <f t="shared" si="63"/>
        <v>455776.629026473</v>
      </c>
      <c r="V79" s="39">
        <f t="shared" si="64"/>
        <v>3390856.83602108</v>
      </c>
      <c r="AI79" t="str">
        <f t="array" ref="AI79">IFERROR(INDEX($L$2:$L$805,SMALL(IF(ISNUMBER(FIND($AH$2,$C$2:$C$805)),ROW($2:$805)-1,4^8),ROW(A78)))&amp;"","")</f>
        <v>58161.6699122272</v>
      </c>
      <c r="AJ79" t="str">
        <f t="array" ref="AJ79">IFERROR(INDEX($C$2:$C$805,SMALL(IF(ISNUMBER(FIND($AH$2,$C$2:$C$805)),ROW($2:$805)-1,4^8),ROW(B78)))&amp;"","")</f>
        <v>刘家沟渡槽出</v>
      </c>
      <c r="AS79" t="str">
        <f t="shared" si="82"/>
        <v>-text 455743.1634,3390869.0748 10 0 IP40</v>
      </c>
      <c r="AT79" t="str">
        <f t="shared" si="46"/>
        <v>455743.1634,3390869.0748</v>
      </c>
      <c r="AV79">
        <f t="shared" si="47"/>
        <v>468.012</v>
      </c>
      <c r="AX79" t="str">
        <f t="shared" si="48"/>
        <v>pl 10894.165882417,279 10894.165882417,400 </v>
      </c>
      <c r="AY79" t="str">
        <f t="shared" si="49"/>
        <v>10894.165882417,463.412</v>
      </c>
      <c r="AZ79" t="str">
        <f t="shared" si="50"/>
        <v>10894.165882417,467.295</v>
      </c>
      <c r="BA79" t="str">
        <f t="shared" si="51"/>
        <v>10894.165882417,468.012</v>
      </c>
      <c r="BB79" t="str">
        <f t="shared" si="52"/>
        <v>-text 10893.165882417,337 3.5 90 463.412 </v>
      </c>
      <c r="BC79" t="str">
        <f t="shared" si="53"/>
        <v>-text 10893.165882417,320 3.5 90 468.012 </v>
      </c>
      <c r="BD79" t="str">
        <f t="shared" si="54"/>
        <v>-text 10893.165882417,306 3.5 90 467.295 </v>
      </c>
      <c r="BE79" t="str">
        <f t="shared" si="55"/>
        <v>-text 10893.165882417,352 3.5 90 ZG21+788.332 </v>
      </c>
      <c r="BF79" t="str">
        <f t="shared" si="56"/>
        <v>-text 10893.165882417,280 3.5 90 IP40 </v>
      </c>
      <c r="BG79" t="str">
        <f t="shared" si="57"/>
        <v>-TEXT 10895.165882417,300 3.5 0 R=80</v>
      </c>
      <c r="BH79" t="str">
        <f t="shared" si="58"/>
        <v>-TEXT 10895.165882417,295 3.5 0 α=48.02° </v>
      </c>
      <c r="BI79" t="str">
        <f t="shared" si="59"/>
        <v>-TEXT 10895.165882417,290 3.5 0 T=35.63 </v>
      </c>
      <c r="BJ79" t="str">
        <f t="shared" si="60"/>
        <v>-TEXT 10895.165882417,285 3.5 0 S=67.05 </v>
      </c>
    </row>
    <row r="80" spans="1:62">
      <c r="A80">
        <v>2</v>
      </c>
      <c r="B80">
        <v>79</v>
      </c>
      <c r="C80" t="s">
        <v>88</v>
      </c>
      <c r="D80">
        <v>456407.9626</v>
      </c>
      <c r="E80">
        <v>3390625.9498</v>
      </c>
      <c r="F80">
        <v>80</v>
      </c>
      <c r="G80">
        <f t="shared" si="75"/>
        <v>24.207</v>
      </c>
      <c r="H80">
        <f t="shared" si="76"/>
        <v>17.1556255288053</v>
      </c>
      <c r="I80">
        <f t="shared" si="77"/>
        <v>33.7993481624214</v>
      </c>
      <c r="J80">
        <f t="shared" si="78"/>
        <v>707.861386110057</v>
      </c>
      <c r="K80" s="40">
        <f t="shared" si="79"/>
        <v>22476.9270601618</v>
      </c>
      <c r="L80" s="40">
        <f t="shared" si="80"/>
        <v>22493.826734243</v>
      </c>
      <c r="M80" s="40">
        <f t="shared" si="81"/>
        <v>22510.7264083242</v>
      </c>
      <c r="N80">
        <v>466.97</v>
      </c>
      <c r="O80">
        <v>463.087</v>
      </c>
      <c r="P80">
        <v>0.003</v>
      </c>
      <c r="Q80" s="39">
        <f t="shared" si="43"/>
        <v>456391.850623346</v>
      </c>
      <c r="R80" s="39">
        <f t="shared" si="44"/>
        <v>3390631.84214211</v>
      </c>
      <c r="S80" s="39">
        <f t="shared" si="61"/>
        <v>456406.99364825</v>
      </c>
      <c r="T80" s="39">
        <f t="shared" si="62"/>
        <v>3390624.41061985</v>
      </c>
      <c r="U80" s="39">
        <f t="shared" si="63"/>
        <v>456420.241848413</v>
      </c>
      <c r="V80" s="39">
        <f t="shared" si="64"/>
        <v>3390613.96916789</v>
      </c>
      <c r="AI80" t="str">
        <f t="array" ref="AI80">IFERROR(INDEX($L$2:$L$805,SMALL(IF(ISNUMBER(FIND($AH$2,$C$2:$C$805)),ROW($2:$805)-1,4^8),ROW(A79)))&amp;"","")</f>
        <v>58835.0967642521</v>
      </c>
      <c r="AJ80" t="str">
        <f t="array" ref="AJ80">IFERROR(INDEX($C$2:$C$805,SMALL(IF(ISNUMBER(FIND($AH$2,$C$2:$C$805)),ROW($2:$805)-1,4^8),ROW(B79)))&amp;"","")</f>
        <v>祠堂湾隧出</v>
      </c>
      <c r="AS80" t="str">
        <f t="shared" si="82"/>
        <v>-text 456407.9626,3390625.9498 10 0 IP41</v>
      </c>
      <c r="AT80" t="str">
        <f t="shared" si="46"/>
        <v>456407.9626,3390625.9498</v>
      </c>
      <c r="AV80">
        <f t="shared" si="47"/>
        <v>467.687</v>
      </c>
      <c r="AX80" t="str">
        <f t="shared" si="48"/>
        <v>pl 11246.9133671215,279 11246.9133671215,400 </v>
      </c>
      <c r="AY80" t="str">
        <f t="shared" si="49"/>
        <v>11246.9133671215,463.087</v>
      </c>
      <c r="AZ80" t="str">
        <f t="shared" si="50"/>
        <v>11246.9133671215,466.97</v>
      </c>
      <c r="BA80" t="str">
        <f t="shared" si="51"/>
        <v>11246.9133671215,467.687</v>
      </c>
      <c r="BB80" t="str">
        <f t="shared" si="52"/>
        <v>-text 11245.9133671215,337 3.5 90 463.087 </v>
      </c>
      <c r="BC80" t="str">
        <f t="shared" si="53"/>
        <v>-text 11245.9133671215,320 3.5 90 467.687 </v>
      </c>
      <c r="BD80" t="str">
        <f t="shared" si="54"/>
        <v>-text 11245.9133671215,306 3.5 90 466.970 </v>
      </c>
      <c r="BE80" t="str">
        <f t="shared" si="55"/>
        <v>-text 11245.9133671215,352 3.5 90 ZG22+493.827 </v>
      </c>
      <c r="BF80" t="str">
        <f t="shared" si="56"/>
        <v>-text 11245.9133671215,280 3.5 90 IP41 </v>
      </c>
      <c r="BG80" t="str">
        <f t="shared" si="57"/>
        <v>-TEXT 11247.9133671215,300 3.5 0 R=80</v>
      </c>
      <c r="BH80" t="str">
        <f t="shared" si="58"/>
        <v>-TEXT 11247.9133671215,295 3.5 0 α=24.21° </v>
      </c>
      <c r="BI80" t="str">
        <f t="shared" si="59"/>
        <v>-TEXT 11247.9133671215,290 3.5 0 T=17.16 </v>
      </c>
      <c r="BJ80" t="str">
        <f t="shared" si="60"/>
        <v>-TEXT 11247.9133671215,285 3.5 0 S=33.80 </v>
      </c>
    </row>
    <row r="81" spans="1:62">
      <c r="A81">
        <v>2</v>
      </c>
      <c r="B81">
        <v>80</v>
      </c>
      <c r="C81" t="s">
        <v>89</v>
      </c>
      <c r="D81">
        <v>456638.225</v>
      </c>
      <c r="E81">
        <v>3390401.2871</v>
      </c>
      <c r="F81">
        <v>80</v>
      </c>
      <c r="G81">
        <f t="shared" si="75"/>
        <v>22.904</v>
      </c>
      <c r="H81">
        <f t="shared" si="76"/>
        <v>16.2064010137242</v>
      </c>
      <c r="I81">
        <f t="shared" si="77"/>
        <v>31.9800169501425</v>
      </c>
      <c r="J81">
        <f t="shared" si="78"/>
        <v>321.704991607412</v>
      </c>
      <c r="K81" s="40">
        <f t="shared" si="79"/>
        <v>22799.0693733891</v>
      </c>
      <c r="L81" s="40">
        <f t="shared" si="80"/>
        <v>22815.0593818642</v>
      </c>
      <c r="M81" s="40">
        <f t="shared" si="81"/>
        <v>22831.0493903392</v>
      </c>
      <c r="N81">
        <v>466.821</v>
      </c>
      <c r="O81">
        <v>462.938</v>
      </c>
      <c r="P81">
        <v>0.003</v>
      </c>
      <c r="Q81" s="39">
        <f t="shared" si="43"/>
        <v>456626.625165089</v>
      </c>
      <c r="R81" s="39">
        <f t="shared" si="44"/>
        <v>3390412.60484111</v>
      </c>
      <c r="S81" s="39">
        <f t="shared" si="61"/>
        <v>456639.106330192</v>
      </c>
      <c r="T81" s="39">
        <f t="shared" si="62"/>
        <v>3390402.65242916</v>
      </c>
      <c r="U81" s="39">
        <f t="shared" si="63"/>
        <v>456653.315063547</v>
      </c>
      <c r="V81" s="39">
        <f t="shared" si="64"/>
        <v>3390395.3763119</v>
      </c>
      <c r="AI81" t="str">
        <f t="array" ref="AI81">IFERROR(INDEX($L$2:$L$805,SMALL(IF(ISNUMBER(FIND($AH$2,$C$2:$C$805)),ROW($2:$805)-1,4^8),ROW(A80)))&amp;"","")</f>
        <v>59060.0028662811</v>
      </c>
      <c r="AJ81" t="str">
        <f t="array" ref="AJ81">IFERROR(INDEX($C$2:$C$805,SMALL(IF(ISNUMBER(FIND($AH$2,$C$2:$C$805)),ROW($2:$805)-1,4^8),ROW(B80)))&amp;"","")</f>
        <v>叶家沟渡槽出</v>
      </c>
      <c r="AS81" t="str">
        <f t="shared" si="82"/>
        <v>-text 456638.225,3390401.2871 10 0 IP42</v>
      </c>
      <c r="AT81" t="str">
        <f t="shared" si="46"/>
        <v>456638.225,3390401.2871</v>
      </c>
      <c r="AV81">
        <f t="shared" si="47"/>
        <v>467.538</v>
      </c>
      <c r="AX81" t="str">
        <f t="shared" si="48"/>
        <v>pl 11407.5296909321,279 11407.5296909321,400 </v>
      </c>
      <c r="AY81" t="str">
        <f t="shared" si="49"/>
        <v>11407.5296909321,462.938</v>
      </c>
      <c r="AZ81" t="str">
        <f t="shared" si="50"/>
        <v>11407.5296909321,466.821</v>
      </c>
      <c r="BA81" t="str">
        <f t="shared" si="51"/>
        <v>11407.5296909321,467.538</v>
      </c>
      <c r="BB81" t="str">
        <f t="shared" si="52"/>
        <v>-text 11406.5296909321,337 3.5 90 462.938 </v>
      </c>
      <c r="BC81" t="str">
        <f t="shared" si="53"/>
        <v>-text 11406.5296909321,320 3.5 90 467.538 </v>
      </c>
      <c r="BD81" t="str">
        <f t="shared" si="54"/>
        <v>-text 11406.5296909321,306 3.5 90 466.821 </v>
      </c>
      <c r="BE81" t="str">
        <f t="shared" si="55"/>
        <v>-text 11406.5296909321,352 3.5 90 ZG22+815.059 </v>
      </c>
      <c r="BF81" t="str">
        <f t="shared" si="56"/>
        <v>-text 11406.5296909321,280 3.5 90 IP42 </v>
      </c>
      <c r="BG81" t="str">
        <f t="shared" si="57"/>
        <v>-TEXT 11408.5296909321,300 3.5 0 R=80</v>
      </c>
      <c r="BH81" t="str">
        <f t="shared" si="58"/>
        <v>-TEXT 11408.5296909321,295 3.5 0 α=22.90° </v>
      </c>
      <c r="BI81" t="str">
        <f t="shared" si="59"/>
        <v>-TEXT 11408.5296909321,290 3.5 0 T=16.21 </v>
      </c>
      <c r="BJ81" t="str">
        <f t="shared" si="60"/>
        <v>-TEXT 11408.5296909321,285 3.5 0 S=31.98 </v>
      </c>
    </row>
    <row r="82" spans="1:62">
      <c r="A82">
        <v>2</v>
      </c>
      <c r="B82">
        <v>81</v>
      </c>
      <c r="C82" t="s">
        <v>90</v>
      </c>
      <c r="D82">
        <v>456773.1372</v>
      </c>
      <c r="E82">
        <v>3390348.4419</v>
      </c>
      <c r="F82">
        <v>80</v>
      </c>
      <c r="G82">
        <f t="shared" si="75"/>
        <v>14.39</v>
      </c>
      <c r="H82">
        <f t="shared" si="76"/>
        <v>10.0992576212353</v>
      </c>
      <c r="I82">
        <f t="shared" si="77"/>
        <v>20.0922303489587</v>
      </c>
      <c r="J82">
        <f t="shared" si="78"/>
        <v>144.892777155631</v>
      </c>
      <c r="K82" s="40">
        <f t="shared" si="79"/>
        <v>22949.6365088599</v>
      </c>
      <c r="L82" s="40">
        <f t="shared" si="80"/>
        <v>22959.6826240344</v>
      </c>
      <c r="M82" s="40">
        <f t="shared" si="81"/>
        <v>22969.7287392089</v>
      </c>
      <c r="N82">
        <v>466.753</v>
      </c>
      <c r="O82">
        <v>462.87</v>
      </c>
      <c r="P82">
        <v>0.002</v>
      </c>
      <c r="Q82" s="39">
        <f t="shared" si="43"/>
        <v>456763.733604522</v>
      </c>
      <c r="R82" s="39">
        <f t="shared" si="44"/>
        <v>3390352.12529471</v>
      </c>
      <c r="S82" s="39">
        <f t="shared" si="61"/>
        <v>456772.83340087</v>
      </c>
      <c r="T82" s="39">
        <f t="shared" si="62"/>
        <v>3390347.88435166</v>
      </c>
      <c r="U82" s="39">
        <f t="shared" si="63"/>
        <v>456781.330383407</v>
      </c>
      <c r="V82" s="39">
        <f t="shared" si="64"/>
        <v>3390342.53709262</v>
      </c>
      <c r="AI82" t="str">
        <f t="array" ref="AI82">IFERROR(INDEX($L$2:$L$805,SMALL(IF(ISNUMBER(FIND($AH$2,$C$2:$C$805)),ROW($2:$805)-1,4^8),ROW(A81)))&amp;"","")</f>
        <v>59708.5511410438</v>
      </c>
      <c r="AJ82" t="str">
        <f t="array" ref="AJ82">IFERROR(INDEX($C$2:$C$805,SMALL(IF(ISNUMBER(FIND($AH$2,$C$2:$C$805)),ROW($2:$805)-1,4^8),ROW(B81)))&amp;"","")</f>
        <v>鞍子湾隧出</v>
      </c>
      <c r="AS82" t="str">
        <f t="shared" si="82"/>
        <v>-text 456773.1372,3390348.4419 10 0 IP43</v>
      </c>
      <c r="AT82" t="str">
        <f t="shared" si="46"/>
        <v>456773.1372,3390348.4419</v>
      </c>
      <c r="AV82">
        <f t="shared" si="47"/>
        <v>467.47</v>
      </c>
      <c r="AX82" t="str">
        <f t="shared" si="48"/>
        <v>pl 11479.8413120172,279 11479.8413120172,400 </v>
      </c>
      <c r="AY82" t="str">
        <f t="shared" si="49"/>
        <v>11479.8413120172,462.87</v>
      </c>
      <c r="AZ82" t="str">
        <f t="shared" si="50"/>
        <v>11479.8413120172,466.753</v>
      </c>
      <c r="BA82" t="str">
        <f t="shared" si="51"/>
        <v>11479.8413120172,467.47</v>
      </c>
      <c r="BB82" t="str">
        <f t="shared" si="52"/>
        <v>-text 11478.8413120172,337 3.5 90 462.870 </v>
      </c>
      <c r="BC82" t="str">
        <f t="shared" si="53"/>
        <v>-text 11478.8413120172,320 3.5 90 467.470 </v>
      </c>
      <c r="BD82" t="str">
        <f t="shared" si="54"/>
        <v>-text 11478.8413120172,306 3.5 90 466.753 </v>
      </c>
      <c r="BE82" t="str">
        <f t="shared" si="55"/>
        <v>-text 11478.8413120172,352 3.5 90 ZG22+959.683 </v>
      </c>
      <c r="BF82" t="str">
        <f t="shared" si="56"/>
        <v>-text 11478.8413120172,280 3.5 90 IP43 </v>
      </c>
      <c r="BG82" t="str">
        <f t="shared" si="57"/>
        <v>-TEXT 11480.8413120172,300 3.5 0 R=80</v>
      </c>
      <c r="BH82" t="str">
        <f t="shared" si="58"/>
        <v>-TEXT 11480.8413120172,295 3.5 0 α=14.39° </v>
      </c>
      <c r="BI82" t="str">
        <f t="shared" si="59"/>
        <v>-TEXT 11480.8413120172,290 3.5 0 T=10.10 </v>
      </c>
      <c r="BJ82" t="str">
        <f t="shared" si="60"/>
        <v>-TEXT 11480.8413120172,285 3.5 0 S=20.09 </v>
      </c>
    </row>
    <row r="83" spans="1:62">
      <c r="A83">
        <v>2</v>
      </c>
      <c r="B83">
        <v>82</v>
      </c>
      <c r="C83" t="s">
        <v>91</v>
      </c>
      <c r="D83">
        <v>457019.6671</v>
      </c>
      <c r="E83">
        <v>3390170.7684</v>
      </c>
      <c r="F83">
        <v>80</v>
      </c>
      <c r="G83">
        <f t="shared" si="75"/>
        <v>42.167</v>
      </c>
      <c r="H83">
        <f t="shared" si="76"/>
        <v>30.8429651934541</v>
      </c>
      <c r="I83">
        <f t="shared" si="77"/>
        <v>58.8762388550759</v>
      </c>
      <c r="J83">
        <f t="shared" si="78"/>
        <v>303.882977799487</v>
      </c>
      <c r="K83" s="40">
        <f t="shared" si="79"/>
        <v>23232.6694941937</v>
      </c>
      <c r="L83" s="40">
        <f t="shared" si="80"/>
        <v>23262.1076136212</v>
      </c>
      <c r="M83" s="40">
        <f t="shared" si="81"/>
        <v>23291.5457330487</v>
      </c>
      <c r="N83">
        <v>466.613</v>
      </c>
      <c r="O83">
        <v>462.73</v>
      </c>
      <c r="P83">
        <v>0.005</v>
      </c>
      <c r="Q83" s="39">
        <f t="shared" si="43"/>
        <v>456994.645253828</v>
      </c>
      <c r="R83" s="39">
        <f t="shared" si="44"/>
        <v>3390188.80158375</v>
      </c>
      <c r="S83" s="39">
        <f t="shared" si="61"/>
        <v>457014.860839501</v>
      </c>
      <c r="T83" s="39">
        <f t="shared" si="62"/>
        <v>3390167.63091087</v>
      </c>
      <c r="U83" s="39">
        <f t="shared" si="63"/>
        <v>457026.107393556</v>
      </c>
      <c r="V83" s="39">
        <f t="shared" si="64"/>
        <v>3390140.60532455</v>
      </c>
      <c r="AI83" t="str">
        <f t="array" ref="AI83">IFERROR(INDEX($L$2:$L$805,SMALL(IF(ISNUMBER(FIND($AH$2,$C$2:$C$805)),ROW($2:$805)-1,4^8),ROW(A82)))&amp;"","")</f>
        <v>59993.3754102614</v>
      </c>
      <c r="AJ83" t="str">
        <f t="array" ref="AJ83">IFERROR(INDEX($C$2:$C$805,SMALL(IF(ISNUMBER(FIND($AH$2,$C$2:$C$805)),ROW($2:$805)-1,4^8),ROW(B82)))&amp;"","")</f>
        <v>徐家沟渡槽出</v>
      </c>
      <c r="AS83" t="str">
        <f t="shared" si="82"/>
        <v>-text 457019.6671,3390170.7684 10 0 IP44</v>
      </c>
      <c r="AT83" t="str">
        <f t="shared" si="46"/>
        <v>457019.6671,3390170.7684</v>
      </c>
      <c r="AV83">
        <f t="shared" si="47"/>
        <v>467.33</v>
      </c>
      <c r="AX83" t="str">
        <f t="shared" si="48"/>
        <v>pl 11631.0538068106,279 11631.0538068106,400 </v>
      </c>
      <c r="AY83" t="str">
        <f t="shared" si="49"/>
        <v>11631.0538068106,462.73</v>
      </c>
      <c r="AZ83" t="str">
        <f t="shared" si="50"/>
        <v>11631.0538068106,466.613</v>
      </c>
      <c r="BA83" t="str">
        <f t="shared" si="51"/>
        <v>11631.0538068106,467.33</v>
      </c>
      <c r="BB83" t="str">
        <f t="shared" si="52"/>
        <v>-text 11630.0538068106,337 3.5 90 462.730 </v>
      </c>
      <c r="BC83" t="str">
        <f t="shared" si="53"/>
        <v>-text 11630.0538068106,320 3.5 90 467.330 </v>
      </c>
      <c r="BD83" t="str">
        <f t="shared" si="54"/>
        <v>-text 11630.0538068106,306 3.5 90 466.613 </v>
      </c>
      <c r="BE83" t="str">
        <f t="shared" si="55"/>
        <v>-text 11630.0538068106,352 3.5 90 ZG23+262.108 </v>
      </c>
      <c r="BF83" t="str">
        <f t="shared" si="56"/>
        <v>-text 11630.0538068106,280 3.5 90 IP44 </v>
      </c>
      <c r="BG83" t="str">
        <f t="shared" si="57"/>
        <v>-TEXT 11632.0538068106,300 3.5 0 R=80</v>
      </c>
      <c r="BH83" t="str">
        <f t="shared" si="58"/>
        <v>-TEXT 11632.0538068106,295 3.5 0 α=42.17° </v>
      </c>
      <c r="BI83" t="str">
        <f t="shared" si="59"/>
        <v>-TEXT 11632.0538068106,290 3.5 0 T=30.84 </v>
      </c>
      <c r="BJ83" t="str">
        <f t="shared" si="60"/>
        <v>-TEXT 11632.0538068106,285 3.5 0 S=58.88 </v>
      </c>
    </row>
    <row r="84" spans="1:62">
      <c r="A84">
        <v>2</v>
      </c>
      <c r="B84">
        <v>83</v>
      </c>
      <c r="C84" t="s">
        <v>92</v>
      </c>
      <c r="D84">
        <v>457051.1221</v>
      </c>
      <c r="E84">
        <v>3390023.4491</v>
      </c>
      <c r="F84">
        <v>80</v>
      </c>
      <c r="G84">
        <f t="shared" si="75"/>
        <v>41.887</v>
      </c>
      <c r="H84">
        <f t="shared" si="76"/>
        <v>30.61864373778</v>
      </c>
      <c r="I84">
        <f t="shared" si="77"/>
        <v>58.4852851026292</v>
      </c>
      <c r="J84">
        <f t="shared" si="78"/>
        <v>150.639945490942</v>
      </c>
      <c r="K84" s="40">
        <f t="shared" si="79"/>
        <v>23380.7240696084</v>
      </c>
      <c r="L84" s="40">
        <f t="shared" si="80"/>
        <v>23409.9667121598</v>
      </c>
      <c r="M84" s="40">
        <f t="shared" si="81"/>
        <v>23439.2093547111</v>
      </c>
      <c r="N84">
        <v>466.54</v>
      </c>
      <c r="O84">
        <v>462.657</v>
      </c>
      <c r="P84">
        <v>0.005</v>
      </c>
      <c r="Q84" s="39">
        <f t="shared" si="43"/>
        <v>457044.728646818</v>
      </c>
      <c r="R84" s="39">
        <f t="shared" si="44"/>
        <v>3390053.39279885</v>
      </c>
      <c r="S84" s="39">
        <f t="shared" si="61"/>
        <v>457055.868507554</v>
      </c>
      <c r="T84" s="39">
        <f t="shared" si="62"/>
        <v>3390026.53097508</v>
      </c>
      <c r="U84" s="39">
        <f t="shared" si="63"/>
        <v>457075.874025028</v>
      </c>
      <c r="V84" s="39">
        <f t="shared" si="64"/>
        <v>3390005.42568324</v>
      </c>
      <c r="AI84" t="str">
        <f t="array" ref="AI84">IFERROR(INDEX($L$2:$L$805,SMALL(IF(ISNUMBER(FIND($AH$2,$C$2:$C$805)),ROW($2:$805)-1,4^8),ROW(A83)))&amp;"","")</f>
        <v>60556.0363766439</v>
      </c>
      <c r="AJ84" t="str">
        <f t="array" ref="AJ84">IFERROR(INDEX($C$2:$C$805,SMALL(IF(ISNUMBER(FIND($AH$2,$C$2:$C$805)),ROW($2:$805)-1,4^8),ROW(B83)))&amp;"","")</f>
        <v>大石堡隧出</v>
      </c>
      <c r="AS84" t="str">
        <f t="shared" si="82"/>
        <v>-text 457051.1221,3390023.4491 10 0 IP45</v>
      </c>
      <c r="AT84" t="str">
        <f t="shared" si="46"/>
        <v>457051.1221,3390023.4491</v>
      </c>
      <c r="AV84">
        <f t="shared" si="47"/>
        <v>467.257</v>
      </c>
      <c r="AX84" t="str">
        <f t="shared" si="48"/>
        <v>pl 11704.9833560799,279 11704.9833560799,400 </v>
      </c>
      <c r="AY84" t="str">
        <f t="shared" si="49"/>
        <v>11704.9833560799,462.657</v>
      </c>
      <c r="AZ84" t="str">
        <f t="shared" si="50"/>
        <v>11704.9833560799,466.54</v>
      </c>
      <c r="BA84" t="str">
        <f t="shared" si="51"/>
        <v>11704.9833560799,467.257</v>
      </c>
      <c r="BB84" t="str">
        <f t="shared" si="52"/>
        <v>-text 11703.9833560799,337 3.5 90 462.657 </v>
      </c>
      <c r="BC84" t="str">
        <f t="shared" si="53"/>
        <v>-text 11703.9833560799,320 3.5 90 467.257 </v>
      </c>
      <c r="BD84" t="str">
        <f t="shared" si="54"/>
        <v>-text 11703.9833560799,306 3.5 90 466.540 </v>
      </c>
      <c r="BE84" t="str">
        <f t="shared" si="55"/>
        <v>-text 11703.9833560799,352 3.5 90 ZG23+409.967 </v>
      </c>
      <c r="BF84" t="str">
        <f t="shared" si="56"/>
        <v>-text 11703.9833560799,280 3.5 90 IP45 </v>
      </c>
      <c r="BG84" t="str">
        <f t="shared" si="57"/>
        <v>-TEXT 11705.9833560799,300 3.5 0 R=80</v>
      </c>
      <c r="BH84" t="str">
        <f t="shared" si="58"/>
        <v>-TEXT 11705.9833560799,295 3.5 0 α=41.89° </v>
      </c>
      <c r="BI84" t="str">
        <f t="shared" si="59"/>
        <v>-TEXT 11705.9833560799,290 3.5 0 T=30.62 </v>
      </c>
      <c r="BJ84" t="str">
        <f t="shared" si="60"/>
        <v>-TEXT 11705.9833560799,285 3.5 0 S=58.49 </v>
      </c>
    </row>
    <row r="85" spans="1:62">
      <c r="A85">
        <v>2</v>
      </c>
      <c r="B85">
        <v>84</v>
      </c>
      <c r="C85" t="s">
        <v>93</v>
      </c>
      <c r="D85">
        <v>457422.3435</v>
      </c>
      <c r="E85">
        <v>3389753.1397</v>
      </c>
      <c r="F85">
        <v>80</v>
      </c>
      <c r="G85">
        <f t="shared" si="75"/>
        <v>47.725</v>
      </c>
      <c r="H85">
        <f t="shared" si="76"/>
        <v>35.3884965431314</v>
      </c>
      <c r="I85">
        <f t="shared" si="77"/>
        <v>66.6366708411435</v>
      </c>
      <c r="J85">
        <f t="shared" si="78"/>
        <v>459.208557788479</v>
      </c>
      <c r="K85" s="40">
        <f t="shared" si="79"/>
        <v>23832.4107722186</v>
      </c>
      <c r="L85" s="40">
        <f t="shared" si="80"/>
        <v>23865.7291076392</v>
      </c>
      <c r="M85" s="40">
        <f t="shared" si="81"/>
        <v>23899.0474430598</v>
      </c>
      <c r="N85">
        <v>466.328</v>
      </c>
      <c r="O85">
        <v>462.445</v>
      </c>
      <c r="P85">
        <v>0.006</v>
      </c>
      <c r="Q85" s="39">
        <f t="shared" si="43"/>
        <v>457393.735655029</v>
      </c>
      <c r="R85" s="39">
        <f t="shared" si="44"/>
        <v>3389773.970852</v>
      </c>
      <c r="S85" s="39">
        <f t="shared" si="61"/>
        <v>457423.9235061</v>
      </c>
      <c r="T85" s="39">
        <f t="shared" si="62"/>
        <v>3389760.44848227</v>
      </c>
      <c r="U85" s="39">
        <f t="shared" si="63"/>
        <v>457457.001248128</v>
      </c>
      <c r="V85" s="39">
        <f t="shared" si="64"/>
        <v>3389760.29415192</v>
      </c>
      <c r="AI85" t="str">
        <f t="array" ref="AI85">IFERROR(INDEX($L$2:$L$805,SMALL(IF(ISNUMBER(FIND($AH$2,$C$2:$C$805)),ROW($2:$805)-1,4^8),ROW(A84)))&amp;"","")</f>
        <v>60901.3924004132</v>
      </c>
      <c r="AJ85" t="str">
        <f t="array" ref="AJ85">IFERROR(INDEX($C$2:$C$805,SMALL(IF(ISNUMBER(FIND($AH$2,$C$2:$C$805)),ROW($2:$805)-1,4^8),ROW(B84)))&amp;"","")</f>
        <v>棕房沟渡槽出</v>
      </c>
      <c r="AS85" t="str">
        <f t="shared" si="82"/>
        <v>-text 457422.3435,3389753.1397 10 0 IP46</v>
      </c>
      <c r="AT85" t="str">
        <f t="shared" si="46"/>
        <v>457422.3435,3389753.1397</v>
      </c>
      <c r="AV85">
        <f t="shared" si="47"/>
        <v>467.045</v>
      </c>
      <c r="AX85" t="str">
        <f t="shared" si="48"/>
        <v>pl 11932.8645538196,279 11932.8645538196,400 </v>
      </c>
      <c r="AY85" t="str">
        <f t="shared" si="49"/>
        <v>11932.8645538196,462.445</v>
      </c>
      <c r="AZ85" t="str">
        <f t="shared" si="50"/>
        <v>11932.8645538196,466.328</v>
      </c>
      <c r="BA85" t="str">
        <f t="shared" si="51"/>
        <v>11932.8645538196,467.045</v>
      </c>
      <c r="BB85" t="str">
        <f t="shared" si="52"/>
        <v>-text 11931.8645538196,337 3.5 90 462.445 </v>
      </c>
      <c r="BC85" t="str">
        <f t="shared" si="53"/>
        <v>-text 11931.8645538196,320 3.5 90 467.045 </v>
      </c>
      <c r="BD85" t="str">
        <f t="shared" si="54"/>
        <v>-text 11931.8645538196,306 3.5 90 466.328 </v>
      </c>
      <c r="BE85" t="str">
        <f t="shared" si="55"/>
        <v>-text 11931.8645538196,352 3.5 90 ZG23+865.729 </v>
      </c>
      <c r="BF85" t="str">
        <f t="shared" si="56"/>
        <v>-text 11931.8645538196,280 3.5 90 IP46 </v>
      </c>
      <c r="BG85" t="str">
        <f t="shared" si="57"/>
        <v>-TEXT 11933.8645538196,300 3.5 0 R=80</v>
      </c>
      <c r="BH85" t="str">
        <f t="shared" si="58"/>
        <v>-TEXT 11933.8645538196,295 3.5 0 α=47.73° </v>
      </c>
      <c r="BI85" t="str">
        <f t="shared" si="59"/>
        <v>-TEXT 11933.8645538196,290 3.5 0 T=35.39 </v>
      </c>
      <c r="BJ85" t="str">
        <f t="shared" si="60"/>
        <v>-TEXT 11933.8645538196,285 3.5 0 S=66.64 </v>
      </c>
    </row>
    <row r="86" spans="1:62">
      <c r="A86">
        <v>2</v>
      </c>
      <c r="B86">
        <v>85</v>
      </c>
      <c r="C86" t="str">
        <f>Sheet1!C74</f>
        <v>杨溪河渡槽出</v>
      </c>
      <c r="D86">
        <v>457700.5573</v>
      </c>
      <c r="E86">
        <v>3389810.5718</v>
      </c>
      <c r="G86">
        <f t="shared" si="75"/>
        <v>0</v>
      </c>
      <c r="H86">
        <f t="shared" si="76"/>
        <v>0</v>
      </c>
      <c r="I86">
        <f t="shared" si="77"/>
        <v>0</v>
      </c>
      <c r="J86">
        <f t="shared" si="78"/>
        <v>284.079856063073</v>
      </c>
      <c r="K86" s="40">
        <f t="shared" si="79"/>
        <v>24147.7388025797</v>
      </c>
      <c r="L86" s="40">
        <f t="shared" si="80"/>
        <v>24147.7388025797</v>
      </c>
      <c r="M86" s="40">
        <f t="shared" si="81"/>
        <v>24147.7388025797</v>
      </c>
      <c r="N86">
        <v>466.197</v>
      </c>
      <c r="O86">
        <v>462.314</v>
      </c>
      <c r="P86">
        <v>0</v>
      </c>
      <c r="Q86" s="39">
        <f t="shared" si="43"/>
        <v>457700.5573</v>
      </c>
      <c r="R86" s="39">
        <f t="shared" si="44"/>
        <v>3389810.5718</v>
      </c>
      <c r="S86" s="39" t="str">
        <f t="shared" si="61"/>
        <v> </v>
      </c>
      <c r="T86" s="39" t="str">
        <f t="shared" si="62"/>
        <v> </v>
      </c>
      <c r="U86" s="39" t="str">
        <f t="shared" si="63"/>
        <v> </v>
      </c>
      <c r="V86" s="39" t="str">
        <f t="shared" si="64"/>
        <v> </v>
      </c>
      <c r="AI86" t="str">
        <f t="array" ref="AI86">IFERROR(INDEX($L$2:$L$805,SMALL(IF(ISNUMBER(FIND($AH$2,$C$2:$C$805)),ROW($2:$805)-1,4^8),ROW(A85)))&amp;"","")</f>
        <v>61378.4703630365</v>
      </c>
      <c r="AJ86" t="str">
        <f t="array" ref="AJ86">IFERROR(INDEX($C$2:$C$805,SMALL(IF(ISNUMBER(FIND($AH$2,$C$2:$C$805)),ROW($2:$805)-1,4^8),ROW(B85)))&amp;"","")</f>
        <v>邓家坡隧出</v>
      </c>
      <c r="AT86" t="str">
        <f t="shared" si="46"/>
        <v>457700.5573,3389810.5718</v>
      </c>
      <c r="AV86">
        <f t="shared" si="47"/>
        <v>466.914</v>
      </c>
      <c r="AX86" t="str">
        <f t="shared" si="48"/>
        <v>pl 12073.8694012899,279 12073.8694012899,400 </v>
      </c>
      <c r="AY86" t="str">
        <f t="shared" si="49"/>
        <v>12073.8694012899,462.314</v>
      </c>
      <c r="AZ86" t="str">
        <f t="shared" si="50"/>
        <v>12073.8694012899,466.197</v>
      </c>
      <c r="BA86" t="str">
        <f t="shared" si="51"/>
        <v>12073.8694012899,466.914</v>
      </c>
      <c r="BB86" t="str">
        <f t="shared" si="52"/>
        <v>-text 12072.8694012899,337 3.5 90 462.314 </v>
      </c>
      <c r="BC86" t="str">
        <f t="shared" si="53"/>
        <v>-text 12072.8694012899,320 3.5 90 466.914 </v>
      </c>
      <c r="BD86" t="str">
        <f t="shared" si="54"/>
        <v>-text 12072.8694012899,306 3.5 90 466.197 </v>
      </c>
      <c r="BE86" t="str">
        <f t="shared" si="55"/>
        <v>-text 12072.8694012899,352 3.5 90 ZG24+147.739 </v>
      </c>
      <c r="BF86" t="str">
        <f t="shared" si="56"/>
        <v>-text 12072.8694012899,280 3.5 90 杨溪河渡槽出 </v>
      </c>
      <c r="BG86" t="str">
        <f t="shared" si="57"/>
        <v/>
      </c>
      <c r="BH86" t="str">
        <f t="shared" si="58"/>
        <v> </v>
      </c>
      <c r="BI86" t="str">
        <f t="shared" si="59"/>
        <v> </v>
      </c>
      <c r="BJ86" t="str">
        <f t="shared" si="60"/>
        <v> </v>
      </c>
    </row>
    <row r="87" spans="1:62">
      <c r="A87">
        <v>0</v>
      </c>
      <c r="B87">
        <v>86</v>
      </c>
      <c r="C87" t="s">
        <v>95</v>
      </c>
      <c r="D87">
        <v>457885.9477</v>
      </c>
      <c r="E87">
        <v>3389848.8423</v>
      </c>
      <c r="F87">
        <v>80</v>
      </c>
      <c r="G87">
        <f t="shared" si="75"/>
        <v>32.59</v>
      </c>
      <c r="H87">
        <f t="shared" si="76"/>
        <v>23.3860590334844</v>
      </c>
      <c r="I87">
        <f t="shared" si="77"/>
        <v>45.5042242579962</v>
      </c>
      <c r="J87">
        <f t="shared" si="78"/>
        <v>189.299317437834</v>
      </c>
      <c r="K87" s="40">
        <f t="shared" si="79"/>
        <v>24313.6520609841</v>
      </c>
      <c r="L87" s="40">
        <f t="shared" si="80"/>
        <v>24336.4041731131</v>
      </c>
      <c r="M87" s="40">
        <f t="shared" si="81"/>
        <v>24359.1562852421</v>
      </c>
      <c r="N87">
        <v>466.225</v>
      </c>
      <c r="O87">
        <v>462.256</v>
      </c>
      <c r="P87">
        <v>0.002</v>
      </c>
      <c r="Q87" s="39">
        <f t="shared" si="43"/>
        <v>457863.044549068</v>
      </c>
      <c r="R87" s="39">
        <f t="shared" si="44"/>
        <v>3389844.11435811</v>
      </c>
      <c r="S87" s="39">
        <f t="shared" si="61"/>
        <v>457884.37801594</v>
      </c>
      <c r="T87" s="39">
        <f t="shared" si="62"/>
        <v>3389851.7995997</v>
      </c>
      <c r="U87" s="39">
        <f t="shared" si="63"/>
        <v>457902.698223798</v>
      </c>
      <c r="V87" s="39">
        <f t="shared" si="64"/>
        <v>3389865.16184992</v>
      </c>
      <c r="AI87" t="str">
        <f t="array" ref="AI87">IFERROR(INDEX($L$2:$L$805,SMALL(IF(ISNUMBER(FIND($AH$2,$C$2:$C$805)),ROW($2:$805)-1,4^8),ROW(A86)))&amp;"","")</f>
        <v>61541.5987195246</v>
      </c>
      <c r="AJ87" t="str">
        <f t="array" ref="AJ87">IFERROR(INDEX($C$2:$C$805,SMALL(IF(ISNUMBER(FIND($AH$2,$C$2:$C$805)),ROW($2:$805)-1,4^8),ROW(B86)))&amp;"","")</f>
        <v>韩家沟渡槽出</v>
      </c>
      <c r="AS87" t="str">
        <f>"-text"&amp;" "&amp;D87&amp;","&amp;E87&amp;" "&amp;"10"&amp;" "&amp;"0"&amp;" "&amp;C87</f>
        <v>-text 457885.9477,3389848.8423 10 0 IP47</v>
      </c>
      <c r="AT87" t="str">
        <f t="shared" si="46"/>
        <v>457885.9477,3389848.8423</v>
      </c>
      <c r="AV87">
        <f t="shared" si="47"/>
        <v>467.756</v>
      </c>
      <c r="AX87" t="str">
        <f t="shared" si="48"/>
        <v>pl 12168.2020865565,279 12168.2020865565,400 </v>
      </c>
      <c r="AY87" t="str">
        <f t="shared" si="49"/>
        <v>12168.2020865565,462.256</v>
      </c>
      <c r="AZ87" t="str">
        <f t="shared" si="50"/>
        <v>12168.2020865565,466.225</v>
      </c>
      <c r="BA87" t="str">
        <f t="shared" si="51"/>
        <v>12168.2020865565,467.756</v>
      </c>
      <c r="BB87" t="str">
        <f t="shared" si="52"/>
        <v>-text 12167.2020865565,337 3.5 90 462.256 </v>
      </c>
      <c r="BC87" t="str">
        <f t="shared" si="53"/>
        <v>-text 12167.2020865565,320 3.5 90 467.756 </v>
      </c>
      <c r="BD87" t="str">
        <f t="shared" si="54"/>
        <v>-text 12167.2020865565,306 3.5 90 466.225 </v>
      </c>
      <c r="BE87" t="str">
        <f t="shared" si="55"/>
        <v>-text 12167.2020865565,352 3.5 90 ZG24+336.404 </v>
      </c>
      <c r="BF87" t="str">
        <f t="shared" si="56"/>
        <v>-text 12167.2020865565,280 3.5 90 IP47 </v>
      </c>
      <c r="BG87" t="str">
        <f t="shared" si="57"/>
        <v>-TEXT 12169.2020865565,300 3.5 0 R=80</v>
      </c>
      <c r="BH87" t="str">
        <f t="shared" si="58"/>
        <v>-TEXT 12169.2020865565,295 3.5 0 α=32.59° </v>
      </c>
      <c r="BI87" t="str">
        <f t="shared" si="59"/>
        <v>-TEXT 12169.2020865565,290 3.5 0 T=23.39 </v>
      </c>
      <c r="BJ87" t="str">
        <f t="shared" si="60"/>
        <v>-TEXT 12169.2020865565,285 3.5 0 S=45.50 </v>
      </c>
    </row>
    <row r="88" spans="1:62">
      <c r="A88">
        <v>0</v>
      </c>
      <c r="B88">
        <v>87</v>
      </c>
      <c r="C88" t="s">
        <v>96</v>
      </c>
      <c r="D88">
        <v>457963.8443</v>
      </c>
      <c r="E88">
        <v>3389924.7347</v>
      </c>
      <c r="F88">
        <v>80</v>
      </c>
      <c r="G88">
        <f t="shared" si="75"/>
        <v>40.001</v>
      </c>
      <c r="H88">
        <f t="shared" si="76"/>
        <v>29.1184093600385</v>
      </c>
      <c r="I88">
        <f t="shared" si="77"/>
        <v>55.8519323272201</v>
      </c>
      <c r="J88">
        <f t="shared" si="78"/>
        <v>108.754478847002</v>
      </c>
      <c r="K88" s="40">
        <f t="shared" si="79"/>
        <v>24415.4062956955</v>
      </c>
      <c r="L88" s="40">
        <f t="shared" si="80"/>
        <v>24443.3322618592</v>
      </c>
      <c r="M88" s="40">
        <f t="shared" si="81"/>
        <v>24471.2582280228</v>
      </c>
      <c r="N88">
        <v>466.203</v>
      </c>
      <c r="O88">
        <v>462.234</v>
      </c>
      <c r="P88">
        <v>0.002</v>
      </c>
      <c r="Q88" s="39">
        <f t="shared" si="43"/>
        <v>457942.987916791</v>
      </c>
      <c r="R88" s="39">
        <f t="shared" si="44"/>
        <v>3389904.41493024</v>
      </c>
      <c r="S88" s="39">
        <f t="shared" si="61"/>
        <v>457965.953364108</v>
      </c>
      <c r="T88" s="39">
        <f t="shared" si="62"/>
        <v>3389920.0533963</v>
      </c>
      <c r="U88" s="39">
        <f t="shared" si="63"/>
        <v>457992.882542795</v>
      </c>
      <c r="V88" s="39">
        <f t="shared" si="64"/>
        <v>3389926.89391723</v>
      </c>
      <c r="AI88" t="str">
        <f t="array" ref="AI88">IFERROR(INDEX($L$2:$L$805,SMALL(IF(ISNUMBER(FIND($AH$2,$C$2:$C$805)),ROW($2:$805)-1,4^8),ROW(A87)))&amp;"","")</f>
        <v>62000.3242313191</v>
      </c>
      <c r="AJ88" t="str">
        <f t="array" ref="AJ88">IFERROR(INDEX($C$2:$C$805,SMALL(IF(ISNUMBER(FIND($AH$2,$C$2:$C$805)),ROW($2:$805)-1,4^8),ROW(B87)))&amp;"","")</f>
        <v>会上坡隧出</v>
      </c>
      <c r="AS88" t="str">
        <f>"-text"&amp;" "&amp;D88&amp;","&amp;E88&amp;" "&amp;"10"&amp;" "&amp;"0"&amp;" "&amp;C88</f>
        <v>-text 457963.8443,3389924.7347 10 0 IP48</v>
      </c>
      <c r="AT88" t="str">
        <f t="shared" si="46"/>
        <v>457963.8443,3389924.7347</v>
      </c>
      <c r="AV88">
        <f t="shared" si="47"/>
        <v>467.734</v>
      </c>
      <c r="AX88" t="str">
        <f t="shared" si="48"/>
        <v>pl 12221.6661309296,279 12221.6661309296,400 </v>
      </c>
      <c r="AY88" t="str">
        <f t="shared" si="49"/>
        <v>12221.6661309296,462.234</v>
      </c>
      <c r="AZ88" t="str">
        <f t="shared" si="50"/>
        <v>12221.6661309296,466.203</v>
      </c>
      <c r="BA88" t="str">
        <f t="shared" si="51"/>
        <v>12221.6661309296,467.734</v>
      </c>
      <c r="BB88" t="str">
        <f t="shared" si="52"/>
        <v>-text 12220.6661309296,337 3.5 90 462.234 </v>
      </c>
      <c r="BC88" t="str">
        <f t="shared" si="53"/>
        <v>-text 12220.6661309296,320 3.5 90 467.734 </v>
      </c>
      <c r="BD88" t="str">
        <f t="shared" si="54"/>
        <v>-text 12220.6661309296,306 3.5 90 466.203 </v>
      </c>
      <c r="BE88" t="str">
        <f t="shared" si="55"/>
        <v>-text 12220.6661309296,352 3.5 90 ZG24+443.332 </v>
      </c>
      <c r="BF88" t="str">
        <f t="shared" si="56"/>
        <v>-text 12220.6661309296,280 3.5 90 IP48 </v>
      </c>
      <c r="BG88" t="str">
        <f t="shared" si="57"/>
        <v>-TEXT 12222.6661309296,300 3.5 0 R=80</v>
      </c>
      <c r="BH88" t="str">
        <f t="shared" si="58"/>
        <v>-TEXT 12222.6661309296,295 3.5 0 α=40.00° </v>
      </c>
      <c r="BI88" t="str">
        <f t="shared" si="59"/>
        <v>-TEXT 12222.6661309296,290 3.5 0 T=29.12 </v>
      </c>
      <c r="BJ88" t="str">
        <f t="shared" si="60"/>
        <v>-TEXT 12222.6661309296,285 3.5 0 S=55.85 </v>
      </c>
    </row>
    <row r="89" spans="1:62">
      <c r="A89">
        <v>0</v>
      </c>
      <c r="B89">
        <v>88</v>
      </c>
      <c r="C89" s="42" t="str">
        <f>Sheet1!C77</f>
        <v>菱角泄水闸进</v>
      </c>
      <c r="D89" s="42">
        <v>458095.2335</v>
      </c>
      <c r="E89" s="42">
        <v>3389934.5045</v>
      </c>
      <c r="F89">
        <v>0</v>
      </c>
      <c r="G89">
        <f t="shared" si="75"/>
        <v>0</v>
      </c>
      <c r="H89">
        <f t="shared" si="76"/>
        <v>0</v>
      </c>
      <c r="I89">
        <f t="shared" si="77"/>
        <v>0</v>
      </c>
      <c r="J89">
        <f t="shared" si="78"/>
        <v>131.751929278746</v>
      </c>
      <c r="K89" s="40">
        <f t="shared" si="79"/>
        <v>24573.8917479415</v>
      </c>
      <c r="L89" s="40">
        <f t="shared" si="80"/>
        <v>24573.8917479415</v>
      </c>
      <c r="M89" s="40">
        <f t="shared" si="81"/>
        <v>24573.8917479415</v>
      </c>
      <c r="N89">
        <v>466.178</v>
      </c>
      <c r="O89">
        <v>462.209</v>
      </c>
      <c r="P89">
        <v>0</v>
      </c>
      <c r="Q89" s="39">
        <f t="shared" si="43"/>
        <v>458095.2335</v>
      </c>
      <c r="R89" s="39">
        <f t="shared" si="44"/>
        <v>3389934.5045</v>
      </c>
      <c r="S89" s="39" t="str">
        <f t="shared" si="61"/>
        <v> </v>
      </c>
      <c r="T89" s="39" t="str">
        <f t="shared" si="62"/>
        <v> </v>
      </c>
      <c r="U89" s="39" t="str">
        <f t="shared" si="63"/>
        <v> </v>
      </c>
      <c r="V89" s="39" t="str">
        <f t="shared" si="64"/>
        <v> </v>
      </c>
      <c r="AI89" t="str">
        <f t="array" ref="AI89">IFERROR(INDEX($L$2:$L$805,SMALL(IF(ISNUMBER(FIND($AH$2,$C$2:$C$805)),ROW($2:$805)-1,4^8),ROW(A88)))&amp;"","")</f>
        <v>64067.6741040669</v>
      </c>
      <c r="AJ89" t="str">
        <f t="array" ref="AJ89">IFERROR(INDEX($C$2:$C$805,SMALL(IF(ISNUMBER(FIND($AH$2,$C$2:$C$805)),ROW($2:$805)-1,4^8),ROW(B88)))&amp;"","")</f>
        <v>尖坡长隧出</v>
      </c>
      <c r="AS89" t="str">
        <f>"c "&amp;D89&amp;","&amp;E89&amp;" 1.5"</f>
        <v>c 458095.2335,3389934.5045 1.5</v>
      </c>
      <c r="AT89" t="str">
        <f t="shared" si="46"/>
        <v>458095.2335,3389934.5045</v>
      </c>
      <c r="AV89">
        <f t="shared" si="47"/>
        <v>467.709</v>
      </c>
      <c r="AX89" t="str">
        <f t="shared" si="48"/>
        <v>pl 12286.9458739707,279 12286.9458739707,400 </v>
      </c>
      <c r="AY89" t="str">
        <f t="shared" si="49"/>
        <v>12286.9458739707,462.209</v>
      </c>
      <c r="AZ89" t="str">
        <f t="shared" si="50"/>
        <v>12286.9458739707,466.178</v>
      </c>
      <c r="BA89" t="str">
        <f t="shared" si="51"/>
        <v>12286.9458739707,467.709</v>
      </c>
      <c r="BB89" t="str">
        <f t="shared" si="52"/>
        <v>-text 12285.9458739707,337 3.5 90 462.209 </v>
      </c>
      <c r="BC89" t="str">
        <f t="shared" si="53"/>
        <v>-text 12285.9458739707,320 3.5 90 467.709 </v>
      </c>
      <c r="BD89" t="str">
        <f t="shared" si="54"/>
        <v>-text 12285.9458739707,306 3.5 90 466.178 </v>
      </c>
      <c r="BE89" t="str">
        <f t="shared" si="55"/>
        <v>-text 12285.9458739707,352 3.5 90 ZG24+573.892 </v>
      </c>
      <c r="BF89" t="str">
        <f t="shared" si="56"/>
        <v>-text 12285.9458739707,280 3.5 90 菱角泄水闸进 </v>
      </c>
      <c r="BG89" t="str">
        <f t="shared" si="57"/>
        <v/>
      </c>
      <c r="BH89" t="str">
        <f t="shared" si="58"/>
        <v> </v>
      </c>
      <c r="BI89" t="str">
        <f t="shared" si="59"/>
        <v> </v>
      </c>
      <c r="BJ89" t="str">
        <f t="shared" si="60"/>
        <v> </v>
      </c>
    </row>
    <row r="90" spans="1:62">
      <c r="A90">
        <v>0</v>
      </c>
      <c r="B90">
        <v>89</v>
      </c>
      <c r="C90" s="42" t="str">
        <f>Sheet1!C78</f>
        <v>菱角泄水闸出</v>
      </c>
      <c r="D90" s="42">
        <v>458095.2335</v>
      </c>
      <c r="E90" s="42">
        <v>3389934.5045</v>
      </c>
      <c r="F90">
        <v>0</v>
      </c>
      <c r="G90">
        <f t="shared" si="75"/>
        <v>0</v>
      </c>
      <c r="H90">
        <f t="shared" si="76"/>
        <v>0</v>
      </c>
      <c r="I90">
        <f t="shared" si="77"/>
        <v>0</v>
      </c>
      <c r="J90">
        <f t="shared" si="78"/>
        <v>0</v>
      </c>
      <c r="K90" s="40">
        <f t="shared" si="79"/>
        <v>24573.8917479415</v>
      </c>
      <c r="L90" s="40">
        <f t="shared" si="80"/>
        <v>24573.8917479415</v>
      </c>
      <c r="M90" s="40">
        <f t="shared" si="81"/>
        <v>24573.8917479415</v>
      </c>
      <c r="N90">
        <v>466.148</v>
      </c>
      <c r="O90">
        <v>462.179</v>
      </c>
      <c r="P90">
        <v>0</v>
      </c>
      <c r="Q90" s="39">
        <f t="shared" si="43"/>
        <v>458095.2335</v>
      </c>
      <c r="R90" s="39">
        <f t="shared" si="44"/>
        <v>3389934.5045</v>
      </c>
      <c r="S90" s="39" t="str">
        <f t="shared" si="61"/>
        <v> </v>
      </c>
      <c r="T90" s="39" t="str">
        <f t="shared" si="62"/>
        <v> </v>
      </c>
      <c r="U90" s="39" t="str">
        <f t="shared" si="63"/>
        <v> </v>
      </c>
      <c r="V90" s="39" t="str">
        <f t="shared" si="64"/>
        <v> </v>
      </c>
      <c r="AI90" t="str">
        <f t="array" ref="AI90">IFERROR(INDEX($L$2:$L$805,SMALL(IF(ISNUMBER(FIND($AH$2,$C$2:$C$805)),ROW($2:$805)-1,4^8),ROW(A89)))&amp;"","")</f>
        <v>64208.6501207671</v>
      </c>
      <c r="AJ90" t="str">
        <f t="array" ref="AJ90">IFERROR(INDEX($C$2:$C$805,SMALL(IF(ISNUMBER(FIND($AH$2,$C$2:$C$805)),ROW($2:$805)-1,4^8),ROW(B89)))&amp;"","")</f>
        <v>赵家沟分水闸出</v>
      </c>
      <c r="AT90" t="str">
        <f t="shared" si="46"/>
        <v>458095.2335,3389934.5045</v>
      </c>
      <c r="AV90">
        <f t="shared" si="47"/>
        <v>467.679</v>
      </c>
      <c r="AX90" t="str">
        <f t="shared" si="48"/>
        <v>pl 12286.9458739707,279 12286.9458739707,400 </v>
      </c>
      <c r="AY90" t="str">
        <f t="shared" si="49"/>
        <v>12286.9458739707,462.179</v>
      </c>
      <c r="AZ90" t="str">
        <f t="shared" si="50"/>
        <v>12286.9458739707,466.148</v>
      </c>
      <c r="BA90" t="str">
        <f t="shared" si="51"/>
        <v>12286.9458739707,467.679</v>
      </c>
      <c r="BB90" t="str">
        <f t="shared" si="52"/>
        <v>-text 12285.9458739707,337 3.5 90 462.179 </v>
      </c>
      <c r="BC90" t="str">
        <f t="shared" si="53"/>
        <v>-text 12285.9458739707,320 3.5 90 467.679 </v>
      </c>
      <c r="BD90" t="str">
        <f t="shared" si="54"/>
        <v>-text 12285.9458739707,306 3.5 90 466.148 </v>
      </c>
      <c r="BE90" t="str">
        <f t="shared" si="55"/>
        <v>-text 12285.9458739707,352 3.5 90 ZG24+573.892 </v>
      </c>
      <c r="BF90" t="str">
        <f t="shared" si="56"/>
        <v>-text 12285.9458739707,280 3.5 90 菱角泄水闸出 </v>
      </c>
      <c r="BG90" t="str">
        <f t="shared" si="57"/>
        <v/>
      </c>
      <c r="BH90" t="str">
        <f t="shared" si="58"/>
        <v> </v>
      </c>
      <c r="BI90" t="str">
        <f t="shared" si="59"/>
        <v> </v>
      </c>
      <c r="BJ90" t="str">
        <f t="shared" si="60"/>
        <v> </v>
      </c>
    </row>
    <row r="91" spans="1:62">
      <c r="A91">
        <v>2</v>
      </c>
      <c r="B91">
        <v>90</v>
      </c>
      <c r="C91" t="str">
        <f>Sheet1!C79</f>
        <v>菱角渡槽进</v>
      </c>
      <c r="D91">
        <v>458118.7017</v>
      </c>
      <c r="E91">
        <v>3389936.2495</v>
      </c>
      <c r="G91">
        <f t="shared" si="75"/>
        <v>0</v>
      </c>
      <c r="H91">
        <f t="shared" si="76"/>
        <v>0</v>
      </c>
      <c r="I91">
        <f t="shared" si="77"/>
        <v>0</v>
      </c>
      <c r="J91">
        <f t="shared" si="78"/>
        <v>23.5329861309722</v>
      </c>
      <c r="K91" s="40">
        <f t="shared" si="79"/>
        <v>24597.4247340725</v>
      </c>
      <c r="L91" s="40">
        <f t="shared" si="80"/>
        <v>24597.4247340725</v>
      </c>
      <c r="M91" s="40">
        <f t="shared" si="81"/>
        <v>24597.4247340725</v>
      </c>
      <c r="N91">
        <v>466.023</v>
      </c>
      <c r="O91">
        <v>462.14</v>
      </c>
      <c r="P91">
        <v>0</v>
      </c>
      <c r="Q91" s="39">
        <f t="shared" si="43"/>
        <v>458118.7017</v>
      </c>
      <c r="R91" s="39">
        <f t="shared" si="44"/>
        <v>3389936.2495</v>
      </c>
      <c r="S91" s="39" t="str">
        <f t="shared" si="61"/>
        <v> </v>
      </c>
      <c r="T91" s="39" t="str">
        <f t="shared" si="62"/>
        <v> </v>
      </c>
      <c r="U91" s="39" t="str">
        <f t="shared" si="63"/>
        <v> </v>
      </c>
      <c r="V91" s="39" t="str">
        <f t="shared" si="64"/>
        <v> </v>
      </c>
      <c r="AI91" t="str">
        <f t="array" ref="AI91">IFERROR(INDEX($L$2:$L$805,SMALL(IF(ISNUMBER(FIND($AH$2,$C$2:$C$805)),ROW($2:$805)-1,4^8),ROW(A90)))&amp;"","")</f>
        <v>64623.0757694656</v>
      </c>
      <c r="AJ91" t="str">
        <f t="array" ref="AJ91">IFERROR(INDEX($C$2:$C$805,SMALL(IF(ISNUMBER(FIND($AH$2,$C$2:$C$805)),ROW($2:$805)-1,4^8),ROW(B90)))&amp;"","")</f>
        <v>大白山隧出</v>
      </c>
      <c r="AT91" t="str">
        <f t="shared" si="46"/>
        <v>458118.7017,3389936.2495</v>
      </c>
      <c r="AV91">
        <f t="shared" si="47"/>
        <v>466.74</v>
      </c>
      <c r="AX91" t="str">
        <f t="shared" si="48"/>
        <v>pl 12298.7123670362,279 12298.7123670362,400 </v>
      </c>
      <c r="AY91" t="str">
        <f t="shared" si="49"/>
        <v>12298.7123670362,462.14</v>
      </c>
      <c r="AZ91" t="str">
        <f t="shared" si="50"/>
        <v>12298.7123670362,466.023</v>
      </c>
      <c r="BA91" t="str">
        <f t="shared" si="51"/>
        <v>12298.7123670362,466.74</v>
      </c>
      <c r="BB91" t="str">
        <f t="shared" si="52"/>
        <v>-text 12297.7123670362,337 3.5 90 462.140 </v>
      </c>
      <c r="BC91" t="str">
        <f t="shared" si="53"/>
        <v>-text 12297.7123670362,320 3.5 90 466.740 </v>
      </c>
      <c r="BD91" t="str">
        <f t="shared" si="54"/>
        <v>-text 12297.7123670362,306 3.5 90 466.023 </v>
      </c>
      <c r="BE91" t="str">
        <f t="shared" si="55"/>
        <v>-text 12297.7123670362,352 3.5 90 ZG24+597.425 </v>
      </c>
      <c r="BF91" t="str">
        <f t="shared" si="56"/>
        <v>-text 12297.7123670362,280 3.5 90 菱角渡槽进 </v>
      </c>
      <c r="BG91" t="str">
        <f t="shared" si="57"/>
        <v/>
      </c>
      <c r="BH91" t="str">
        <f t="shared" si="58"/>
        <v> </v>
      </c>
      <c r="BI91" t="str">
        <f t="shared" si="59"/>
        <v> </v>
      </c>
      <c r="BJ91" t="str">
        <f t="shared" si="60"/>
        <v> </v>
      </c>
    </row>
    <row r="92" spans="1:62">
      <c r="A92">
        <v>2</v>
      </c>
      <c r="B92">
        <v>91</v>
      </c>
      <c r="C92" t="s">
        <v>100</v>
      </c>
      <c r="D92">
        <v>458198.2413</v>
      </c>
      <c r="E92">
        <v>3389942.1639</v>
      </c>
      <c r="F92">
        <v>80</v>
      </c>
      <c r="G92">
        <f t="shared" si="75"/>
        <v>20.534</v>
      </c>
      <c r="H92">
        <f t="shared" si="76"/>
        <v>14.4908705566263</v>
      </c>
      <c r="I92">
        <f t="shared" si="77"/>
        <v>28.6708726883612</v>
      </c>
      <c r="J92">
        <f t="shared" si="78"/>
        <v>79.7591881573802</v>
      </c>
      <c r="K92" s="40">
        <f t="shared" si="79"/>
        <v>24662.6930516732</v>
      </c>
      <c r="L92" s="40">
        <f t="shared" si="80"/>
        <v>24677.0284880174</v>
      </c>
      <c r="M92" s="40">
        <f t="shared" si="81"/>
        <v>24691.3639243616</v>
      </c>
      <c r="N92">
        <v>465.986</v>
      </c>
      <c r="O92">
        <v>462.103</v>
      </c>
      <c r="P92">
        <v>0.002</v>
      </c>
      <c r="Q92" s="39">
        <f t="shared" si="43"/>
        <v>458183.790324829</v>
      </c>
      <c r="R92" s="39">
        <f t="shared" si="44"/>
        <v>3389941.0893554</v>
      </c>
      <c r="S92" s="39">
        <f t="shared" si="61"/>
        <v>458198.104892703</v>
      </c>
      <c r="T92" s="39">
        <f t="shared" si="62"/>
        <v>3389940.86923457</v>
      </c>
      <c r="U92" s="39">
        <f t="shared" si="63"/>
        <v>458212.15101433</v>
      </c>
      <c r="V92" s="39">
        <f t="shared" si="64"/>
        <v>3389938.10124363</v>
      </c>
      <c r="AI92" t="str">
        <f t="array" ref="AI92">IFERROR(INDEX($L$2:$L$805,SMALL(IF(ISNUMBER(FIND($AH$2,$C$2:$C$805)),ROW($2:$805)-1,4^8),ROW(A91)))&amp;"","")</f>
        <v>65110.1632695476</v>
      </c>
      <c r="AJ92" t="str">
        <f t="array" ref="AJ92">IFERROR(INDEX($C$2:$C$805,SMALL(IF(ISNUMBER(FIND($AH$2,$C$2:$C$805)),ROW($2:$805)-1,4^8),ROW(B91)))&amp;"","")</f>
        <v>火闪庙隧出</v>
      </c>
      <c r="AS92" t="str">
        <f>"-text"&amp;" "&amp;D92&amp;","&amp;E92&amp;" "&amp;"10"&amp;" "&amp;"0"&amp;" "&amp;C92</f>
        <v>-text 458198.2413,3389942.1639 10 0 IP49</v>
      </c>
      <c r="AT92" t="str">
        <f t="shared" si="46"/>
        <v>458198.2413,3389942.1639</v>
      </c>
      <c r="AV92">
        <f t="shared" si="47"/>
        <v>466.703</v>
      </c>
      <c r="AX92" t="str">
        <f t="shared" si="48"/>
        <v>pl 12338.5142440087,279 12338.5142440087,400 </v>
      </c>
      <c r="AY92" t="str">
        <f t="shared" si="49"/>
        <v>12338.5142440087,462.103</v>
      </c>
      <c r="AZ92" t="str">
        <f t="shared" si="50"/>
        <v>12338.5142440087,465.986</v>
      </c>
      <c r="BA92" t="str">
        <f t="shared" si="51"/>
        <v>12338.5142440087,466.703</v>
      </c>
      <c r="BB92" t="str">
        <f t="shared" si="52"/>
        <v>-text 12337.5142440087,337 3.5 90 462.103 </v>
      </c>
      <c r="BC92" t="str">
        <f t="shared" si="53"/>
        <v>-text 12337.5142440087,320 3.5 90 466.703 </v>
      </c>
      <c r="BD92" t="str">
        <f t="shared" si="54"/>
        <v>-text 12337.5142440087,306 3.5 90 465.986 </v>
      </c>
      <c r="BE92" t="str">
        <f t="shared" si="55"/>
        <v>-text 12337.5142440087,352 3.5 90 ZG24+677.028 </v>
      </c>
      <c r="BF92" t="str">
        <f t="shared" si="56"/>
        <v>-text 12337.5142440087,280 3.5 90 IP49 </v>
      </c>
      <c r="BG92" t="str">
        <f t="shared" si="57"/>
        <v>-TEXT 12339.5142440087,300 3.5 0 R=80</v>
      </c>
      <c r="BH92" t="str">
        <f t="shared" si="58"/>
        <v>-TEXT 12339.5142440087,295 3.5 0 α=20.53° </v>
      </c>
      <c r="BI92" t="str">
        <f t="shared" si="59"/>
        <v>-TEXT 12339.5142440087,290 3.5 0 T=14.49 </v>
      </c>
      <c r="BJ92" t="str">
        <f t="shared" si="60"/>
        <v>-TEXT 12339.5142440087,285 3.5 0 S=28.67 </v>
      </c>
    </row>
    <row r="93" spans="1:62">
      <c r="A93">
        <v>2</v>
      </c>
      <c r="B93">
        <v>92</v>
      </c>
      <c r="C93" t="s">
        <v>101</v>
      </c>
      <c r="D93">
        <v>458362.46</v>
      </c>
      <c r="E93">
        <v>3389894.2</v>
      </c>
      <c r="F93">
        <v>80</v>
      </c>
      <c r="G93">
        <f t="shared" si="75"/>
        <v>17.714</v>
      </c>
      <c r="H93">
        <f t="shared" si="76"/>
        <v>12.4661612713258</v>
      </c>
      <c r="I93">
        <f t="shared" si="77"/>
        <v>24.733409895862</v>
      </c>
      <c r="J93">
        <f t="shared" si="78"/>
        <v>171.07985601144</v>
      </c>
      <c r="K93" s="40">
        <f t="shared" si="79"/>
        <v>24835.4867485451</v>
      </c>
      <c r="L93" s="40">
        <f t="shared" si="80"/>
        <v>24847.853453493</v>
      </c>
      <c r="M93" s="40">
        <f t="shared" si="81"/>
        <v>24860.2201584409</v>
      </c>
      <c r="N93">
        <v>465.906</v>
      </c>
      <c r="O93">
        <v>462.023</v>
      </c>
      <c r="P93">
        <v>0.002</v>
      </c>
      <c r="Q93" s="39">
        <f t="shared" si="43"/>
        <v>458350.493794009</v>
      </c>
      <c r="R93" s="39">
        <f t="shared" si="44"/>
        <v>3389897.69500945</v>
      </c>
      <c r="S93" s="39">
        <f t="shared" si="61"/>
        <v>458362.049869309</v>
      </c>
      <c r="T93" s="39">
        <f t="shared" si="62"/>
        <v>3389893.3259974</v>
      </c>
      <c r="U93" s="39">
        <f t="shared" si="63"/>
        <v>458372.795464273</v>
      </c>
      <c r="V93" s="39">
        <f t="shared" si="64"/>
        <v>3389887.22982388</v>
      </c>
      <c r="AI93" t="str">
        <f t="array" ref="AI93">IFERROR(INDEX($L$2:$L$805,SMALL(IF(ISNUMBER(FIND($AH$2,$C$2:$C$805)),ROW($2:$805)-1,4^8),ROW(A92)))&amp;"","")</f>
        <v>66250.0665012525</v>
      </c>
      <c r="AJ93" t="str">
        <f t="array" ref="AJ93">IFERROR(INDEX($C$2:$C$805,SMALL(IF(ISNUMBER(FIND($AH$2,$C$2:$C$805)),ROW($2:$805)-1,4^8),ROW(B92)))&amp;"","")</f>
        <v>仁和寨隧出</v>
      </c>
      <c r="AS93" t="str">
        <f>"-text"&amp;" "&amp;D93&amp;","&amp;E93&amp;" "&amp;"10"&amp;" "&amp;"0"&amp;" "&amp;C93</f>
        <v>-text 458362.46,3389894.2 10 0 IP50</v>
      </c>
      <c r="AT93" t="str">
        <f t="shared" si="46"/>
        <v>458362.46,3389894.2</v>
      </c>
      <c r="AV93">
        <f t="shared" si="47"/>
        <v>466.623</v>
      </c>
      <c r="AX93" t="str">
        <f t="shared" si="48"/>
        <v>pl 12423.9267267465,279 12423.9267267465,400 </v>
      </c>
      <c r="AY93" t="str">
        <f t="shared" si="49"/>
        <v>12423.9267267465,462.023</v>
      </c>
      <c r="AZ93" t="str">
        <f t="shared" si="50"/>
        <v>12423.9267267465,465.906</v>
      </c>
      <c r="BA93" t="str">
        <f t="shared" si="51"/>
        <v>12423.9267267465,466.623</v>
      </c>
      <c r="BB93" t="str">
        <f t="shared" si="52"/>
        <v>-text 12422.9267267465,337 3.5 90 462.023 </v>
      </c>
      <c r="BC93" t="str">
        <f t="shared" si="53"/>
        <v>-text 12422.9267267465,320 3.5 90 466.623 </v>
      </c>
      <c r="BD93" t="str">
        <f t="shared" si="54"/>
        <v>-text 12422.9267267465,306 3.5 90 465.906 </v>
      </c>
      <c r="BE93" t="str">
        <f t="shared" si="55"/>
        <v>-text 12422.9267267465,352 3.5 90 ZG24+847.853 </v>
      </c>
      <c r="BF93" t="str">
        <f t="shared" si="56"/>
        <v>-text 12422.9267267465,280 3.5 90 IP50 </v>
      </c>
      <c r="BG93" t="str">
        <f t="shared" si="57"/>
        <v>-TEXT 12424.9267267465,300 3.5 0 R=80</v>
      </c>
      <c r="BH93" t="str">
        <f t="shared" si="58"/>
        <v>-TEXT 12424.9267267465,295 3.5 0 α=17.71° </v>
      </c>
      <c r="BI93" t="str">
        <f t="shared" si="59"/>
        <v>-TEXT 12424.9267267465,290 3.5 0 T=12.47 </v>
      </c>
      <c r="BJ93" t="str">
        <f t="shared" si="60"/>
        <v>-TEXT 12424.9267267465,285 3.5 0 S=24.73 </v>
      </c>
    </row>
    <row r="94" spans="1:62">
      <c r="A94">
        <v>2</v>
      </c>
      <c r="B94">
        <v>93</v>
      </c>
      <c r="C94" t="s">
        <v>102</v>
      </c>
      <c r="D94">
        <v>458514.3</v>
      </c>
      <c r="E94">
        <v>3389791.8</v>
      </c>
      <c r="F94">
        <v>80</v>
      </c>
      <c r="G94">
        <f t="shared" si="75"/>
        <v>38.816</v>
      </c>
      <c r="H94">
        <f t="shared" si="76"/>
        <v>28.1850031925698</v>
      </c>
      <c r="I94">
        <f t="shared" si="77"/>
        <v>54.1973601963295</v>
      </c>
      <c r="J94">
        <f t="shared" si="78"/>
        <v>183.142418898699</v>
      </c>
      <c r="K94" s="40">
        <f t="shared" si="79"/>
        <v>25002.7114128757</v>
      </c>
      <c r="L94" s="40">
        <f t="shared" si="80"/>
        <v>25029.8100929739</v>
      </c>
      <c r="M94" s="40">
        <f t="shared" si="81"/>
        <v>25056.908773072</v>
      </c>
      <c r="N94">
        <v>465.82</v>
      </c>
      <c r="O94">
        <v>461.937</v>
      </c>
      <c r="P94">
        <v>0.005</v>
      </c>
      <c r="Q94" s="39">
        <f t="shared" si="43"/>
        <v>458490.932333948</v>
      </c>
      <c r="R94" s="39">
        <f t="shared" si="44"/>
        <v>3389807.55901609</v>
      </c>
      <c r="S94" s="39">
        <f t="shared" si="61"/>
        <v>458510.430393644</v>
      </c>
      <c r="T94" s="39">
        <f t="shared" si="62"/>
        <v>3389788.92655612</v>
      </c>
      <c r="U94" s="39">
        <f t="shared" si="63"/>
        <v>458522.629011561</v>
      </c>
      <c r="V94" s="39">
        <f t="shared" si="64"/>
        <v>3389764.87376797</v>
      </c>
      <c r="AI94" t="str">
        <f t="array" ref="AI94">IFERROR(INDEX($L$2:$L$805,SMALL(IF(ISNUMBER(FIND($AH$2,$C$2:$C$805)),ROW($2:$805)-1,4^8),ROW(A93)))&amp;"","")</f>
        <v>67134.410604023</v>
      </c>
      <c r="AJ94" t="str">
        <f t="array" ref="AJ94">IFERROR(INDEX($C$2:$C$805,SMALL(IF(ISNUMBER(FIND($AH$2,$C$2:$C$805)),ROW($2:$805)-1,4^8),ROW(B93)))&amp;"","")</f>
        <v>庙子坡隧出</v>
      </c>
      <c r="AS94" t="str">
        <f>"-text"&amp;" "&amp;D94&amp;","&amp;E94&amp;" "&amp;"10"&amp;" "&amp;"0"&amp;" "&amp;C94</f>
        <v>-text 458514.3,3389791.8 10 0 IP51</v>
      </c>
      <c r="AT94" t="str">
        <f t="shared" si="46"/>
        <v>458514.3,3389791.8</v>
      </c>
      <c r="AV94">
        <f t="shared" si="47"/>
        <v>466.537</v>
      </c>
      <c r="AX94" t="str">
        <f t="shared" si="48"/>
        <v>pl 12514.9050464869,279 12514.9050464869,400 </v>
      </c>
      <c r="AY94" t="str">
        <f t="shared" si="49"/>
        <v>12514.9050464869,461.937</v>
      </c>
      <c r="AZ94" t="str">
        <f t="shared" si="50"/>
        <v>12514.9050464869,465.82</v>
      </c>
      <c r="BA94" t="str">
        <f t="shared" si="51"/>
        <v>12514.9050464869,466.537</v>
      </c>
      <c r="BB94" t="str">
        <f t="shared" si="52"/>
        <v>-text 12513.9050464869,337 3.5 90 461.937 </v>
      </c>
      <c r="BC94" t="str">
        <f t="shared" si="53"/>
        <v>-text 12513.9050464869,320 3.5 90 466.537 </v>
      </c>
      <c r="BD94" t="str">
        <f t="shared" si="54"/>
        <v>-text 12513.9050464869,306 3.5 90 465.820 </v>
      </c>
      <c r="BE94" t="str">
        <f t="shared" si="55"/>
        <v>-text 12513.9050464869,352 3.5 90 ZG25+029.810 </v>
      </c>
      <c r="BF94" t="str">
        <f t="shared" si="56"/>
        <v>-text 12513.9050464869,280 3.5 90 IP51 </v>
      </c>
      <c r="BG94" t="str">
        <f t="shared" si="57"/>
        <v>-TEXT 12515.9050464869,300 3.5 0 R=80</v>
      </c>
      <c r="BH94" t="str">
        <f t="shared" si="58"/>
        <v>-TEXT 12515.9050464869,295 3.5 0 α=38.82° </v>
      </c>
      <c r="BI94" t="str">
        <f t="shared" si="59"/>
        <v>-TEXT 12515.9050464869,290 3.5 0 T=28.19 </v>
      </c>
      <c r="BJ94" t="str">
        <f t="shared" si="60"/>
        <v>-TEXT 12515.9050464869,285 3.5 0 S=54.20 </v>
      </c>
    </row>
    <row r="95" spans="1:62">
      <c r="A95">
        <v>2</v>
      </c>
      <c r="B95">
        <v>94</v>
      </c>
      <c r="C95" t="s">
        <v>103</v>
      </c>
      <c r="D95">
        <v>458540.5</v>
      </c>
      <c r="E95">
        <v>3389707.1</v>
      </c>
      <c r="F95">
        <v>80</v>
      </c>
      <c r="G95">
        <f t="shared" si="75"/>
        <v>46.507</v>
      </c>
      <c r="H95">
        <f t="shared" si="76"/>
        <v>34.376501605107</v>
      </c>
      <c r="I95">
        <f t="shared" si="77"/>
        <v>64.9360220180002</v>
      </c>
      <c r="J95">
        <f t="shared" si="78"/>
        <v>88.6596300463366</v>
      </c>
      <c r="K95" s="40">
        <f t="shared" si="79"/>
        <v>25083.0068983207</v>
      </c>
      <c r="L95" s="40">
        <f t="shared" si="80"/>
        <v>25115.4749093297</v>
      </c>
      <c r="M95" s="40">
        <f t="shared" si="81"/>
        <v>25147.9429203387</v>
      </c>
      <c r="N95">
        <v>465.776</v>
      </c>
      <c r="O95">
        <v>461.893</v>
      </c>
      <c r="P95">
        <v>0.005</v>
      </c>
      <c r="Q95" s="39">
        <f t="shared" si="43"/>
        <v>458530.341325284</v>
      </c>
      <c r="R95" s="39">
        <f t="shared" si="44"/>
        <v>3389739.94121177</v>
      </c>
      <c r="S95" s="39">
        <f t="shared" si="61"/>
        <v>458545.883161536</v>
      </c>
      <c r="T95" s="39">
        <f t="shared" si="62"/>
        <v>3389711.68817841</v>
      </c>
      <c r="U95" s="39">
        <f t="shared" si="63"/>
        <v>458571.31674116</v>
      </c>
      <c r="V95" s="39">
        <f t="shared" si="64"/>
        <v>3389691.86607973</v>
      </c>
      <c r="AI95" t="str">
        <f t="array" ref="AI95">IFERROR(INDEX($L$2:$L$805,SMALL(IF(ISNUMBER(FIND($AH$2,$C$2:$C$805)),ROW($2:$805)-1,4^8),ROW(A94)))&amp;"","")</f>
        <v>69121.9388226835</v>
      </c>
      <c r="AJ95" t="str">
        <f t="array" ref="AJ95">IFERROR(INDEX($C$2:$C$805,SMALL(IF(ISNUMBER(FIND($AH$2,$C$2:$C$805)),ROW($2:$805)-1,4^8),ROW(B94)))&amp;"","")</f>
        <v>轿顶坡隧出</v>
      </c>
      <c r="AS95" t="str">
        <f>"-text"&amp;" "&amp;D95&amp;","&amp;E95&amp;" "&amp;"10"&amp;" "&amp;"0"&amp;" "&amp;C95</f>
        <v>-text 458540.5,3389707.1 10 0 IP52</v>
      </c>
      <c r="AT95" t="str">
        <f t="shared" si="46"/>
        <v>458540.5,3389707.1</v>
      </c>
      <c r="AV95">
        <f t="shared" si="47"/>
        <v>466.493</v>
      </c>
      <c r="AX95" t="str">
        <f t="shared" si="48"/>
        <v>pl 12557.7374546649,279 12557.7374546649,400 </v>
      </c>
      <c r="AY95" t="str">
        <f t="shared" si="49"/>
        <v>12557.7374546649,461.893</v>
      </c>
      <c r="AZ95" t="str">
        <f t="shared" si="50"/>
        <v>12557.7374546649,465.776</v>
      </c>
      <c r="BA95" t="str">
        <f t="shared" si="51"/>
        <v>12557.7374546649,466.493</v>
      </c>
      <c r="BB95" t="str">
        <f t="shared" si="52"/>
        <v>-text 12556.7374546649,337 3.5 90 461.893 </v>
      </c>
      <c r="BC95" t="str">
        <f t="shared" si="53"/>
        <v>-text 12556.7374546649,320 3.5 90 466.493 </v>
      </c>
      <c r="BD95" t="str">
        <f t="shared" si="54"/>
        <v>-text 12556.7374546649,306 3.5 90 465.776 </v>
      </c>
      <c r="BE95" t="str">
        <f t="shared" si="55"/>
        <v>-text 12556.7374546649,352 3.5 90 ZG25+115.475 </v>
      </c>
      <c r="BF95" t="str">
        <f t="shared" si="56"/>
        <v>-text 12556.7374546649,280 3.5 90 IP52 </v>
      </c>
      <c r="BG95" t="str">
        <f t="shared" si="57"/>
        <v>-TEXT 12558.7374546649,300 3.5 0 R=80</v>
      </c>
      <c r="BH95" t="str">
        <f t="shared" si="58"/>
        <v>-TEXT 12558.7374546649,295 3.5 0 α=46.51° </v>
      </c>
      <c r="BI95" t="str">
        <f t="shared" si="59"/>
        <v>-TEXT 12558.7374546649,290 3.5 0 T=34.38 </v>
      </c>
      <c r="BJ95" t="str">
        <f t="shared" si="60"/>
        <v>-TEXT 12558.7374546649,285 3.5 0 S=64.94 </v>
      </c>
    </row>
    <row r="96" spans="1:62">
      <c r="A96">
        <v>2</v>
      </c>
      <c r="B96">
        <v>95</v>
      </c>
      <c r="C96" t="str">
        <f>Sheet1!C84</f>
        <v>菱角渡槽出</v>
      </c>
      <c r="D96">
        <v>458731.8302</v>
      </c>
      <c r="E96">
        <v>3389612.518</v>
      </c>
      <c r="G96">
        <f t="shared" si="75"/>
        <v>0</v>
      </c>
      <c r="H96">
        <f t="shared" si="76"/>
        <v>0</v>
      </c>
      <c r="I96">
        <f t="shared" si="77"/>
        <v>0</v>
      </c>
      <c r="J96">
        <f t="shared" si="78"/>
        <v>213.431488201807</v>
      </c>
      <c r="K96" s="40">
        <f t="shared" si="79"/>
        <v>25326.9979069354</v>
      </c>
      <c r="L96" s="40">
        <f t="shared" si="80"/>
        <v>25326.9979069354</v>
      </c>
      <c r="M96" s="40">
        <f t="shared" si="81"/>
        <v>25326.9979069354</v>
      </c>
      <c r="N96">
        <v>465.677</v>
      </c>
      <c r="O96">
        <v>461.794</v>
      </c>
      <c r="P96">
        <v>0</v>
      </c>
      <c r="Q96" s="39">
        <f t="shared" ref="Q96:Q127" si="83">IF(G96=0,D96,D95+(D96-D95)/J96*(J96-H96))</f>
        <v>458731.8302</v>
      </c>
      <c r="R96" s="39">
        <f t="shared" ref="R96:R127" si="84">IF(G96=0,E96,E95+(E96-E95)/J96*(J96-H96))</f>
        <v>3389612.518</v>
      </c>
      <c r="S96" s="39" t="str">
        <f t="shared" si="61"/>
        <v> </v>
      </c>
      <c r="T96" s="39" t="str">
        <f t="shared" si="62"/>
        <v> </v>
      </c>
      <c r="U96" s="39" t="str">
        <f t="shared" si="63"/>
        <v> </v>
      </c>
      <c r="V96" s="39" t="str">
        <f t="shared" si="64"/>
        <v> </v>
      </c>
      <c r="AI96" t="str">
        <f t="array" ref="AI96">IFERROR(INDEX($L$2:$L$805,SMALL(IF(ISNUMBER(FIND($AH$2,$C$2:$C$805)),ROW($2:$805)-1,4^8),ROW(A95)))&amp;"","")</f>
        <v>69322.9583484229</v>
      </c>
      <c r="AJ96" t="str">
        <f t="array" ref="AJ96">IFERROR(INDEX($C$2:$C$805,SMALL(IF(ISNUMBER(FIND($AH$2,$C$2:$C$805)),ROW($2:$805)-1,4^8),ROW(B95)))&amp;"","")</f>
        <v>老院子渡槽出</v>
      </c>
      <c r="AT96" t="str">
        <f t="shared" si="46"/>
        <v>458731.8302,3389612.518</v>
      </c>
      <c r="AV96">
        <f t="shared" si="47"/>
        <v>466.394</v>
      </c>
      <c r="AX96" t="str">
        <f t="shared" si="48"/>
        <v>pl 12663.4989534677,279 12663.4989534677,400 </v>
      </c>
      <c r="AY96" t="str">
        <f t="shared" si="49"/>
        <v>12663.4989534677,461.794</v>
      </c>
      <c r="AZ96" t="str">
        <f t="shared" si="50"/>
        <v>12663.4989534677,465.677</v>
      </c>
      <c r="BA96" t="str">
        <f t="shared" si="51"/>
        <v>12663.4989534677,466.394</v>
      </c>
      <c r="BB96" t="str">
        <f t="shared" si="52"/>
        <v>-text 12662.4989534677,337 3.5 90 461.794 </v>
      </c>
      <c r="BC96" t="str">
        <f t="shared" si="53"/>
        <v>-text 12662.4989534677,320 3.5 90 466.394 </v>
      </c>
      <c r="BD96" t="str">
        <f t="shared" si="54"/>
        <v>-text 12662.4989534677,306 3.5 90 465.677 </v>
      </c>
      <c r="BE96" t="str">
        <f t="shared" si="55"/>
        <v>-text 12662.4989534677,352 3.5 90 ZG25+326.998 </v>
      </c>
      <c r="BF96" t="str">
        <f t="shared" si="56"/>
        <v>-text 12662.4989534677,280 3.5 90 菱角渡槽出 </v>
      </c>
      <c r="BG96" t="str">
        <f t="shared" si="57"/>
        <v/>
      </c>
      <c r="BH96" t="str">
        <f t="shared" si="58"/>
        <v> </v>
      </c>
      <c r="BI96" t="str">
        <f t="shared" si="59"/>
        <v> </v>
      </c>
      <c r="BJ96" t="str">
        <f t="shared" si="60"/>
        <v> </v>
      </c>
    </row>
    <row r="97" spans="1:62">
      <c r="A97">
        <v>0</v>
      </c>
      <c r="B97">
        <v>96</v>
      </c>
      <c r="C97" t="s">
        <v>105</v>
      </c>
      <c r="D97">
        <v>458759.6422</v>
      </c>
      <c r="E97">
        <v>3389598.7694</v>
      </c>
      <c r="F97">
        <v>80</v>
      </c>
      <c r="G97">
        <f t="shared" si="75"/>
        <v>27.009</v>
      </c>
      <c r="H97">
        <f t="shared" si="76"/>
        <v>19.2129461860797</v>
      </c>
      <c r="I97">
        <f t="shared" si="77"/>
        <v>37.7116782136919</v>
      </c>
      <c r="J97">
        <f t="shared" si="78"/>
        <v>31.0246892967529</v>
      </c>
      <c r="K97" s="40">
        <f t="shared" si="79"/>
        <v>25338.8096500461</v>
      </c>
      <c r="L97" s="40">
        <f t="shared" si="80"/>
        <v>25357.6654891529</v>
      </c>
      <c r="M97" s="40">
        <f t="shared" si="81"/>
        <v>25376.5213282598</v>
      </c>
      <c r="N97">
        <v>465.735</v>
      </c>
      <c r="O97">
        <v>461.766</v>
      </c>
      <c r="P97">
        <v>0.001</v>
      </c>
      <c r="Q97" s="39">
        <f t="shared" si="83"/>
        <v>458742.418805618</v>
      </c>
      <c r="R97" s="39">
        <f t="shared" si="84"/>
        <v>3389607.28362264</v>
      </c>
      <c r="S97" s="39">
        <f t="shared" si="61"/>
        <v>458758.185786676</v>
      </c>
      <c r="T97" s="39">
        <f t="shared" si="62"/>
        <v>3389597.02196084</v>
      </c>
      <c r="U97" s="39">
        <f t="shared" si="63"/>
        <v>458771.120476131</v>
      </c>
      <c r="V97" s="39">
        <f t="shared" si="64"/>
        <v>3389583.36204857</v>
      </c>
      <c r="AI97" t="str">
        <f t="array" ref="AI97">IFERROR(INDEX($L$2:$L$805,SMALL(IF(ISNUMBER(FIND($AH$2,$C$2:$C$805)),ROW($2:$805)-1,4^8),ROW(A96)))&amp;"","")</f>
        <v>70047.6761839846</v>
      </c>
      <c r="AJ97" t="str">
        <f t="array" ref="AJ97">IFERROR(INDEX($C$2:$C$805,SMALL(IF(ISNUMBER(FIND($AH$2,$C$2:$C$805)),ROW($2:$805)-1,4^8),ROW(B96)))&amp;"","")</f>
        <v>倒中庙隧出</v>
      </c>
      <c r="AS97" t="str">
        <f>"-text"&amp;" "&amp;D97&amp;","&amp;E97&amp;" "&amp;"10"&amp;" "&amp;"0"&amp;" "&amp;C97</f>
        <v>-text 458759.6422,3389598.7694 10 0 IP53</v>
      </c>
      <c r="AT97" t="str">
        <f t="shared" si="46"/>
        <v>458759.6422,3389598.7694</v>
      </c>
      <c r="AV97">
        <f t="shared" si="47"/>
        <v>467.266</v>
      </c>
      <c r="AX97" t="str">
        <f t="shared" si="48"/>
        <v>pl 12678.8327445765,279 12678.8327445765,400 </v>
      </c>
      <c r="AY97" t="str">
        <f t="shared" si="49"/>
        <v>12678.8327445765,461.766</v>
      </c>
      <c r="AZ97" t="str">
        <f t="shared" si="50"/>
        <v>12678.8327445765,465.735</v>
      </c>
      <c r="BA97" t="str">
        <f t="shared" si="51"/>
        <v>12678.8327445765,467.266</v>
      </c>
      <c r="BB97" t="str">
        <f t="shared" si="52"/>
        <v>-text 12677.8327445765,337 3.5 90 461.766 </v>
      </c>
      <c r="BC97" t="str">
        <f t="shared" si="53"/>
        <v>-text 12677.8327445765,320 3.5 90 467.266 </v>
      </c>
      <c r="BD97" t="str">
        <f t="shared" si="54"/>
        <v>-text 12677.8327445765,306 3.5 90 465.735 </v>
      </c>
      <c r="BE97" t="str">
        <f t="shared" si="55"/>
        <v>-text 12677.8327445765,352 3.5 90 ZG25+357.665 </v>
      </c>
      <c r="BF97" t="str">
        <f t="shared" si="56"/>
        <v>-text 12677.8327445765,280 3.5 90 IP53 </v>
      </c>
      <c r="BG97" t="str">
        <f t="shared" si="57"/>
        <v>-TEXT 12679.8327445765,300 3.5 0 R=80</v>
      </c>
      <c r="BH97" t="str">
        <f t="shared" si="58"/>
        <v>-TEXT 12679.8327445765,295 3.5 0 α=27.01° </v>
      </c>
      <c r="BI97" t="str">
        <f t="shared" si="59"/>
        <v>-TEXT 12679.8327445765,290 3.5 0 T=19.21 </v>
      </c>
      <c r="BJ97" t="str">
        <f t="shared" si="60"/>
        <v>-TEXT 12679.8327445765,285 3.5 0 S=37.71 </v>
      </c>
    </row>
    <row r="98" spans="1:62">
      <c r="A98">
        <v>2</v>
      </c>
      <c r="B98">
        <v>97</v>
      </c>
      <c r="C98" t="str">
        <f>Sheet1!C86</f>
        <v>晋家湾渡槽进</v>
      </c>
      <c r="D98">
        <v>458804.4259</v>
      </c>
      <c r="E98">
        <v>3389538.656</v>
      </c>
      <c r="G98">
        <f t="shared" si="75"/>
        <v>0</v>
      </c>
      <c r="H98">
        <f t="shared" si="76"/>
        <v>0</v>
      </c>
      <c r="I98">
        <f t="shared" si="77"/>
        <v>0</v>
      </c>
      <c r="J98">
        <f t="shared" si="78"/>
        <v>74.9613276647708</v>
      </c>
      <c r="K98" s="40">
        <f t="shared" si="79"/>
        <v>25432.2697097385</v>
      </c>
      <c r="L98" s="40">
        <f t="shared" si="80"/>
        <v>25432.2697097385</v>
      </c>
      <c r="M98" s="40">
        <f t="shared" si="81"/>
        <v>25432.2697097385</v>
      </c>
      <c r="N98">
        <v>465.6</v>
      </c>
      <c r="O98">
        <v>461.717</v>
      </c>
      <c r="P98">
        <v>0</v>
      </c>
      <c r="Q98" s="39">
        <f t="shared" si="83"/>
        <v>458804.4259</v>
      </c>
      <c r="R98" s="39">
        <f t="shared" si="84"/>
        <v>3389538.656</v>
      </c>
      <c r="S98" s="39" t="str">
        <f t="shared" si="61"/>
        <v> </v>
      </c>
      <c r="T98" s="39" t="str">
        <f t="shared" si="62"/>
        <v> </v>
      </c>
      <c r="U98" s="39" t="str">
        <f t="shared" si="63"/>
        <v> </v>
      </c>
      <c r="V98" s="39" t="str">
        <f t="shared" si="64"/>
        <v> </v>
      </c>
      <c r="AI98" t="str">
        <f t="array" ref="AI98">IFERROR(INDEX($L$2:$L$805,SMALL(IF(ISNUMBER(FIND($AH$2,$C$2:$C$805)),ROW($2:$805)-1,4^8),ROW(A97)))&amp;"","")</f>
        <v>70310.3180358818</v>
      </c>
      <c r="AJ98" t="str">
        <f t="array" ref="AJ98">IFERROR(INDEX($C$2:$C$805,SMALL(IF(ISNUMBER(FIND($AH$2,$C$2:$C$805)),ROW($2:$805)-1,4^8),ROW(B97)))&amp;"","")</f>
        <v>马家院子隧出</v>
      </c>
      <c r="AT98" t="str">
        <f t="shared" si="46"/>
        <v>458804.4259,3389538.656</v>
      </c>
      <c r="AV98">
        <f t="shared" si="47"/>
        <v>466.317</v>
      </c>
      <c r="AX98" t="str">
        <f t="shared" si="48"/>
        <v>pl 12716.1348548692,279 12716.1348548692,400 </v>
      </c>
      <c r="AY98" t="str">
        <f t="shared" si="49"/>
        <v>12716.1348548692,461.717</v>
      </c>
      <c r="AZ98" t="str">
        <f t="shared" si="50"/>
        <v>12716.1348548692,465.6</v>
      </c>
      <c r="BA98" t="str">
        <f t="shared" si="51"/>
        <v>12716.1348548692,466.317</v>
      </c>
      <c r="BB98" t="str">
        <f t="shared" si="52"/>
        <v>-text 12715.1348548692,337 3.5 90 461.717 </v>
      </c>
      <c r="BC98" t="str">
        <f t="shared" si="53"/>
        <v>-text 12715.1348548692,320 3.5 90 466.317 </v>
      </c>
      <c r="BD98" t="str">
        <f t="shared" si="54"/>
        <v>-text 12715.1348548692,306 3.5 90 465.600 </v>
      </c>
      <c r="BE98" t="str">
        <f t="shared" si="55"/>
        <v>-text 12715.1348548692,352 3.5 90 ZG25+432.270 </v>
      </c>
      <c r="BF98" t="str">
        <f t="shared" si="56"/>
        <v>-text 12715.1348548692,280 3.5 90 晋家湾渡槽进 </v>
      </c>
      <c r="BG98" t="str">
        <f t="shared" si="57"/>
        <v/>
      </c>
      <c r="BH98" t="str">
        <f t="shared" si="58"/>
        <v> </v>
      </c>
      <c r="BI98" t="str">
        <f t="shared" si="59"/>
        <v> </v>
      </c>
      <c r="BJ98" t="str">
        <f t="shared" si="60"/>
        <v> </v>
      </c>
    </row>
    <row r="99" spans="1:62">
      <c r="A99">
        <v>2</v>
      </c>
      <c r="B99">
        <v>98</v>
      </c>
      <c r="C99" t="s">
        <v>107</v>
      </c>
      <c r="D99">
        <v>458836.3471</v>
      </c>
      <c r="E99">
        <v>3389495.8078</v>
      </c>
      <c r="F99">
        <v>40</v>
      </c>
      <c r="G99">
        <f t="shared" si="75"/>
        <v>34.434</v>
      </c>
      <c r="H99">
        <f t="shared" si="76"/>
        <v>12.3950750554193</v>
      </c>
      <c r="I99">
        <f t="shared" si="77"/>
        <v>24.0394669852691</v>
      </c>
      <c r="J99">
        <f t="shared" si="78"/>
        <v>53.4315567120524</v>
      </c>
      <c r="K99" s="40">
        <f t="shared" si="79"/>
        <v>25473.3061913951</v>
      </c>
      <c r="L99" s="40">
        <f t="shared" si="80"/>
        <v>25485.3259248877</v>
      </c>
      <c r="M99" s="40">
        <f t="shared" si="81"/>
        <v>25497.3456583804</v>
      </c>
      <c r="N99">
        <v>465.575</v>
      </c>
      <c r="O99">
        <v>461.692</v>
      </c>
      <c r="P99">
        <v>0.003</v>
      </c>
      <c r="Q99" s="39">
        <f t="shared" si="83"/>
        <v>458828.942006564</v>
      </c>
      <c r="R99" s="39">
        <f t="shared" si="84"/>
        <v>3389505.7477435</v>
      </c>
      <c r="S99" s="39">
        <f t="shared" si="61"/>
        <v>458837.45263682</v>
      </c>
      <c r="T99" s="39">
        <f t="shared" si="62"/>
        <v>3389497.32400798</v>
      </c>
      <c r="U99" s="39">
        <f t="shared" si="63"/>
        <v>458848.075263792</v>
      </c>
      <c r="V99" s="39">
        <f t="shared" si="64"/>
        <v>3389491.79680764</v>
      </c>
      <c r="AI99" t="str">
        <f t="array" ref="AI99">IFERROR(INDEX($L$2:$L$805,SMALL(IF(ISNUMBER(FIND($AH$2,$C$2:$C$805)),ROW($2:$805)-1,4^8),ROW(A98)))&amp;"","")</f>
        <v>70380.1928916502</v>
      </c>
      <c r="AJ99" t="str">
        <f t="array" ref="AJ99">IFERROR(INDEX($C$2:$C$805,SMALL(IF(ISNUMBER(FIND($AH$2,$C$2:$C$805)),ROW($2:$805)-1,4^8),ROW(B98)))&amp;"","")</f>
        <v>黄龙湾渡槽出</v>
      </c>
      <c r="AS99" t="str">
        <f>"-text"&amp;" "&amp;D99&amp;","&amp;E99&amp;" "&amp;"10"&amp;" "&amp;"0"&amp;" "&amp;C99</f>
        <v>-text 458836.3471,3389495.8078 10 0 IP54</v>
      </c>
      <c r="AT99" t="str">
        <f t="shared" si="46"/>
        <v>458836.3471,3389495.8078</v>
      </c>
      <c r="AV99">
        <f t="shared" si="47"/>
        <v>466.292</v>
      </c>
      <c r="AX99" t="str">
        <f t="shared" si="48"/>
        <v>pl 12742.6629624439,279 12742.6629624439,400 </v>
      </c>
      <c r="AY99" t="str">
        <f t="shared" si="49"/>
        <v>12742.6629624439,461.692</v>
      </c>
      <c r="AZ99" t="str">
        <f t="shared" si="50"/>
        <v>12742.6629624439,465.575</v>
      </c>
      <c r="BA99" t="str">
        <f t="shared" si="51"/>
        <v>12742.6629624439,466.292</v>
      </c>
      <c r="BB99" t="str">
        <f t="shared" si="52"/>
        <v>-text 12741.6629624439,337 3.5 90 461.692 </v>
      </c>
      <c r="BC99" t="str">
        <f t="shared" si="53"/>
        <v>-text 12741.6629624439,320 3.5 90 466.292 </v>
      </c>
      <c r="BD99" t="str">
        <f t="shared" si="54"/>
        <v>-text 12741.6629624439,306 3.5 90 465.575 </v>
      </c>
      <c r="BE99" t="str">
        <f t="shared" si="55"/>
        <v>-text 12741.6629624439,352 3.5 90 ZG25+485.326 </v>
      </c>
      <c r="BF99" t="str">
        <f t="shared" si="56"/>
        <v>-text 12741.6629624439,280 3.5 90 IP54 </v>
      </c>
      <c r="BG99" t="str">
        <f t="shared" si="57"/>
        <v>-TEXT 12743.6629624439,300 3.5 0 R=40</v>
      </c>
      <c r="BH99" t="str">
        <f t="shared" si="58"/>
        <v>-TEXT 12743.6629624439,295 3.5 0 α=34.43° </v>
      </c>
      <c r="BI99" t="str">
        <f t="shared" si="59"/>
        <v>-TEXT 12743.6629624439,290 3.5 0 T=12.40 </v>
      </c>
      <c r="BJ99" t="str">
        <f t="shared" si="60"/>
        <v>-TEXT 12743.6629624439,285 3.5 0 S=24.04 </v>
      </c>
    </row>
    <row r="100" spans="1:62">
      <c r="A100">
        <v>2</v>
      </c>
      <c r="B100">
        <v>99</v>
      </c>
      <c r="C100" t="s">
        <v>108</v>
      </c>
      <c r="D100">
        <v>458909.037</v>
      </c>
      <c r="E100">
        <v>3389470.9481</v>
      </c>
      <c r="F100">
        <v>40</v>
      </c>
      <c r="G100">
        <f t="shared" si="75"/>
        <v>51.505</v>
      </c>
      <c r="H100">
        <f t="shared" si="76"/>
        <v>19.2958610659743</v>
      </c>
      <c r="I100">
        <f t="shared" si="77"/>
        <v>35.9572732495872</v>
      </c>
      <c r="J100">
        <f t="shared" si="78"/>
        <v>76.8233444084241</v>
      </c>
      <c r="K100" s="40">
        <f t="shared" si="79"/>
        <v>25542.4780666674</v>
      </c>
      <c r="L100" s="40">
        <f t="shared" si="80"/>
        <v>25560.4567032922</v>
      </c>
      <c r="M100" s="40">
        <f t="shared" si="81"/>
        <v>25578.435339917</v>
      </c>
      <c r="N100">
        <v>465.537</v>
      </c>
      <c r="O100">
        <v>461.654</v>
      </c>
      <c r="P100">
        <v>0.004</v>
      </c>
      <c r="Q100" s="39">
        <f t="shared" si="83"/>
        <v>458890.779343788</v>
      </c>
      <c r="R100" s="39">
        <f t="shared" si="84"/>
        <v>3389477.19215669</v>
      </c>
      <c r="S100" s="39">
        <f t="shared" si="61"/>
        <v>458908.509223552</v>
      </c>
      <c r="T100" s="39">
        <f t="shared" si="62"/>
        <v>3389475.32734141</v>
      </c>
      <c r="U100" s="39">
        <f t="shared" si="63"/>
        <v>458925.288388692</v>
      </c>
      <c r="V100" s="39">
        <f t="shared" si="64"/>
        <v>3389481.35111013</v>
      </c>
      <c r="AI100" t="str">
        <f t="array" ref="AI100">IFERROR(INDEX($L$2:$L$805,SMALL(IF(ISNUMBER(FIND($AH$2,$C$2:$C$805)),ROW($2:$805)-1,4^8),ROW(A99)))&amp;"","")</f>
        <v>70738.5816884478</v>
      </c>
      <c r="AJ100" t="str">
        <f t="array" ref="AJ100">IFERROR(INDEX($C$2:$C$805,SMALL(IF(ISNUMBER(FIND($AH$2,$C$2:$C$805)),ROW($2:$805)-1,4^8),ROW(B99)))&amp;"","")</f>
        <v>三元寨隧出</v>
      </c>
      <c r="AS100" t="str">
        <f>"-text"&amp;" "&amp;D100&amp;","&amp;E100&amp;" "&amp;"10"&amp;" "&amp;"0"&amp;" "&amp;C100</f>
        <v>-text 458909.037,3389470.9481 10 0 IP55</v>
      </c>
      <c r="AT100" t="str">
        <f t="shared" si="46"/>
        <v>458909.037,3389470.9481</v>
      </c>
      <c r="AV100">
        <f t="shared" si="47"/>
        <v>466.254</v>
      </c>
      <c r="AX100" t="str">
        <f t="shared" si="48"/>
        <v>pl 12780.2283516461,279 12780.2283516461,400 </v>
      </c>
      <c r="AY100" t="str">
        <f t="shared" si="49"/>
        <v>12780.2283516461,461.654</v>
      </c>
      <c r="AZ100" t="str">
        <f t="shared" si="50"/>
        <v>12780.2283516461,465.537</v>
      </c>
      <c r="BA100" t="str">
        <f t="shared" si="51"/>
        <v>12780.2283516461,466.254</v>
      </c>
      <c r="BB100" t="str">
        <f t="shared" si="52"/>
        <v>-text 12779.2283516461,337 3.5 90 461.654 </v>
      </c>
      <c r="BC100" t="str">
        <f t="shared" si="53"/>
        <v>-text 12779.2283516461,320 3.5 90 466.254 </v>
      </c>
      <c r="BD100" t="str">
        <f t="shared" si="54"/>
        <v>-text 12779.2283516461,306 3.5 90 465.537 </v>
      </c>
      <c r="BE100" t="str">
        <f t="shared" si="55"/>
        <v>-text 12779.2283516461,352 3.5 90 ZG25+560.457 </v>
      </c>
      <c r="BF100" t="str">
        <f t="shared" si="56"/>
        <v>-text 12779.2283516461,280 3.5 90 IP55 </v>
      </c>
      <c r="BG100" t="str">
        <f t="shared" si="57"/>
        <v>-TEXT 12781.2283516461,300 3.5 0 R=40</v>
      </c>
      <c r="BH100" t="str">
        <f t="shared" si="58"/>
        <v>-TEXT 12781.2283516461,295 3.5 0 α=51.51° </v>
      </c>
      <c r="BI100" t="str">
        <f t="shared" si="59"/>
        <v>-TEXT 12781.2283516461,290 3.5 0 T=19.30 </v>
      </c>
      <c r="BJ100" t="str">
        <f t="shared" si="60"/>
        <v>-TEXT 12781.2283516461,285 3.5 0 S=35.96 </v>
      </c>
    </row>
    <row r="101" spans="1:62">
      <c r="A101">
        <v>2</v>
      </c>
      <c r="B101">
        <v>100</v>
      </c>
      <c r="C101" t="str">
        <f>Sheet1!C89</f>
        <v>晋家湾渡槽出</v>
      </c>
      <c r="D101">
        <v>459106.6242</v>
      </c>
      <c r="E101">
        <v>3389597.4297</v>
      </c>
      <c r="G101">
        <f t="shared" si="75"/>
        <v>0</v>
      </c>
      <c r="H101">
        <f t="shared" si="76"/>
        <v>0</v>
      </c>
      <c r="I101">
        <f t="shared" si="77"/>
        <v>0</v>
      </c>
      <c r="J101">
        <f t="shared" si="78"/>
        <v>234.602422712167</v>
      </c>
      <c r="K101" s="40">
        <f t="shared" si="79"/>
        <v>25793.7419015632</v>
      </c>
      <c r="L101" s="40">
        <f t="shared" si="80"/>
        <v>25793.7419015632</v>
      </c>
      <c r="M101" s="40">
        <f t="shared" si="81"/>
        <v>25793.7419015632</v>
      </c>
      <c r="N101">
        <v>465.429</v>
      </c>
      <c r="O101">
        <v>461.546</v>
      </c>
      <c r="P101">
        <v>0</v>
      </c>
      <c r="Q101" s="39">
        <f t="shared" si="83"/>
        <v>459106.6242</v>
      </c>
      <c r="R101" s="39">
        <f t="shared" si="84"/>
        <v>3389597.4297</v>
      </c>
      <c r="S101" s="39" t="str">
        <f t="shared" si="61"/>
        <v> </v>
      </c>
      <c r="T101" s="39" t="str">
        <f t="shared" si="62"/>
        <v> </v>
      </c>
      <c r="U101" s="39" t="str">
        <f t="shared" si="63"/>
        <v> </v>
      </c>
      <c r="V101" s="39" t="str">
        <f t="shared" si="64"/>
        <v> </v>
      </c>
      <c r="AI101" t="str">
        <f t="array" ref="AI101">IFERROR(INDEX($L$2:$L$805,SMALL(IF(ISNUMBER(FIND($AH$2,$C$2:$C$805)),ROW($2:$805)-1,4^8),ROW(A100)))&amp;"","")</f>
        <v>74637.511676555</v>
      </c>
      <c r="AJ101" t="str">
        <f t="array" ref="AJ101">IFERROR(INDEX($C$2:$C$805,SMALL(IF(ISNUMBER(FIND($AH$2,$C$2:$C$805)),ROW($2:$805)-1,4^8),ROW(B100)))&amp;"","")</f>
        <v>宋家沟倒虹管出</v>
      </c>
      <c r="AT101" t="str">
        <f t="shared" si="46"/>
        <v>459106.6242,3389597.4297</v>
      </c>
      <c r="AV101">
        <f t="shared" si="47"/>
        <v>466.146</v>
      </c>
      <c r="AX101" t="str">
        <f t="shared" si="48"/>
        <v>pl 12896.8709507816,279 12896.8709507816,400 </v>
      </c>
      <c r="AY101" t="str">
        <f t="shared" si="49"/>
        <v>12896.8709507816,461.546</v>
      </c>
      <c r="AZ101" t="str">
        <f t="shared" si="50"/>
        <v>12896.8709507816,465.429</v>
      </c>
      <c r="BA101" t="str">
        <f t="shared" si="51"/>
        <v>12896.8709507816,466.146</v>
      </c>
      <c r="BB101" t="str">
        <f t="shared" si="52"/>
        <v>-text 12895.8709507816,337 3.5 90 461.546 </v>
      </c>
      <c r="BC101" t="str">
        <f t="shared" si="53"/>
        <v>-text 12895.8709507816,320 3.5 90 466.146 </v>
      </c>
      <c r="BD101" t="str">
        <f t="shared" si="54"/>
        <v>-text 12895.8709507816,306 3.5 90 465.429 </v>
      </c>
      <c r="BE101" t="str">
        <f t="shared" si="55"/>
        <v>-text 12895.8709507816,352 3.5 90 ZG25+793.742 </v>
      </c>
      <c r="BF101" t="str">
        <f t="shared" si="56"/>
        <v>-text 12895.8709507816,280 3.5 90 晋家湾渡槽出 </v>
      </c>
      <c r="BG101" t="str">
        <f t="shared" si="57"/>
        <v/>
      </c>
      <c r="BH101" t="str">
        <f t="shared" si="58"/>
        <v> </v>
      </c>
      <c r="BI101" t="str">
        <f t="shared" si="59"/>
        <v> </v>
      </c>
      <c r="BJ101" t="str">
        <f t="shared" si="60"/>
        <v> </v>
      </c>
    </row>
    <row r="102" spans="1:62">
      <c r="A102">
        <v>2</v>
      </c>
      <c r="B102">
        <v>101</v>
      </c>
      <c r="C102" t="str">
        <f>Sheet1!C90</f>
        <v>玉皇观渡槽进</v>
      </c>
      <c r="D102">
        <v>459227.6659</v>
      </c>
      <c r="E102">
        <v>3389674.9123</v>
      </c>
      <c r="G102">
        <f t="shared" si="75"/>
        <v>0</v>
      </c>
      <c r="H102">
        <f t="shared" si="76"/>
        <v>0</v>
      </c>
      <c r="I102">
        <f t="shared" si="77"/>
        <v>0</v>
      </c>
      <c r="J102">
        <f t="shared" si="78"/>
        <v>143.717244760719</v>
      </c>
      <c r="K102" s="40">
        <f t="shared" si="79"/>
        <v>25937.4591463239</v>
      </c>
      <c r="L102" s="40">
        <f t="shared" si="80"/>
        <v>25937.4591463239</v>
      </c>
      <c r="M102" s="40">
        <f t="shared" si="81"/>
        <v>25937.4591463239</v>
      </c>
      <c r="N102">
        <v>465.346</v>
      </c>
      <c r="O102">
        <v>461.463</v>
      </c>
      <c r="P102">
        <v>0</v>
      </c>
      <c r="Q102" s="39">
        <f t="shared" si="83"/>
        <v>459227.6659</v>
      </c>
      <c r="R102" s="39">
        <f t="shared" si="84"/>
        <v>3389674.9123</v>
      </c>
      <c r="S102" s="39" t="str">
        <f t="shared" si="61"/>
        <v> </v>
      </c>
      <c r="T102" s="39" t="str">
        <f t="shared" si="62"/>
        <v> </v>
      </c>
      <c r="U102" s="39" t="str">
        <f t="shared" si="63"/>
        <v> </v>
      </c>
      <c r="V102" s="39" t="str">
        <f t="shared" si="64"/>
        <v> </v>
      </c>
      <c r="AI102" t="str">
        <f t="array" ref="AI102">IFERROR(INDEX($L$2:$L$805,SMALL(IF(ISNUMBER(FIND($AH$2,$C$2:$C$805)),ROW($2:$805)-1,4^8),ROW(A101)))&amp;"","")</f>
        <v>74948.8920688504</v>
      </c>
      <c r="AJ102" t="str">
        <f t="array" ref="AJ102">IFERROR(INDEX($C$2:$C$805,SMALL(IF(ISNUMBER(FIND($AH$2,$C$2:$C$805)),ROW($2:$805)-1,4^8),ROW(B101)))&amp;"","")</f>
        <v>石佛湾泄水闸出</v>
      </c>
      <c r="AT102" t="str">
        <f t="shared" si="46"/>
        <v>459227.6659,3389674.9123</v>
      </c>
      <c r="AV102">
        <f t="shared" si="47"/>
        <v>466.063</v>
      </c>
      <c r="AX102" t="str">
        <f t="shared" si="48"/>
        <v>pl 12968.729573162,279 12968.729573162,400 </v>
      </c>
      <c r="AY102" t="str">
        <f t="shared" si="49"/>
        <v>12968.729573162,461.463</v>
      </c>
      <c r="AZ102" t="str">
        <f t="shared" si="50"/>
        <v>12968.729573162,465.346</v>
      </c>
      <c r="BA102" t="str">
        <f t="shared" si="51"/>
        <v>12968.729573162,466.063</v>
      </c>
      <c r="BB102" t="str">
        <f t="shared" si="52"/>
        <v>-text 12967.729573162,337 3.5 90 461.463 </v>
      </c>
      <c r="BC102" t="str">
        <f t="shared" si="53"/>
        <v>-text 12967.729573162,320 3.5 90 466.063 </v>
      </c>
      <c r="BD102" t="str">
        <f t="shared" si="54"/>
        <v>-text 12967.729573162,306 3.5 90 465.346 </v>
      </c>
      <c r="BE102" t="str">
        <f t="shared" si="55"/>
        <v>-text 12967.729573162,352 3.5 90 ZG25+937.459 </v>
      </c>
      <c r="BF102" t="str">
        <f t="shared" si="56"/>
        <v>-text 12967.729573162,280 3.5 90 玉皇观渡槽进 </v>
      </c>
      <c r="BG102" t="str">
        <f t="shared" si="57"/>
        <v/>
      </c>
      <c r="BH102" t="str">
        <f t="shared" si="58"/>
        <v> </v>
      </c>
      <c r="BI102" t="str">
        <f t="shared" si="59"/>
        <v> </v>
      </c>
      <c r="BJ102" t="str">
        <f t="shared" si="60"/>
        <v> </v>
      </c>
    </row>
    <row r="103" spans="1:62">
      <c r="A103">
        <v>2</v>
      </c>
      <c r="B103">
        <v>102</v>
      </c>
      <c r="C103" t="str">
        <f>Sheet1!C91</f>
        <v>玉皇观渡槽出</v>
      </c>
      <c r="D103">
        <v>459265.0425</v>
      </c>
      <c r="E103">
        <v>3389698.8382</v>
      </c>
      <c r="G103">
        <f t="shared" si="75"/>
        <v>0</v>
      </c>
      <c r="H103">
        <f t="shared" si="76"/>
        <v>0</v>
      </c>
      <c r="I103">
        <f t="shared" si="77"/>
        <v>0</v>
      </c>
      <c r="J103">
        <f t="shared" si="78"/>
        <v>44.3785862592989</v>
      </c>
      <c r="K103" s="40">
        <f t="shared" si="79"/>
        <v>25981.8377325832</v>
      </c>
      <c r="L103" s="40">
        <f t="shared" si="80"/>
        <v>25981.8377325832</v>
      </c>
      <c r="M103" s="40">
        <f t="shared" si="81"/>
        <v>25981.8377325832</v>
      </c>
      <c r="N103">
        <v>465.326</v>
      </c>
      <c r="O103">
        <v>461.443</v>
      </c>
      <c r="P103">
        <v>0</v>
      </c>
      <c r="Q103" s="39">
        <f t="shared" si="83"/>
        <v>459265.0425</v>
      </c>
      <c r="R103" s="39">
        <f t="shared" si="84"/>
        <v>3389698.8382</v>
      </c>
      <c r="S103" s="39" t="str">
        <f t="shared" si="61"/>
        <v> </v>
      </c>
      <c r="T103" s="39" t="str">
        <f t="shared" si="62"/>
        <v> </v>
      </c>
      <c r="U103" s="39" t="str">
        <f t="shared" si="63"/>
        <v> </v>
      </c>
      <c r="V103" s="39" t="str">
        <f t="shared" si="64"/>
        <v> </v>
      </c>
      <c r="AI103" t="str">
        <f t="array" ref="AI103">IFERROR(INDEX($L$2:$L$805,SMALL(IF(ISNUMBER(FIND($AH$2,$C$2:$C$805)),ROW($2:$805)-1,4^8),ROW(A102)))&amp;"","")</f>
        <v>75497.3537306913</v>
      </c>
      <c r="AJ103" t="str">
        <f t="array" ref="AJ103">IFERROR(INDEX($C$2:$C$805,SMALL(IF(ISNUMBER(FIND($AH$2,$C$2:$C$805)),ROW($2:$805)-1,4^8),ROW(B102)))&amp;"","")</f>
        <v>石佛湾渡槽出</v>
      </c>
      <c r="AT103" t="str">
        <f t="shared" si="46"/>
        <v>459265.0425,3389698.8382</v>
      </c>
      <c r="AV103">
        <f t="shared" si="47"/>
        <v>466.043</v>
      </c>
      <c r="AX103" t="str">
        <f t="shared" si="48"/>
        <v>pl 12990.9188662916,279 12990.9188662916,400 </v>
      </c>
      <c r="AY103" t="str">
        <f t="shared" si="49"/>
        <v>12990.9188662916,461.443</v>
      </c>
      <c r="AZ103" t="str">
        <f t="shared" si="50"/>
        <v>12990.9188662916,465.326</v>
      </c>
      <c r="BA103" t="str">
        <f t="shared" si="51"/>
        <v>12990.9188662916,466.043</v>
      </c>
      <c r="BB103" t="str">
        <f t="shared" si="52"/>
        <v>-text 12989.9188662916,337 3.5 90 461.443 </v>
      </c>
      <c r="BC103" t="str">
        <f t="shared" si="53"/>
        <v>-text 12989.9188662916,320 3.5 90 466.043 </v>
      </c>
      <c r="BD103" t="str">
        <f t="shared" si="54"/>
        <v>-text 12989.9188662916,306 3.5 90 465.326 </v>
      </c>
      <c r="BE103" t="str">
        <f t="shared" si="55"/>
        <v>-text 12989.9188662916,352 3.5 90 ZG25+981.838 </v>
      </c>
      <c r="BF103" t="str">
        <f t="shared" si="56"/>
        <v>-text 12989.9188662916,280 3.5 90 玉皇观渡槽出 </v>
      </c>
      <c r="BG103" t="str">
        <f t="shared" si="57"/>
        <v/>
      </c>
      <c r="BH103" t="str">
        <f t="shared" si="58"/>
        <v> </v>
      </c>
      <c r="BI103" t="str">
        <f t="shared" si="59"/>
        <v> </v>
      </c>
      <c r="BJ103" t="str">
        <f t="shared" si="60"/>
        <v> </v>
      </c>
    </row>
    <row r="104" spans="1:62">
      <c r="A104">
        <v>0</v>
      </c>
      <c r="B104">
        <v>103</v>
      </c>
      <c r="C104" t="s">
        <v>112</v>
      </c>
      <c r="D104">
        <v>459339.3789</v>
      </c>
      <c r="E104">
        <v>3389746.4232</v>
      </c>
      <c r="F104">
        <v>60</v>
      </c>
      <c r="G104">
        <f t="shared" si="75"/>
        <v>46.812</v>
      </c>
      <c r="H104">
        <f t="shared" si="76"/>
        <v>25.9717786646948</v>
      </c>
      <c r="I104">
        <f t="shared" si="77"/>
        <v>49.0214117666151</v>
      </c>
      <c r="J104">
        <f t="shared" si="78"/>
        <v>88.2622942708878</v>
      </c>
      <c r="K104" s="40">
        <f t="shared" si="79"/>
        <v>26044.1282481894</v>
      </c>
      <c r="L104" s="40">
        <f t="shared" si="80"/>
        <v>26068.6389540727</v>
      </c>
      <c r="M104" s="40">
        <f t="shared" si="81"/>
        <v>26093.149659956</v>
      </c>
      <c r="N104">
        <v>465.373</v>
      </c>
      <c r="O104">
        <v>461.404</v>
      </c>
      <c r="P104">
        <v>0.002</v>
      </c>
      <c r="Q104" s="39">
        <f t="shared" si="83"/>
        <v>459317.504910167</v>
      </c>
      <c r="R104" s="39">
        <f t="shared" si="84"/>
        <v>3389732.42099104</v>
      </c>
      <c r="S104" s="39">
        <f t="shared" si="61"/>
        <v>459340.24077076</v>
      </c>
      <c r="T104" s="39">
        <f t="shared" si="62"/>
        <v>3389741.11278662</v>
      </c>
      <c r="U104" s="39">
        <f t="shared" si="63"/>
        <v>459364.558531408</v>
      </c>
      <c r="V104" s="39">
        <f t="shared" si="64"/>
        <v>3389740.05771108</v>
      </c>
      <c r="AI104" t="str">
        <f t="array" ref="AI104">IFERROR(INDEX($L$2:$L$805,SMALL(IF(ISNUMBER(FIND($AH$2,$C$2:$C$805)),ROW($2:$805)-1,4^8),ROW(A103)))&amp;"","")</f>
        <v>75854.6465011719</v>
      </c>
      <c r="AJ104" t="str">
        <f t="array" ref="AJ104">IFERROR(INDEX($C$2:$C$805,SMALL(IF(ISNUMBER(FIND($AH$2,$C$2:$C$805)),ROW($2:$805)-1,4^8),ROW(B103)))&amp;"","")</f>
        <v>全家沟1#渡槽出</v>
      </c>
      <c r="AS104" t="str">
        <f>"-text"&amp;" "&amp;D104&amp;","&amp;E104&amp;" "&amp;"10"&amp;" "&amp;"0"&amp;" "&amp;C104</f>
        <v>-text 459339.3789,3389746.4232 10 0 IP56</v>
      </c>
      <c r="AT104" t="str">
        <f t="shared" si="46"/>
        <v>459339.3789,3389746.4232</v>
      </c>
      <c r="AV104">
        <f t="shared" si="47"/>
        <v>466.904</v>
      </c>
      <c r="AX104" t="str">
        <f t="shared" si="48"/>
        <v>pl 13034.3194770364,279 13034.3194770364,400 </v>
      </c>
      <c r="AY104" t="str">
        <f t="shared" si="49"/>
        <v>13034.3194770364,461.404</v>
      </c>
      <c r="AZ104" t="str">
        <f t="shared" si="50"/>
        <v>13034.3194770364,465.373</v>
      </c>
      <c r="BA104" t="str">
        <f t="shared" si="51"/>
        <v>13034.3194770364,466.904</v>
      </c>
      <c r="BB104" t="str">
        <f t="shared" si="52"/>
        <v>-text 13033.3194770364,337 3.5 90 461.404 </v>
      </c>
      <c r="BC104" t="str">
        <f t="shared" si="53"/>
        <v>-text 13033.3194770364,320 3.5 90 466.904 </v>
      </c>
      <c r="BD104" t="str">
        <f t="shared" si="54"/>
        <v>-text 13033.3194770364,306 3.5 90 465.373 </v>
      </c>
      <c r="BE104" t="str">
        <f t="shared" si="55"/>
        <v>-text 13033.3194770364,352 3.5 90 ZG26+068.639 </v>
      </c>
      <c r="BF104" t="str">
        <f t="shared" si="56"/>
        <v>-text 13033.3194770364,280 3.5 90 IP56 </v>
      </c>
      <c r="BG104" t="str">
        <f t="shared" si="57"/>
        <v>-TEXT 13035.3194770364,300 3.5 0 R=60</v>
      </c>
      <c r="BH104" t="str">
        <f t="shared" si="58"/>
        <v>-TEXT 13035.3194770364,295 3.5 0 α=46.81° </v>
      </c>
      <c r="BI104" t="str">
        <f t="shared" si="59"/>
        <v>-TEXT 13035.3194770364,290 3.5 0 T=25.97 </v>
      </c>
      <c r="BJ104" t="str">
        <f t="shared" si="60"/>
        <v>-TEXT 13035.3194770364,285 3.5 0 S=49.02 </v>
      </c>
    </row>
    <row r="105" spans="1:62">
      <c r="A105">
        <v>0</v>
      </c>
      <c r="B105">
        <v>104</v>
      </c>
      <c r="C105" s="42" t="str">
        <f>Sheet1!C93</f>
        <v>驼子桥泄水闸进</v>
      </c>
      <c r="D105" s="42">
        <v>459374.9734</v>
      </c>
      <c r="E105" s="42">
        <v>3389737.4248</v>
      </c>
      <c r="F105" s="42">
        <v>0</v>
      </c>
      <c r="G105" s="42">
        <f t="shared" si="75"/>
        <v>0</v>
      </c>
      <c r="H105" s="42">
        <f t="shared" si="76"/>
        <v>0</v>
      </c>
      <c r="I105" s="42">
        <f t="shared" si="77"/>
        <v>0</v>
      </c>
      <c r="J105" s="42">
        <f t="shared" si="78"/>
        <v>36.7142973895606</v>
      </c>
      <c r="K105" s="44">
        <f t="shared" si="79"/>
        <v>26103.8921786809</v>
      </c>
      <c r="L105" s="44">
        <f t="shared" si="80"/>
        <v>26103.8921786809</v>
      </c>
      <c r="M105" s="44">
        <f t="shared" si="81"/>
        <v>26103.8921786809</v>
      </c>
      <c r="N105" s="42">
        <v>465.365</v>
      </c>
      <c r="O105" s="42">
        <v>461.396</v>
      </c>
      <c r="P105" s="42">
        <v>0</v>
      </c>
      <c r="Q105" s="43">
        <f t="shared" si="83"/>
        <v>459374.9734</v>
      </c>
      <c r="R105" s="43">
        <f t="shared" si="84"/>
        <v>3389737.4248</v>
      </c>
      <c r="S105" s="43" t="str">
        <f t="shared" si="61"/>
        <v> </v>
      </c>
      <c r="T105" s="43" t="str">
        <f t="shared" si="62"/>
        <v> </v>
      </c>
      <c r="U105" s="43" t="str">
        <f t="shared" si="63"/>
        <v> </v>
      </c>
      <c r="V105" s="43" t="str">
        <f t="shared" si="64"/>
        <v> </v>
      </c>
      <c r="AI105" t="str">
        <f t="array" ref="AI105">IFERROR(INDEX($L$2:$L$805,SMALL(IF(ISNUMBER(FIND($AH$2,$C$2:$C$805)),ROW($2:$805)-1,4^8),ROW(A104)))&amp;"","")</f>
        <v>76113.0240434669</v>
      </c>
      <c r="AJ105" t="str">
        <f t="array" ref="AJ105">IFERROR(INDEX($C$2:$C$805,SMALL(IF(ISNUMBER(FIND($AH$2,$C$2:$C$805)),ROW($2:$805)-1,4^8),ROW(B104)))&amp;"","")</f>
        <v>全家沟2#渡槽出</v>
      </c>
      <c r="AS105" t="str">
        <f>"c "&amp;D105&amp;","&amp;E105&amp;" 1.5"</f>
        <v>c 459374.9734,3389737.4248 1.5</v>
      </c>
      <c r="AT105" t="str">
        <f t="shared" si="46"/>
        <v>459374.9734,3389737.4248</v>
      </c>
      <c r="AV105">
        <f t="shared" si="47"/>
        <v>466.896</v>
      </c>
      <c r="AX105" t="str">
        <f t="shared" si="48"/>
        <v>pl 13051.9460893404,279 13051.9460893404,400 </v>
      </c>
      <c r="AY105" t="str">
        <f t="shared" si="49"/>
        <v>13051.9460893404,461.396</v>
      </c>
      <c r="AZ105" t="str">
        <f t="shared" si="50"/>
        <v>13051.9460893404,465.365</v>
      </c>
      <c r="BA105" t="str">
        <f t="shared" si="51"/>
        <v>13051.9460893404,466.896</v>
      </c>
      <c r="BB105" t="str">
        <f t="shared" si="52"/>
        <v>-text 13050.9460893404,337 3.5 90 461.396 </v>
      </c>
      <c r="BC105" t="str">
        <f t="shared" si="53"/>
        <v>-text 13050.9460893404,320 3.5 90 466.896 </v>
      </c>
      <c r="BD105" t="str">
        <f t="shared" si="54"/>
        <v>-text 13050.9460893404,306 3.5 90 465.365 </v>
      </c>
      <c r="BE105" t="str">
        <f t="shared" si="55"/>
        <v>-text 13050.9460893404,352 3.5 90 ZG26+103.892 </v>
      </c>
      <c r="BF105" t="str">
        <f t="shared" si="56"/>
        <v>-text 13050.9460893404,280 3.5 90 驼子桥泄水闸进 </v>
      </c>
      <c r="BG105" t="str">
        <f t="shared" si="57"/>
        <v/>
      </c>
      <c r="BH105" t="str">
        <f t="shared" si="58"/>
        <v> </v>
      </c>
      <c r="BI105" t="str">
        <f t="shared" si="59"/>
        <v> </v>
      </c>
      <c r="BJ105" t="str">
        <f t="shared" si="60"/>
        <v> </v>
      </c>
    </row>
    <row r="106" spans="1:62">
      <c r="A106">
        <v>0</v>
      </c>
      <c r="B106">
        <v>105</v>
      </c>
      <c r="C106" s="42" t="str">
        <f>Sheet1!C94</f>
        <v>驼子桥泄水闸出</v>
      </c>
      <c r="D106" s="42">
        <v>459374.9734</v>
      </c>
      <c r="E106" s="42">
        <v>3389737.4248</v>
      </c>
      <c r="F106" s="42">
        <v>0</v>
      </c>
      <c r="G106" s="42">
        <f t="shared" si="75"/>
        <v>0</v>
      </c>
      <c r="H106" s="42">
        <f t="shared" si="76"/>
        <v>0</v>
      </c>
      <c r="I106" s="42">
        <f t="shared" si="77"/>
        <v>0</v>
      </c>
      <c r="J106" s="42">
        <f t="shared" si="78"/>
        <v>0</v>
      </c>
      <c r="K106" s="44">
        <f t="shared" si="79"/>
        <v>26103.8921786809</v>
      </c>
      <c r="L106" s="44">
        <f t="shared" si="80"/>
        <v>26103.8921786809</v>
      </c>
      <c r="M106" s="44">
        <f t="shared" si="81"/>
        <v>26103.8921786809</v>
      </c>
      <c r="N106" s="42">
        <v>465.335</v>
      </c>
      <c r="O106" s="42">
        <v>461.366</v>
      </c>
      <c r="P106" s="42">
        <v>0</v>
      </c>
      <c r="Q106" s="43">
        <f t="shared" si="83"/>
        <v>459374.9734</v>
      </c>
      <c r="R106" s="43">
        <f t="shared" si="84"/>
        <v>3389737.4248</v>
      </c>
      <c r="S106" s="43" t="str">
        <f t="shared" si="61"/>
        <v> </v>
      </c>
      <c r="T106" s="43" t="str">
        <f t="shared" si="62"/>
        <v> </v>
      </c>
      <c r="U106" s="43" t="str">
        <f t="shared" si="63"/>
        <v> </v>
      </c>
      <c r="V106" s="43" t="str">
        <f t="shared" si="64"/>
        <v> </v>
      </c>
      <c r="AI106" t="str">
        <f t="array" ref="AI106">IFERROR(INDEX($L$2:$L$805,SMALL(IF(ISNUMBER(FIND($AH$2,$C$2:$C$805)),ROW($2:$805)-1,4^8),ROW(A105)))&amp;"","")</f>
        <v>76463.9342708789</v>
      </c>
      <c r="AJ106" t="str">
        <f t="array" ref="AJ106">IFERROR(INDEX($C$2:$C$805,SMALL(IF(ISNUMBER(FIND($AH$2,$C$2:$C$805)),ROW($2:$805)-1,4^8),ROW(B105)))&amp;"","")</f>
        <v>丁家湾渡槽出</v>
      </c>
      <c r="AT106" t="str">
        <f t="shared" si="46"/>
        <v>459374.9734,3389737.4248</v>
      </c>
      <c r="AV106">
        <f t="shared" si="47"/>
        <v>466.866</v>
      </c>
      <c r="AX106" t="str">
        <f t="shared" si="48"/>
        <v>pl 13051.9460893404,279 13051.9460893404,400 </v>
      </c>
      <c r="AY106" t="str">
        <f t="shared" si="49"/>
        <v>13051.9460893404,461.366</v>
      </c>
      <c r="AZ106" t="str">
        <f t="shared" si="50"/>
        <v>13051.9460893404,465.335</v>
      </c>
      <c r="BA106" t="str">
        <f t="shared" si="51"/>
        <v>13051.9460893404,466.866</v>
      </c>
      <c r="BB106" t="str">
        <f t="shared" si="52"/>
        <v>-text 13050.9460893404,337 3.5 90 461.366 </v>
      </c>
      <c r="BC106" t="str">
        <f t="shared" si="53"/>
        <v>-text 13050.9460893404,320 3.5 90 466.866 </v>
      </c>
      <c r="BD106" t="str">
        <f t="shared" si="54"/>
        <v>-text 13050.9460893404,306 3.5 90 465.335 </v>
      </c>
      <c r="BE106" t="str">
        <f t="shared" si="55"/>
        <v>-text 13050.9460893404,352 3.5 90 ZG26+103.892 </v>
      </c>
      <c r="BF106" t="str">
        <f t="shared" si="56"/>
        <v>-text 13050.9460893404,280 3.5 90 驼子桥泄水闸出 </v>
      </c>
      <c r="BG106" t="str">
        <f t="shared" si="57"/>
        <v/>
      </c>
      <c r="BH106" t="str">
        <f t="shared" si="58"/>
        <v> </v>
      </c>
      <c r="BI106" t="str">
        <f t="shared" si="59"/>
        <v> </v>
      </c>
      <c r="BJ106" t="str">
        <f t="shared" si="60"/>
        <v> </v>
      </c>
    </row>
    <row r="107" spans="1:62">
      <c r="A107">
        <v>2</v>
      </c>
      <c r="B107">
        <v>106</v>
      </c>
      <c r="C107" t="str">
        <f>Sheet1!C95</f>
        <v>驼子桥渡槽进</v>
      </c>
      <c r="D107">
        <v>459386.1324</v>
      </c>
      <c r="E107">
        <v>3389734.6039</v>
      </c>
      <c r="G107">
        <f t="shared" si="75"/>
        <v>0</v>
      </c>
      <c r="H107">
        <f t="shared" si="76"/>
        <v>0</v>
      </c>
      <c r="I107">
        <f t="shared" si="77"/>
        <v>0</v>
      </c>
      <c r="J107">
        <f t="shared" si="78"/>
        <v>11.5100285755772</v>
      </c>
      <c r="K107" s="40">
        <f t="shared" si="79"/>
        <v>26115.4022072565</v>
      </c>
      <c r="L107" s="40">
        <f t="shared" si="80"/>
        <v>26115.4022072565</v>
      </c>
      <c r="M107" s="40">
        <f t="shared" si="81"/>
        <v>26115.4022072565</v>
      </c>
      <c r="N107">
        <v>465.213</v>
      </c>
      <c r="O107">
        <v>461.33</v>
      </c>
      <c r="P107">
        <v>0</v>
      </c>
      <c r="Q107" s="39">
        <f t="shared" si="83"/>
        <v>459386.1324</v>
      </c>
      <c r="R107" s="39">
        <f t="shared" si="84"/>
        <v>3389734.6039</v>
      </c>
      <c r="S107" s="39" t="str">
        <f t="shared" si="61"/>
        <v> </v>
      </c>
      <c r="T107" s="39" t="str">
        <f t="shared" si="62"/>
        <v> </v>
      </c>
      <c r="U107" s="39" t="str">
        <f t="shared" si="63"/>
        <v> </v>
      </c>
      <c r="V107" s="39" t="str">
        <f t="shared" si="64"/>
        <v> </v>
      </c>
      <c r="AI107" t="str">
        <f t="array" ref="AI107">IFERROR(INDEX($L$2:$L$805,SMALL(IF(ISNUMBER(FIND($AH$2,$C$2:$C$805)),ROW($2:$805)-1,4^8),ROW(A106)))&amp;"","")</f>
        <v>77111.2238995373</v>
      </c>
      <c r="AJ107" t="str">
        <f t="array" ref="AJ107">IFERROR(INDEX($C$2:$C$805,SMALL(IF(ISNUMBER(FIND($AH$2,$C$2:$C$805)),ROW($2:$805)-1,4^8),ROW(B106)))&amp;"","")</f>
        <v>白土地渡槽出</v>
      </c>
      <c r="AT107" t="str">
        <f t="shared" si="46"/>
        <v>459386.1324,3389734.6039</v>
      </c>
      <c r="AV107">
        <f t="shared" si="47"/>
        <v>465.93</v>
      </c>
      <c r="AX107" t="str">
        <f t="shared" si="48"/>
        <v>pl 13057.7011036282,279 13057.7011036282,400 </v>
      </c>
      <c r="AY107" t="str">
        <f t="shared" si="49"/>
        <v>13057.7011036282,461.33</v>
      </c>
      <c r="AZ107" t="str">
        <f t="shared" si="50"/>
        <v>13057.7011036282,465.213</v>
      </c>
      <c r="BA107" t="str">
        <f t="shared" si="51"/>
        <v>13057.7011036282,465.93</v>
      </c>
      <c r="BB107" t="str">
        <f t="shared" si="52"/>
        <v>-text 13056.7011036282,337 3.5 90 461.330 </v>
      </c>
      <c r="BC107" t="str">
        <f t="shared" si="53"/>
        <v>-text 13056.7011036282,320 3.5 90 465.930 </v>
      </c>
      <c r="BD107" t="str">
        <f t="shared" si="54"/>
        <v>-text 13056.7011036282,306 3.5 90 465.213 </v>
      </c>
      <c r="BE107" t="str">
        <f t="shared" si="55"/>
        <v>-text 13056.7011036282,352 3.5 90 ZG26+115.402 </v>
      </c>
      <c r="BF107" t="str">
        <f t="shared" si="56"/>
        <v>-text 13056.7011036282,280 3.5 90 驼子桥渡槽进 </v>
      </c>
      <c r="BG107" t="str">
        <f t="shared" si="57"/>
        <v/>
      </c>
      <c r="BH107" t="str">
        <f t="shared" si="58"/>
        <v> </v>
      </c>
      <c r="BI107" t="str">
        <f t="shared" si="59"/>
        <v> </v>
      </c>
      <c r="BJ107" t="str">
        <f t="shared" si="60"/>
        <v> </v>
      </c>
    </row>
    <row r="108" spans="1:62">
      <c r="A108">
        <v>2</v>
      </c>
      <c r="B108">
        <v>107</v>
      </c>
      <c r="C108" t="s">
        <v>116</v>
      </c>
      <c r="D108">
        <v>460303.6126</v>
      </c>
      <c r="E108">
        <v>3389502.6675</v>
      </c>
      <c r="F108">
        <v>80</v>
      </c>
      <c r="G108">
        <f t="shared" si="75"/>
        <v>48.298</v>
      </c>
      <c r="H108">
        <f t="shared" si="76"/>
        <v>35.8678677162824</v>
      </c>
      <c r="I108">
        <f t="shared" si="77"/>
        <v>67.4367297702577</v>
      </c>
      <c r="J108">
        <f t="shared" si="78"/>
        <v>946.342649909105</v>
      </c>
      <c r="K108" s="40">
        <f t="shared" si="79"/>
        <v>27025.8769894493</v>
      </c>
      <c r="L108" s="40">
        <f t="shared" si="80"/>
        <v>27059.5953543344</v>
      </c>
      <c r="M108" s="40">
        <f t="shared" si="81"/>
        <v>27093.3137192195</v>
      </c>
      <c r="N108">
        <v>464.781</v>
      </c>
      <c r="O108">
        <v>460.898</v>
      </c>
      <c r="P108">
        <v>0.006</v>
      </c>
      <c r="Q108" s="39">
        <f t="shared" si="83"/>
        <v>460268.838664313</v>
      </c>
      <c r="R108" s="39">
        <f t="shared" si="84"/>
        <v>3389511.4582526</v>
      </c>
      <c r="S108" s="39">
        <f t="shared" si="61"/>
        <v>460298.853495665</v>
      </c>
      <c r="T108" s="39">
        <f t="shared" si="62"/>
        <v>3389496.6491583</v>
      </c>
      <c r="U108" s="39">
        <f t="shared" si="63"/>
        <v>460320.183107857</v>
      </c>
      <c r="V108" s="39">
        <f t="shared" si="64"/>
        <v>3389470.85677533</v>
      </c>
      <c r="AI108" t="str">
        <f t="array" ref="AI108">IFERROR(INDEX($L$2:$L$805,SMALL(IF(ISNUMBER(FIND($AH$2,$C$2:$C$805)),ROW($2:$805)-1,4^8),ROW(A107)))&amp;"","")</f>
        <v>78437.686104672</v>
      </c>
      <c r="AJ108" t="str">
        <f t="array" ref="AJ108">IFERROR(INDEX($C$2:$C$805,SMALL(IF(ISNUMBER(FIND($AH$2,$C$2:$C$805)),ROW($2:$805)-1,4^8),ROW(B107)))&amp;"","")</f>
        <v>凤凰山隧出</v>
      </c>
      <c r="AS108" t="str">
        <f>"-text"&amp;" "&amp;D108&amp;","&amp;E108&amp;" "&amp;"10"&amp;" "&amp;"0"&amp;" "&amp;C108</f>
        <v>-text 460303.6126,3389502.6675 10 0 IP57</v>
      </c>
      <c r="AT108" t="str">
        <f t="shared" si="46"/>
        <v>460303.6126,3389502.6675</v>
      </c>
      <c r="AV108">
        <f t="shared" si="47"/>
        <v>465.498</v>
      </c>
      <c r="AX108" t="str">
        <f t="shared" si="48"/>
        <v>pl 13529.7976771672,279 13529.7976771672,400 </v>
      </c>
      <c r="AY108" t="str">
        <f t="shared" si="49"/>
        <v>13529.7976771672,460.898</v>
      </c>
      <c r="AZ108" t="str">
        <f t="shared" si="50"/>
        <v>13529.7976771672,464.781</v>
      </c>
      <c r="BA108" t="str">
        <f t="shared" si="51"/>
        <v>13529.7976771672,465.498</v>
      </c>
      <c r="BB108" t="str">
        <f t="shared" si="52"/>
        <v>-text 13528.7976771672,337 3.5 90 460.898 </v>
      </c>
      <c r="BC108" t="str">
        <f t="shared" si="53"/>
        <v>-text 13528.7976771672,320 3.5 90 465.498 </v>
      </c>
      <c r="BD108" t="str">
        <f t="shared" si="54"/>
        <v>-text 13528.7976771672,306 3.5 90 464.781 </v>
      </c>
      <c r="BE108" t="str">
        <f t="shared" si="55"/>
        <v>-text 13528.7976771672,352 3.5 90 ZG27+059.595 </v>
      </c>
      <c r="BF108" t="str">
        <f t="shared" si="56"/>
        <v>-text 13528.7976771672,280 3.5 90 IP57 </v>
      </c>
      <c r="BG108" t="str">
        <f t="shared" si="57"/>
        <v>-TEXT 13530.7976771672,300 3.5 0 R=80</v>
      </c>
      <c r="BH108" t="str">
        <f t="shared" si="58"/>
        <v>-TEXT 13530.7976771672,295 3.5 0 α=48.30° </v>
      </c>
      <c r="BI108" t="str">
        <f t="shared" si="59"/>
        <v>-TEXT 13530.7976771672,290 3.5 0 T=35.87 </v>
      </c>
      <c r="BJ108" t="str">
        <f t="shared" si="60"/>
        <v>-TEXT 13530.7976771672,285 3.5 0 S=67.44 </v>
      </c>
    </row>
    <row r="109" spans="1:62">
      <c r="A109">
        <v>2</v>
      </c>
      <c r="B109">
        <v>108</v>
      </c>
      <c r="C109" t="s">
        <v>117</v>
      </c>
      <c r="D109">
        <v>460410.1389</v>
      </c>
      <c r="E109">
        <v>3389298.1669</v>
      </c>
      <c r="F109">
        <v>80</v>
      </c>
      <c r="G109">
        <f t="shared" si="75"/>
        <v>13.955</v>
      </c>
      <c r="H109">
        <f t="shared" si="76"/>
        <v>9.79087685358528</v>
      </c>
      <c r="I109">
        <f t="shared" si="77"/>
        <v>19.4848557692647</v>
      </c>
      <c r="J109">
        <f t="shared" si="78"/>
        <v>230.582627255437</v>
      </c>
      <c r="K109" s="40">
        <f t="shared" si="79"/>
        <v>27278.2376019051</v>
      </c>
      <c r="L109" s="40">
        <f t="shared" si="80"/>
        <v>27287.9800297897</v>
      </c>
      <c r="M109" s="40">
        <f t="shared" si="81"/>
        <v>27297.7224576744</v>
      </c>
      <c r="N109">
        <v>464.674</v>
      </c>
      <c r="O109">
        <v>460.791</v>
      </c>
      <c r="P109">
        <v>0.002</v>
      </c>
      <c r="Q109" s="39">
        <f t="shared" si="83"/>
        <v>460405.615636919</v>
      </c>
      <c r="R109" s="39">
        <f t="shared" si="84"/>
        <v>3389306.85029569</v>
      </c>
      <c r="S109" s="39">
        <f t="shared" si="61"/>
        <v>460410.630883533</v>
      </c>
      <c r="T109" s="39">
        <f t="shared" si="62"/>
        <v>3389298.50494472</v>
      </c>
      <c r="U109" s="39">
        <f t="shared" si="63"/>
        <v>460416.622809885</v>
      </c>
      <c r="V109" s="39">
        <f t="shared" si="64"/>
        <v>3389290.83067603</v>
      </c>
      <c r="AI109" t="str">
        <f t="array" ref="AI109">IFERROR(INDEX($L$2:$L$805,SMALL(IF(ISNUMBER(FIND($AH$2,$C$2:$C$805)),ROW($2:$805)-1,4^8),ROW(A108)))&amp;"","")</f>
        <v>79094.656411995</v>
      </c>
      <c r="AJ109" t="str">
        <f t="array" ref="AJ109">IFERROR(INDEX($C$2:$C$805,SMALL(IF(ISNUMBER(FIND($AH$2,$C$2:$C$805)),ROW($2:$805)-1,4^8),ROW(B108)))&amp;"","")</f>
        <v>书房湾隧出</v>
      </c>
      <c r="AS109" t="str">
        <f>"-text"&amp;" "&amp;D109&amp;","&amp;E109&amp;" "&amp;"10"&amp;" "&amp;"0"&amp;" "&amp;C109</f>
        <v>-text 460410.1389,3389298.1669 10 0 IP58</v>
      </c>
      <c r="AT109" t="str">
        <f t="shared" si="46"/>
        <v>460410.1389,3389298.1669</v>
      </c>
      <c r="AV109">
        <f t="shared" si="47"/>
        <v>465.391</v>
      </c>
      <c r="AX109" t="str">
        <f t="shared" si="48"/>
        <v>pl 13643.9900148949,279 13643.9900148949,400 </v>
      </c>
      <c r="AY109" t="str">
        <f t="shared" si="49"/>
        <v>13643.9900148949,460.791</v>
      </c>
      <c r="AZ109" t="str">
        <f t="shared" si="50"/>
        <v>13643.9900148949,464.674</v>
      </c>
      <c r="BA109" t="str">
        <f t="shared" si="51"/>
        <v>13643.9900148949,465.391</v>
      </c>
      <c r="BB109" t="str">
        <f t="shared" si="52"/>
        <v>-text 13642.9900148949,337 3.5 90 460.791 </v>
      </c>
      <c r="BC109" t="str">
        <f t="shared" si="53"/>
        <v>-text 13642.9900148949,320 3.5 90 465.391 </v>
      </c>
      <c r="BD109" t="str">
        <f t="shared" si="54"/>
        <v>-text 13642.9900148949,306 3.5 90 464.674 </v>
      </c>
      <c r="BE109" t="str">
        <f t="shared" si="55"/>
        <v>-text 13642.9900148949,352 3.5 90 ZG27+287.980 </v>
      </c>
      <c r="BF109" t="str">
        <f t="shared" si="56"/>
        <v>-text 13642.9900148949,280 3.5 90 IP58 </v>
      </c>
      <c r="BG109" t="str">
        <f t="shared" si="57"/>
        <v>-TEXT 13644.9900148949,300 3.5 0 R=80</v>
      </c>
      <c r="BH109" t="str">
        <f t="shared" si="58"/>
        <v>-TEXT 13644.9900148949,295 3.5 0 α=13.96° </v>
      </c>
      <c r="BI109" t="str">
        <f t="shared" si="59"/>
        <v>-TEXT 13644.9900148949,290 3.5 0 T=9.79 </v>
      </c>
      <c r="BJ109" t="str">
        <f t="shared" si="60"/>
        <v>-TEXT 13644.9900148949,285 3.5 0 S=19.48 </v>
      </c>
    </row>
    <row r="110" spans="1:62">
      <c r="A110">
        <v>2</v>
      </c>
      <c r="B110">
        <v>109</v>
      </c>
      <c r="C110" t="str">
        <f>Sheet1!C98</f>
        <v>驼子桥渡槽出</v>
      </c>
      <c r="D110">
        <v>460498.0837</v>
      </c>
      <c r="E110">
        <v>3389198.6617</v>
      </c>
      <c r="G110">
        <f t="shared" si="75"/>
        <v>0</v>
      </c>
      <c r="H110">
        <f t="shared" si="76"/>
        <v>0</v>
      </c>
      <c r="I110">
        <f t="shared" si="77"/>
        <v>0</v>
      </c>
      <c r="J110">
        <f t="shared" si="78"/>
        <v>132.798993498002</v>
      </c>
      <c r="K110" s="40">
        <f t="shared" si="79"/>
        <v>27420.7305743188</v>
      </c>
      <c r="L110" s="40">
        <f t="shared" si="80"/>
        <v>27420.7305743188</v>
      </c>
      <c r="M110" s="40">
        <f t="shared" si="81"/>
        <v>27420.7305743188</v>
      </c>
      <c r="N110">
        <v>464.612</v>
      </c>
      <c r="O110">
        <v>460.729</v>
      </c>
      <c r="P110">
        <v>0</v>
      </c>
      <c r="Q110" s="39">
        <f t="shared" si="83"/>
        <v>460498.0837</v>
      </c>
      <c r="R110" s="39">
        <f t="shared" si="84"/>
        <v>3389198.6617</v>
      </c>
      <c r="S110" s="39" t="str">
        <f t="shared" si="61"/>
        <v> </v>
      </c>
      <c r="T110" s="39" t="str">
        <f t="shared" si="62"/>
        <v> </v>
      </c>
      <c r="U110" s="39" t="str">
        <f t="shared" si="63"/>
        <v> </v>
      </c>
      <c r="V110" s="39" t="str">
        <f t="shared" si="64"/>
        <v> </v>
      </c>
      <c r="AI110" t="str">
        <f t="array" ref="AI110">IFERROR(INDEX($L$2:$L$805,SMALL(IF(ISNUMBER(FIND($AH$2,$C$2:$C$805)),ROW($2:$805)-1,4^8),ROW(A109)))&amp;"","")</f>
        <v>79403.2461275148</v>
      </c>
      <c r="AJ110" t="str">
        <f t="array" ref="AJ110">IFERROR(INDEX($C$2:$C$805,SMALL(IF(ISNUMBER(FIND($AH$2,$C$2:$C$805)),ROW($2:$805)-1,4^8),ROW(B109)))&amp;"","")</f>
        <v>大龙沟渡槽出</v>
      </c>
      <c r="AT110" t="str">
        <f t="shared" si="46"/>
        <v>460498.0837,3389198.6617</v>
      </c>
      <c r="AV110">
        <f t="shared" si="47"/>
        <v>465.329</v>
      </c>
      <c r="AX110" t="str">
        <f t="shared" si="48"/>
        <v>pl 13710.3652871594,279 13710.3652871594,400 </v>
      </c>
      <c r="AY110" t="str">
        <f t="shared" si="49"/>
        <v>13710.3652871594,460.729</v>
      </c>
      <c r="AZ110" t="str">
        <f t="shared" si="50"/>
        <v>13710.3652871594,464.612</v>
      </c>
      <c r="BA110" t="str">
        <f t="shared" si="51"/>
        <v>13710.3652871594,465.329</v>
      </c>
      <c r="BB110" t="str">
        <f t="shared" si="52"/>
        <v>-text 13709.3652871594,337 3.5 90 460.729 </v>
      </c>
      <c r="BC110" t="str">
        <f t="shared" si="53"/>
        <v>-text 13709.3652871594,320 3.5 90 465.329 </v>
      </c>
      <c r="BD110" t="str">
        <f t="shared" si="54"/>
        <v>-text 13709.3652871594,306 3.5 90 464.612 </v>
      </c>
      <c r="BE110" t="str">
        <f t="shared" si="55"/>
        <v>-text 13709.3652871594,352 3.5 90 ZG27+420.731 </v>
      </c>
      <c r="BF110" t="str">
        <f t="shared" si="56"/>
        <v>-text 13709.3652871594,280 3.5 90 驼子桥渡槽出 </v>
      </c>
      <c r="BG110" t="str">
        <f t="shared" si="57"/>
        <v/>
      </c>
      <c r="BH110" t="str">
        <f t="shared" si="58"/>
        <v> </v>
      </c>
      <c r="BI110" t="str">
        <f t="shared" si="59"/>
        <v> </v>
      </c>
      <c r="BJ110" t="str">
        <f t="shared" si="60"/>
        <v> </v>
      </c>
    </row>
    <row r="111" spans="1:62">
      <c r="A111">
        <v>0</v>
      </c>
      <c r="B111">
        <v>110</v>
      </c>
      <c r="C111" s="42" t="str">
        <f>Sheet1!C99</f>
        <v>小湾泄水闸进</v>
      </c>
      <c r="D111" s="42">
        <v>460544.0744</v>
      </c>
      <c r="E111" s="42">
        <v>3389146.6254</v>
      </c>
      <c r="G111">
        <f t="shared" si="75"/>
        <v>0</v>
      </c>
      <c r="H111">
        <f t="shared" si="76"/>
        <v>0</v>
      </c>
      <c r="I111">
        <f t="shared" si="77"/>
        <v>0</v>
      </c>
      <c r="J111">
        <f t="shared" si="78"/>
        <v>69.4472533956876</v>
      </c>
      <c r="K111" s="40">
        <f t="shared" si="79"/>
        <v>27490.1778277145</v>
      </c>
      <c r="L111" s="40">
        <f t="shared" si="80"/>
        <v>27490.1778277145</v>
      </c>
      <c r="M111" s="40">
        <f t="shared" si="81"/>
        <v>27490.1778277145</v>
      </c>
      <c r="N111">
        <v>464.664</v>
      </c>
      <c r="O111">
        <v>460.695</v>
      </c>
      <c r="P111">
        <v>0</v>
      </c>
      <c r="Q111" s="39">
        <f t="shared" si="83"/>
        <v>460544.0744</v>
      </c>
      <c r="R111" s="39">
        <f t="shared" si="84"/>
        <v>3389146.6254</v>
      </c>
      <c r="S111" s="39" t="str">
        <f t="shared" si="61"/>
        <v> </v>
      </c>
      <c r="T111" s="39" t="str">
        <f t="shared" si="62"/>
        <v> </v>
      </c>
      <c r="U111" s="39" t="str">
        <f t="shared" si="63"/>
        <v> </v>
      </c>
      <c r="V111" s="39" t="str">
        <f t="shared" si="64"/>
        <v> </v>
      </c>
      <c r="AI111" t="str">
        <f t="array" ref="AI111">IFERROR(INDEX($L$2:$L$805,SMALL(IF(ISNUMBER(FIND($AH$2,$C$2:$C$805)),ROW($2:$805)-1,4^8),ROW(A110)))&amp;"","")</f>
        <v>80846.5078251235</v>
      </c>
      <c r="AJ111" t="str">
        <f t="array" ref="AJ111">IFERROR(INDEX($C$2:$C$805,SMALL(IF(ISNUMBER(FIND($AH$2,$C$2:$C$805)),ROW($2:$805)-1,4^8),ROW(B110)))&amp;"","")</f>
        <v>苏家湾隧出</v>
      </c>
      <c r="AT111" t="str">
        <f t="shared" si="46"/>
        <v>460544.0744,3389146.6254</v>
      </c>
      <c r="AV111">
        <f t="shared" si="47"/>
        <v>466.195</v>
      </c>
      <c r="AX111" t="str">
        <f t="shared" si="48"/>
        <v>pl 13745.0889138572,279 13745.0889138572,400 </v>
      </c>
      <c r="AY111" t="str">
        <f t="shared" si="49"/>
        <v>13745.0889138572,460.695</v>
      </c>
      <c r="AZ111" t="str">
        <f t="shared" si="50"/>
        <v>13745.0889138572,464.664</v>
      </c>
      <c r="BA111" t="str">
        <f t="shared" si="51"/>
        <v>13745.0889138572,466.195</v>
      </c>
      <c r="BB111" t="str">
        <f t="shared" si="52"/>
        <v>-text 13744.0889138572,337 3.5 90 460.695 </v>
      </c>
      <c r="BC111" t="str">
        <f t="shared" si="53"/>
        <v>-text 13744.0889138572,320 3.5 90 466.195 </v>
      </c>
      <c r="BD111" t="str">
        <f t="shared" si="54"/>
        <v>-text 13744.0889138572,306 3.5 90 464.664 </v>
      </c>
      <c r="BE111" t="str">
        <f t="shared" si="55"/>
        <v>-text 13744.0889138572,352 3.5 90 ZG27+490.178 </v>
      </c>
      <c r="BF111" t="str">
        <f t="shared" si="56"/>
        <v>-text 13744.0889138572,280 3.5 90 小湾泄水闸进 </v>
      </c>
      <c r="BG111" t="str">
        <f t="shared" si="57"/>
        <v/>
      </c>
      <c r="BH111" t="str">
        <f t="shared" si="58"/>
        <v> </v>
      </c>
      <c r="BI111" t="str">
        <f t="shared" si="59"/>
        <v> </v>
      </c>
      <c r="BJ111" t="str">
        <f t="shared" si="60"/>
        <v> </v>
      </c>
    </row>
    <row r="112" spans="1:62">
      <c r="A112">
        <v>0</v>
      </c>
      <c r="B112">
        <v>111</v>
      </c>
      <c r="C112" s="42" t="str">
        <f>Sheet1!C100</f>
        <v>小湾泄水闸出</v>
      </c>
      <c r="D112" s="42">
        <v>460544.0744</v>
      </c>
      <c r="E112" s="42">
        <v>3389146.6254</v>
      </c>
      <c r="F112">
        <v>0</v>
      </c>
      <c r="G112">
        <f t="shared" si="75"/>
        <v>0</v>
      </c>
      <c r="H112">
        <f t="shared" si="76"/>
        <v>0</v>
      </c>
      <c r="I112">
        <f t="shared" si="77"/>
        <v>0</v>
      </c>
      <c r="J112">
        <f t="shared" si="78"/>
        <v>0</v>
      </c>
      <c r="K112" s="40">
        <f t="shared" si="79"/>
        <v>27490.1778277145</v>
      </c>
      <c r="L112" s="40">
        <f t="shared" si="80"/>
        <v>27490.1778277145</v>
      </c>
      <c r="M112" s="40">
        <f t="shared" si="81"/>
        <v>27490.1778277145</v>
      </c>
      <c r="N112">
        <v>464.634</v>
      </c>
      <c r="O112">
        <v>460.665</v>
      </c>
      <c r="P112">
        <v>0</v>
      </c>
      <c r="Q112" s="39">
        <f t="shared" si="83"/>
        <v>460544.0744</v>
      </c>
      <c r="R112" s="39">
        <f t="shared" si="84"/>
        <v>3389146.6254</v>
      </c>
      <c r="S112" s="39" t="str">
        <f t="shared" si="61"/>
        <v> </v>
      </c>
      <c r="T112" s="39" t="str">
        <f t="shared" si="62"/>
        <v> </v>
      </c>
      <c r="U112" s="39" t="str">
        <f t="shared" si="63"/>
        <v> </v>
      </c>
      <c r="V112" s="39" t="str">
        <f t="shared" si="64"/>
        <v> </v>
      </c>
      <c r="AI112" t="str">
        <f t="array" ref="AI112">IFERROR(INDEX($L$2:$L$805,SMALL(IF(ISNUMBER(FIND($AH$2,$C$2:$C$805)),ROW($2:$805)-1,4^8),ROW(A111)))&amp;"","")</f>
        <v>81027.5310922427</v>
      </c>
      <c r="AJ112" t="str">
        <f t="array" ref="AJ112">IFERROR(INDEX($C$2:$C$805,SMALL(IF(ISNUMBER(FIND($AH$2,$C$2:$C$805)),ROW($2:$805)-1,4^8),ROW(B111)))&amp;"","")</f>
        <v>袁家沟渡槽出</v>
      </c>
      <c r="AT112" t="str">
        <f t="shared" si="46"/>
        <v>460544.0744,3389146.6254</v>
      </c>
      <c r="AV112">
        <f t="shared" si="47"/>
        <v>466.165</v>
      </c>
      <c r="AX112" t="str">
        <f t="shared" si="48"/>
        <v>pl 13745.0889138572,279 13745.0889138572,400 </v>
      </c>
      <c r="AY112" t="str">
        <f t="shared" si="49"/>
        <v>13745.0889138572,460.665</v>
      </c>
      <c r="AZ112" t="str">
        <f t="shared" si="50"/>
        <v>13745.0889138572,464.634</v>
      </c>
      <c r="BA112" t="str">
        <f t="shared" si="51"/>
        <v>13745.0889138572,466.165</v>
      </c>
      <c r="BB112" t="str">
        <f t="shared" si="52"/>
        <v>-text 13744.0889138572,337 3.5 90 460.665 </v>
      </c>
      <c r="BC112" t="str">
        <f t="shared" si="53"/>
        <v>-text 13744.0889138572,320 3.5 90 466.165 </v>
      </c>
      <c r="BD112" t="str">
        <f t="shared" si="54"/>
        <v>-text 13744.0889138572,306 3.5 90 464.634 </v>
      </c>
      <c r="BE112" t="str">
        <f t="shared" si="55"/>
        <v>-text 13744.0889138572,352 3.5 90 ZG27+490.178 </v>
      </c>
      <c r="BF112" t="str">
        <f t="shared" si="56"/>
        <v>-text 13744.0889138572,280 3.5 90 小湾泄水闸出 </v>
      </c>
      <c r="BG112" t="str">
        <f t="shared" si="57"/>
        <v/>
      </c>
      <c r="BH112" t="str">
        <f t="shared" si="58"/>
        <v> </v>
      </c>
      <c r="BI112" t="str">
        <f t="shared" si="59"/>
        <v> </v>
      </c>
      <c r="BJ112" t="str">
        <f t="shared" si="60"/>
        <v> </v>
      </c>
    </row>
    <row r="113" spans="1:62">
      <c r="A113">
        <v>2</v>
      </c>
      <c r="B113">
        <v>112</v>
      </c>
      <c r="C113" t="str">
        <f>Sheet1!C101</f>
        <v>小湾渡槽进</v>
      </c>
      <c r="D113">
        <v>460575.7348</v>
      </c>
      <c r="E113">
        <v>3389110.8031</v>
      </c>
      <c r="G113">
        <f t="shared" si="75"/>
        <v>0</v>
      </c>
      <c r="H113">
        <f t="shared" si="76"/>
        <v>0</v>
      </c>
      <c r="I113">
        <f t="shared" si="77"/>
        <v>0</v>
      </c>
      <c r="J113">
        <f t="shared" si="78"/>
        <v>47.8081384852469</v>
      </c>
      <c r="K113" s="40">
        <f t="shared" si="79"/>
        <v>27537.9859661997</v>
      </c>
      <c r="L113" s="40">
        <f t="shared" si="80"/>
        <v>27537.9859661997</v>
      </c>
      <c r="M113" s="40">
        <f t="shared" si="81"/>
        <v>27537.9859661997</v>
      </c>
      <c r="N113">
        <v>464.506</v>
      </c>
      <c r="O113">
        <v>460.623</v>
      </c>
      <c r="P113">
        <v>0</v>
      </c>
      <c r="Q113" s="39">
        <f t="shared" si="83"/>
        <v>460575.7348</v>
      </c>
      <c r="R113" s="39">
        <f t="shared" si="84"/>
        <v>3389110.8031</v>
      </c>
      <c r="S113" s="39" t="str">
        <f t="shared" si="61"/>
        <v> </v>
      </c>
      <c r="T113" s="39" t="str">
        <f t="shared" si="62"/>
        <v> </v>
      </c>
      <c r="U113" s="39" t="str">
        <f t="shared" si="63"/>
        <v> </v>
      </c>
      <c r="V113" s="39" t="str">
        <f t="shared" si="64"/>
        <v> </v>
      </c>
      <c r="AI113" t="str">
        <f t="array" ref="AI113">IFERROR(INDEX($L$2:$L$805,SMALL(IF(ISNUMBER(FIND($AH$2,$C$2:$C$805)),ROW($2:$805)-1,4^8),ROW(A112)))&amp;"","")</f>
        <v>81907.7644491207</v>
      </c>
      <c r="AJ113" t="str">
        <f t="array" ref="AJ113">IFERROR(INDEX($C$2:$C$805,SMALL(IF(ISNUMBER(FIND($AH$2,$C$2:$C$805)),ROW($2:$805)-1,4^8),ROW(B112)))&amp;"","")</f>
        <v>坐牛堂隧出</v>
      </c>
      <c r="AT113" t="str">
        <f t="shared" si="46"/>
        <v>460575.7348,3389110.8031</v>
      </c>
      <c r="AV113">
        <f t="shared" si="47"/>
        <v>465.223</v>
      </c>
      <c r="AX113" t="str">
        <f t="shared" si="48"/>
        <v>pl 13768.9929830999,279 13768.9929830999,400 </v>
      </c>
      <c r="AY113" t="str">
        <f t="shared" si="49"/>
        <v>13768.9929830999,460.623</v>
      </c>
      <c r="AZ113" t="str">
        <f t="shared" si="50"/>
        <v>13768.9929830999,464.506</v>
      </c>
      <c r="BA113" t="str">
        <f t="shared" si="51"/>
        <v>13768.9929830999,465.223</v>
      </c>
      <c r="BB113" t="str">
        <f t="shared" si="52"/>
        <v>-text 13767.9929830999,337 3.5 90 460.623 </v>
      </c>
      <c r="BC113" t="str">
        <f t="shared" si="53"/>
        <v>-text 13767.9929830999,320 3.5 90 465.223 </v>
      </c>
      <c r="BD113" t="str">
        <f t="shared" si="54"/>
        <v>-text 13767.9929830999,306 3.5 90 464.506 </v>
      </c>
      <c r="BE113" t="str">
        <f t="shared" si="55"/>
        <v>-text 13767.9929830999,352 3.5 90 ZG27+537.986 </v>
      </c>
      <c r="BF113" t="str">
        <f t="shared" si="56"/>
        <v>-text 13767.9929830999,280 3.5 90 小湾渡槽进 </v>
      </c>
      <c r="BG113" t="str">
        <f t="shared" si="57"/>
        <v/>
      </c>
      <c r="BH113" t="str">
        <f t="shared" si="58"/>
        <v> </v>
      </c>
      <c r="BI113" t="str">
        <f t="shared" si="59"/>
        <v> </v>
      </c>
      <c r="BJ113" t="str">
        <f t="shared" si="60"/>
        <v> </v>
      </c>
    </row>
    <row r="114" spans="1:62">
      <c r="A114">
        <v>2</v>
      </c>
      <c r="B114">
        <v>113</v>
      </c>
      <c r="C114" t="s">
        <v>122</v>
      </c>
      <c r="D114">
        <v>460671.0839</v>
      </c>
      <c r="E114">
        <v>3389002.9203</v>
      </c>
      <c r="F114">
        <v>80</v>
      </c>
      <c r="G114">
        <f t="shared" si="75"/>
        <v>34.154</v>
      </c>
      <c r="H114">
        <f t="shared" si="76"/>
        <v>24.5760644994694</v>
      </c>
      <c r="I114">
        <f t="shared" si="77"/>
        <v>47.6879802180915</v>
      </c>
      <c r="J114">
        <f t="shared" si="78"/>
        <v>143.979684006857</v>
      </c>
      <c r="K114" s="40">
        <f t="shared" si="79"/>
        <v>27657.3895857071</v>
      </c>
      <c r="L114" s="40">
        <f t="shared" si="80"/>
        <v>27681.2335758162</v>
      </c>
      <c r="M114" s="40">
        <f t="shared" si="81"/>
        <v>27705.0775659252</v>
      </c>
      <c r="N114">
        <v>464.439</v>
      </c>
      <c r="O114">
        <v>460.556</v>
      </c>
      <c r="P114">
        <v>0.004</v>
      </c>
      <c r="Q114" s="39">
        <f t="shared" si="83"/>
        <v>460654.808648059</v>
      </c>
      <c r="R114" s="39">
        <f t="shared" si="84"/>
        <v>3389021.33494419</v>
      </c>
      <c r="S114" s="39">
        <f t="shared" si="61"/>
        <v>460667.723509882</v>
      </c>
      <c r="T114" s="39">
        <f t="shared" si="62"/>
        <v>3389001.39638427</v>
      </c>
      <c r="U114" s="39">
        <f t="shared" si="63"/>
        <v>460674.213904127</v>
      </c>
      <c r="V114" s="39">
        <f t="shared" si="64"/>
        <v>3388978.54436883</v>
      </c>
      <c r="AI114" t="str">
        <f t="array" ref="AI114">IFERROR(INDEX($L$2:$L$805,SMALL(IF(ISNUMBER(FIND($AH$2,$C$2:$C$805)),ROW($2:$805)-1,4^8),ROW(A113)))&amp;"","")</f>
        <v>81923.1296160029</v>
      </c>
      <c r="AJ114" t="str">
        <f t="array" ref="AJ114">IFERROR(INDEX($C$2:$C$805,SMALL(IF(ISNUMBER(FIND($AH$2,$C$2:$C$805)),ROW($2:$805)-1,4^8),ROW(B113)))&amp;"","")</f>
        <v>邓家湾泄水闸出</v>
      </c>
      <c r="AS114" t="str">
        <f t="shared" ref="AS114:AS121" si="85">"-text"&amp;" "&amp;D114&amp;","&amp;E114&amp;" "&amp;"10"&amp;" "&amp;"0"&amp;" "&amp;C114</f>
        <v>-text 460671.0839,3389002.9203 10 0 IP59</v>
      </c>
      <c r="AT114" t="str">
        <f t="shared" si="46"/>
        <v>460671.0839,3389002.9203</v>
      </c>
      <c r="AV114">
        <f t="shared" si="47"/>
        <v>465.156</v>
      </c>
      <c r="AX114" t="str">
        <f t="shared" si="48"/>
        <v>pl 13840.6167879081,279 13840.6167879081,400 </v>
      </c>
      <c r="AY114" t="str">
        <f t="shared" si="49"/>
        <v>13840.6167879081,460.556</v>
      </c>
      <c r="AZ114" t="str">
        <f t="shared" si="50"/>
        <v>13840.6167879081,464.439</v>
      </c>
      <c r="BA114" t="str">
        <f t="shared" si="51"/>
        <v>13840.6167879081,465.156</v>
      </c>
      <c r="BB114" t="str">
        <f t="shared" si="52"/>
        <v>-text 13839.6167879081,337 3.5 90 460.556 </v>
      </c>
      <c r="BC114" t="str">
        <f t="shared" si="53"/>
        <v>-text 13839.6167879081,320 3.5 90 465.156 </v>
      </c>
      <c r="BD114" t="str">
        <f t="shared" si="54"/>
        <v>-text 13839.6167879081,306 3.5 90 464.439 </v>
      </c>
      <c r="BE114" t="str">
        <f t="shared" si="55"/>
        <v>-text 13839.6167879081,352 3.5 90 ZG27+681.234 </v>
      </c>
      <c r="BF114" t="str">
        <f t="shared" si="56"/>
        <v>-text 13839.6167879081,280 3.5 90 IP59 </v>
      </c>
      <c r="BG114" t="str">
        <f t="shared" si="57"/>
        <v>-TEXT 13841.6167879081,300 3.5 0 R=80</v>
      </c>
      <c r="BH114" t="str">
        <f t="shared" si="58"/>
        <v>-TEXT 13841.6167879081,295 3.5 0 α=34.15° </v>
      </c>
      <c r="BI114" t="str">
        <f t="shared" si="59"/>
        <v>-TEXT 13841.6167879081,290 3.5 0 T=24.58 </v>
      </c>
      <c r="BJ114" t="str">
        <f t="shared" si="60"/>
        <v>-TEXT 13841.6167879081,285 3.5 0 S=47.69 </v>
      </c>
    </row>
    <row r="115" spans="1:62">
      <c r="A115">
        <v>2</v>
      </c>
      <c r="B115">
        <v>114</v>
      </c>
      <c r="C115" t="s">
        <v>123</v>
      </c>
      <c r="D115">
        <v>460687.6963</v>
      </c>
      <c r="E115">
        <v>3388873.5458</v>
      </c>
      <c r="F115">
        <v>80</v>
      </c>
      <c r="G115">
        <f t="shared" si="75"/>
        <v>56.676</v>
      </c>
      <c r="H115">
        <f t="shared" si="76"/>
        <v>43.1440270584196</v>
      </c>
      <c r="I115">
        <f t="shared" si="77"/>
        <v>79.1346245488245</v>
      </c>
      <c r="J115">
        <f t="shared" si="78"/>
        <v>130.436701445522</v>
      </c>
      <c r="K115" s="40">
        <f t="shared" si="79"/>
        <v>27767.7941758128</v>
      </c>
      <c r="L115" s="40">
        <f t="shared" si="80"/>
        <v>27807.3614880873</v>
      </c>
      <c r="M115" s="40">
        <f t="shared" si="81"/>
        <v>27846.9288003617</v>
      </c>
      <c r="N115">
        <v>464.377</v>
      </c>
      <c r="O115">
        <v>460.494</v>
      </c>
      <c r="P115">
        <v>0.007</v>
      </c>
      <c r="Q115" s="39">
        <f t="shared" si="83"/>
        <v>460682.201482766</v>
      </c>
      <c r="R115" s="39">
        <f t="shared" si="84"/>
        <v>3388916.33848693</v>
      </c>
      <c r="S115" s="39">
        <f t="shared" si="61"/>
        <v>460696.546739405</v>
      </c>
      <c r="T115" s="39">
        <f t="shared" si="62"/>
        <v>3388879.89498143</v>
      </c>
      <c r="U115" s="39">
        <f t="shared" si="63"/>
        <v>460726.471649909</v>
      </c>
      <c r="V115" s="39">
        <f t="shared" si="64"/>
        <v>3388854.62810167</v>
      </c>
      <c r="AI115" t="str">
        <f t="array" ref="AI115">IFERROR(INDEX($L$2:$L$805,SMALL(IF(ISNUMBER(FIND($AH$2,$C$2:$C$805)),ROW($2:$805)-1,4^8),ROW(A114)))&amp;"","")</f>
        <v>82229.1159937783</v>
      </c>
      <c r="AJ115" t="str">
        <f t="array" ref="AJ115">IFERROR(INDEX($C$2:$C$805,SMALL(IF(ISNUMBER(FIND($AH$2,$C$2:$C$805)),ROW($2:$805)-1,4^8),ROW(B114)))&amp;"","")</f>
        <v>邓家湾渡槽出</v>
      </c>
      <c r="AS115" t="str">
        <f t="shared" si="85"/>
        <v>-text 460687.6963,3388873.5458 10 0 IP60</v>
      </c>
      <c r="AT115" t="str">
        <f t="shared" si="46"/>
        <v>460687.6963,3388873.5458</v>
      </c>
      <c r="AV115">
        <f t="shared" si="47"/>
        <v>465.094</v>
      </c>
      <c r="AX115" t="str">
        <f t="shared" si="48"/>
        <v>pl 13903.6807440436,279 13903.6807440436,400 </v>
      </c>
      <c r="AY115" t="str">
        <f t="shared" si="49"/>
        <v>13903.6807440436,460.494</v>
      </c>
      <c r="AZ115" t="str">
        <f t="shared" si="50"/>
        <v>13903.6807440436,464.377</v>
      </c>
      <c r="BA115" t="str">
        <f t="shared" si="51"/>
        <v>13903.6807440436,465.094</v>
      </c>
      <c r="BB115" t="str">
        <f t="shared" si="52"/>
        <v>-text 13902.6807440436,337 3.5 90 460.494 </v>
      </c>
      <c r="BC115" t="str">
        <f t="shared" si="53"/>
        <v>-text 13902.6807440436,320 3.5 90 465.094 </v>
      </c>
      <c r="BD115" t="str">
        <f t="shared" si="54"/>
        <v>-text 13902.6807440436,306 3.5 90 464.377 </v>
      </c>
      <c r="BE115" t="str">
        <f t="shared" si="55"/>
        <v>-text 13902.6807440436,352 3.5 90 ZG27+807.361 </v>
      </c>
      <c r="BF115" t="str">
        <f t="shared" si="56"/>
        <v>-text 13902.6807440436,280 3.5 90 IP60 </v>
      </c>
      <c r="BG115" t="str">
        <f t="shared" si="57"/>
        <v>-TEXT 13904.6807440436,300 3.5 0 R=80</v>
      </c>
      <c r="BH115" t="str">
        <f t="shared" si="58"/>
        <v>-TEXT 13904.6807440436,295 3.5 0 α=56.68° </v>
      </c>
      <c r="BI115" t="str">
        <f t="shared" si="59"/>
        <v>-TEXT 13904.6807440436,290 3.5 0 T=43.14 </v>
      </c>
      <c r="BJ115" t="str">
        <f t="shared" si="60"/>
        <v>-TEXT 13904.6807440436,285 3.5 0 S=79.13 </v>
      </c>
    </row>
    <row r="116" spans="1:62">
      <c r="A116">
        <v>2</v>
      </c>
      <c r="B116">
        <v>115</v>
      </c>
      <c r="C116" t="s">
        <v>124</v>
      </c>
      <c r="D116">
        <v>461246.7079</v>
      </c>
      <c r="E116">
        <v>3388600.8155</v>
      </c>
      <c r="F116">
        <v>80</v>
      </c>
      <c r="G116">
        <f t="shared" si="75"/>
        <v>54.118</v>
      </c>
      <c r="H116">
        <f t="shared" si="76"/>
        <v>40.8658570718686</v>
      </c>
      <c r="I116">
        <f t="shared" si="77"/>
        <v>75.5629827675433</v>
      </c>
      <c r="J116">
        <f t="shared" si="78"/>
        <v>621.993396647087</v>
      </c>
      <c r="K116" s="40">
        <f t="shared" si="79"/>
        <v>28384.9123128785</v>
      </c>
      <c r="L116" s="40">
        <f t="shared" si="80"/>
        <v>28422.6938042622</v>
      </c>
      <c r="M116" s="40">
        <f t="shared" si="81"/>
        <v>28460.475295646</v>
      </c>
      <c r="N116">
        <v>464.091</v>
      </c>
      <c r="O116">
        <v>460.208</v>
      </c>
      <c r="P116">
        <v>0.006</v>
      </c>
      <c r="Q116" s="39">
        <f t="shared" si="83"/>
        <v>461209.98003718</v>
      </c>
      <c r="R116" s="39">
        <f t="shared" si="84"/>
        <v>3388618.73427136</v>
      </c>
      <c r="S116" s="39">
        <f t="shared" si="61"/>
        <v>461238.847839258</v>
      </c>
      <c r="T116" s="39">
        <f t="shared" si="62"/>
        <v>3388594.90669582</v>
      </c>
      <c r="U116" s="39">
        <f t="shared" si="63"/>
        <v>461253.716267022</v>
      </c>
      <c r="V116" s="39">
        <f t="shared" si="64"/>
        <v>3388560.55508438</v>
      </c>
      <c r="AI116" t="str">
        <f t="array" ref="AI116">IFERROR(INDEX($L$2:$L$805,SMALL(IF(ISNUMBER(FIND($AH$2,$C$2:$C$805)),ROW($2:$805)-1,4^8),ROW(A115)))&amp;"","")</f>
        <v>83574.5655937832</v>
      </c>
      <c r="AJ116" t="str">
        <f t="array" ref="AJ116">IFERROR(INDEX($C$2:$C$805,SMALL(IF(ISNUMBER(FIND($AH$2,$C$2:$C$805)),ROW($2:$805)-1,4^8),ROW(B115)))&amp;"","")</f>
        <v>姚家大坡隧出</v>
      </c>
      <c r="AS116" t="str">
        <f t="shared" si="85"/>
        <v>-text 461246.7079,3388600.8155 10 0 IP61</v>
      </c>
      <c r="AT116" t="str">
        <f t="shared" si="46"/>
        <v>461246.7079,3388600.8155</v>
      </c>
      <c r="AV116">
        <f t="shared" si="47"/>
        <v>464.808</v>
      </c>
      <c r="AX116" t="str">
        <f t="shared" si="48"/>
        <v>pl 14211.3469021311,279 14211.3469021311,400 </v>
      </c>
      <c r="AY116" t="str">
        <f t="shared" si="49"/>
        <v>14211.3469021311,460.208</v>
      </c>
      <c r="AZ116" t="str">
        <f t="shared" si="50"/>
        <v>14211.3469021311,464.091</v>
      </c>
      <c r="BA116" t="str">
        <f t="shared" si="51"/>
        <v>14211.3469021311,464.808</v>
      </c>
      <c r="BB116" t="str">
        <f t="shared" si="52"/>
        <v>-text 14210.3469021311,337 3.5 90 460.208 </v>
      </c>
      <c r="BC116" t="str">
        <f t="shared" si="53"/>
        <v>-text 14210.3469021311,320 3.5 90 464.808 </v>
      </c>
      <c r="BD116" t="str">
        <f t="shared" si="54"/>
        <v>-text 14210.3469021311,306 3.5 90 464.091 </v>
      </c>
      <c r="BE116" t="str">
        <f t="shared" si="55"/>
        <v>-text 14210.3469021311,352 3.5 90 ZG28+422.694 </v>
      </c>
      <c r="BF116" t="str">
        <f t="shared" si="56"/>
        <v>-text 14210.3469021311,280 3.5 90 IP61 </v>
      </c>
      <c r="BG116" t="str">
        <f t="shared" si="57"/>
        <v>-TEXT 14212.3469021311,300 3.5 0 R=80</v>
      </c>
      <c r="BH116" t="str">
        <f t="shared" si="58"/>
        <v>-TEXT 14212.3469021311,295 3.5 0 α=54.12° </v>
      </c>
      <c r="BI116" t="str">
        <f t="shared" si="59"/>
        <v>-TEXT 14212.3469021311,290 3.5 0 T=40.87 </v>
      </c>
      <c r="BJ116" t="str">
        <f t="shared" si="60"/>
        <v>-TEXT 14212.3469021311,285 3.5 0 S=75.56 </v>
      </c>
    </row>
    <row r="117" spans="1:62">
      <c r="A117">
        <v>2</v>
      </c>
      <c r="B117">
        <v>116</v>
      </c>
      <c r="C117" t="s">
        <v>125</v>
      </c>
      <c r="D117">
        <v>461285.58</v>
      </c>
      <c r="E117">
        <v>3388377.51</v>
      </c>
      <c r="F117">
        <v>80</v>
      </c>
      <c r="G117">
        <f t="shared" si="75"/>
        <v>16.35</v>
      </c>
      <c r="H117">
        <f t="shared" si="76"/>
        <v>11.4925469091979</v>
      </c>
      <c r="I117">
        <f t="shared" si="77"/>
        <v>22.8289066160858</v>
      </c>
      <c r="J117">
        <f t="shared" si="78"/>
        <v>226.663597626029</v>
      </c>
      <c r="K117" s="40">
        <f t="shared" si="79"/>
        <v>28634.780489291</v>
      </c>
      <c r="L117" s="40">
        <f t="shared" si="80"/>
        <v>28646.194942599</v>
      </c>
      <c r="M117" s="40">
        <f t="shared" si="81"/>
        <v>28657.6093959071</v>
      </c>
      <c r="N117">
        <v>463.985</v>
      </c>
      <c r="O117">
        <v>460.102</v>
      </c>
      <c r="P117">
        <v>0.002</v>
      </c>
      <c r="Q117" s="39">
        <f t="shared" si="83"/>
        <v>461283.609064052</v>
      </c>
      <c r="R117" s="39">
        <f t="shared" si="84"/>
        <v>3388388.83228095</v>
      </c>
      <c r="S117" s="39">
        <f t="shared" si="61"/>
        <v>461286.360879405</v>
      </c>
      <c r="T117" s="39">
        <f t="shared" si="62"/>
        <v>3388377.76447809</v>
      </c>
      <c r="U117" s="39">
        <f t="shared" si="63"/>
        <v>461290.658583554</v>
      </c>
      <c r="V117" s="39">
        <f t="shared" si="64"/>
        <v>3388367.20045959</v>
      </c>
      <c r="AI117" t="str">
        <f t="array" ref="AI117">IFERROR(INDEX($L$2:$L$805,SMALL(IF(ISNUMBER(FIND($AH$2,$C$2:$C$805)),ROW($2:$805)-1,4^8),ROW(A116)))&amp;"","")</f>
        <v>83890.0522981801</v>
      </c>
      <c r="AJ117" t="str">
        <f t="array" ref="AJ117">IFERROR(INDEX($C$2:$C$805,SMALL(IF(ISNUMBER(FIND($AH$2,$C$2:$C$805)),ROW($2:$805)-1,4^8),ROW(B116)))&amp;"","")</f>
        <v>龚家湾隧出</v>
      </c>
      <c r="AS117" t="str">
        <f t="shared" si="85"/>
        <v>-text 461285.58,3388377.51 10 0 IP62</v>
      </c>
      <c r="AT117" t="str">
        <f t="shared" si="46"/>
        <v>461285.58,3388377.51</v>
      </c>
      <c r="AV117">
        <f t="shared" si="47"/>
        <v>464.702</v>
      </c>
      <c r="AX117" t="str">
        <f t="shared" si="48"/>
        <v>pl 14323.0974712995,279 14323.0974712995,400 </v>
      </c>
      <c r="AY117" t="str">
        <f t="shared" si="49"/>
        <v>14323.0974712995,460.102</v>
      </c>
      <c r="AZ117" t="str">
        <f t="shared" si="50"/>
        <v>14323.0974712995,463.985</v>
      </c>
      <c r="BA117" t="str">
        <f t="shared" si="51"/>
        <v>14323.0974712995,464.702</v>
      </c>
      <c r="BB117" t="str">
        <f t="shared" si="52"/>
        <v>-text 14322.0974712995,337 3.5 90 460.102 </v>
      </c>
      <c r="BC117" t="str">
        <f t="shared" si="53"/>
        <v>-text 14322.0974712995,320 3.5 90 464.702 </v>
      </c>
      <c r="BD117" t="str">
        <f t="shared" si="54"/>
        <v>-text 14322.0974712995,306 3.5 90 463.985 </v>
      </c>
      <c r="BE117" t="str">
        <f t="shared" si="55"/>
        <v>-text 14322.0974712995,352 3.5 90 ZG28+646.195 </v>
      </c>
      <c r="BF117" t="str">
        <f t="shared" si="56"/>
        <v>-text 14322.0974712995,280 3.5 90 IP62 </v>
      </c>
      <c r="BG117" t="str">
        <f t="shared" si="57"/>
        <v>-TEXT 14324.0974712995,300 3.5 0 R=80</v>
      </c>
      <c r="BH117" t="str">
        <f t="shared" si="58"/>
        <v>-TEXT 14324.0974712995,295 3.5 0 α=16.35° </v>
      </c>
      <c r="BI117" t="str">
        <f t="shared" si="59"/>
        <v>-TEXT 14324.0974712995,290 3.5 0 T=11.49 </v>
      </c>
      <c r="BJ117" t="str">
        <f t="shared" si="60"/>
        <v>-TEXT 14324.0974712995,285 3.5 0 S=22.83 </v>
      </c>
    </row>
    <row r="118" spans="1:62">
      <c r="A118">
        <v>2</v>
      </c>
      <c r="B118">
        <v>117</v>
      </c>
      <c r="C118" t="s">
        <v>126</v>
      </c>
      <c r="D118">
        <v>461397.7617</v>
      </c>
      <c r="E118">
        <v>3388149.7808</v>
      </c>
      <c r="F118">
        <v>80</v>
      </c>
      <c r="G118">
        <f t="shared" si="75"/>
        <v>13.196</v>
      </c>
      <c r="H118">
        <f t="shared" si="76"/>
        <v>9.25348591394753</v>
      </c>
      <c r="I118">
        <f t="shared" si="77"/>
        <v>18.4250918474537</v>
      </c>
      <c r="J118">
        <f t="shared" si="78"/>
        <v>253.860832637677</v>
      </c>
      <c r="K118" s="40">
        <f t="shared" si="79"/>
        <v>28890.7241957216</v>
      </c>
      <c r="L118" s="40">
        <f t="shared" si="80"/>
        <v>28899.9367416453</v>
      </c>
      <c r="M118" s="40">
        <f t="shared" si="81"/>
        <v>28909.149287569</v>
      </c>
      <c r="N118">
        <v>463.868</v>
      </c>
      <c r="O118">
        <v>459.985</v>
      </c>
      <c r="P118">
        <v>0.002</v>
      </c>
      <c r="Q118" s="39">
        <f t="shared" si="83"/>
        <v>461393.672562775</v>
      </c>
      <c r="R118" s="39">
        <f t="shared" si="84"/>
        <v>3388158.08176129</v>
      </c>
      <c r="S118" s="39">
        <f t="shared" si="61"/>
        <v>461398.209941882</v>
      </c>
      <c r="T118" s="39">
        <f t="shared" si="62"/>
        <v>3388150.06993211</v>
      </c>
      <c r="U118" s="39">
        <f t="shared" si="63"/>
        <v>461403.637867142</v>
      </c>
      <c r="V118" s="39">
        <f t="shared" si="64"/>
        <v>3388142.63253718</v>
      </c>
      <c r="AI118" t="str">
        <f t="array" ref="AI118">IFERROR(INDEX($L$2:$L$805,SMALL(IF(ISNUMBER(FIND($AH$2,$C$2:$C$805)),ROW($2:$805)-1,4^8),ROW(A117)))&amp;"","")</f>
        <v>84304.9432045196</v>
      </c>
      <c r="AJ118" t="str">
        <f t="array" ref="AJ118">IFERROR(INDEX($C$2:$C$805,SMALL(IF(ISNUMBER(FIND($AH$2,$C$2:$C$805)),ROW($2:$805)-1,4^8),ROW(B117)))&amp;"","")</f>
        <v>龚家湾1#渡槽出</v>
      </c>
      <c r="AS118" t="str">
        <f t="shared" si="85"/>
        <v>-text 461397.7617,3388149.7808 10 0 IP63</v>
      </c>
      <c r="AT118" t="str">
        <f t="shared" si="46"/>
        <v>461397.7617,3388149.7808</v>
      </c>
      <c r="AV118">
        <f t="shared" si="47"/>
        <v>464.585</v>
      </c>
      <c r="AX118" t="str">
        <f t="shared" si="48"/>
        <v>pl 14449.9683708227,279 14449.9683708227,400 </v>
      </c>
      <c r="AY118" t="str">
        <f t="shared" si="49"/>
        <v>14449.9683708227,459.985</v>
      </c>
      <c r="AZ118" t="str">
        <f t="shared" si="50"/>
        <v>14449.9683708227,463.868</v>
      </c>
      <c r="BA118" t="str">
        <f t="shared" si="51"/>
        <v>14449.9683708227,464.585</v>
      </c>
      <c r="BB118" t="str">
        <f t="shared" si="52"/>
        <v>-text 14448.9683708227,337 3.5 90 459.985 </v>
      </c>
      <c r="BC118" t="str">
        <f t="shared" si="53"/>
        <v>-text 14448.9683708227,320 3.5 90 464.585 </v>
      </c>
      <c r="BD118" t="str">
        <f t="shared" si="54"/>
        <v>-text 14448.9683708227,306 3.5 90 463.868 </v>
      </c>
      <c r="BE118" t="str">
        <f t="shared" si="55"/>
        <v>-text 14448.9683708227,352 3.5 90 ZG28+899.937 </v>
      </c>
      <c r="BF118" t="str">
        <f t="shared" si="56"/>
        <v>-text 14448.9683708227,280 3.5 90 IP63 </v>
      </c>
      <c r="BG118" t="str">
        <f t="shared" si="57"/>
        <v>-TEXT 14450.9683708227,300 3.5 0 R=80</v>
      </c>
      <c r="BH118" t="str">
        <f t="shared" si="58"/>
        <v>-TEXT 14450.9683708227,295 3.5 0 α=13.20° </v>
      </c>
      <c r="BI118" t="str">
        <f t="shared" si="59"/>
        <v>-TEXT 14450.9683708227,290 3.5 0 T=9.25 </v>
      </c>
      <c r="BJ118" t="str">
        <f t="shared" si="60"/>
        <v>-TEXT 14450.9683708227,285 3.5 0 S=18.43 </v>
      </c>
    </row>
    <row r="119" spans="1:62">
      <c r="A119">
        <v>2</v>
      </c>
      <c r="B119">
        <v>118</v>
      </c>
      <c r="C119" t="s">
        <v>127</v>
      </c>
      <c r="D119">
        <v>461762.5209</v>
      </c>
      <c r="E119">
        <v>3387706.0571</v>
      </c>
      <c r="F119">
        <v>80</v>
      </c>
      <c r="G119">
        <f t="shared" si="75"/>
        <v>34.816</v>
      </c>
      <c r="H119">
        <f t="shared" si="76"/>
        <v>25.0827479581538</v>
      </c>
      <c r="I119">
        <f t="shared" si="77"/>
        <v>48.6123065899477</v>
      </c>
      <c r="J119">
        <f t="shared" si="78"/>
        <v>574.404035437015</v>
      </c>
      <c r="K119" s="40">
        <f t="shared" si="79"/>
        <v>29449.217089134</v>
      </c>
      <c r="L119" s="40">
        <f t="shared" si="80"/>
        <v>29473.5232424289</v>
      </c>
      <c r="M119" s="40">
        <f t="shared" si="81"/>
        <v>29497.8293957239</v>
      </c>
      <c r="N119">
        <v>463.604</v>
      </c>
      <c r="O119">
        <v>459.721</v>
      </c>
      <c r="P119">
        <v>0.004</v>
      </c>
      <c r="Q119" s="39">
        <f t="shared" si="83"/>
        <v>461746.5928032</v>
      </c>
      <c r="R119" s="39">
        <f t="shared" si="84"/>
        <v>3387725.43337357</v>
      </c>
      <c r="S119" s="39">
        <f t="shared" si="61"/>
        <v>461764.621889992</v>
      </c>
      <c r="T119" s="39">
        <f t="shared" si="62"/>
        <v>3387709.27140001</v>
      </c>
      <c r="U119" s="39">
        <f t="shared" si="63"/>
        <v>461786.660500057</v>
      </c>
      <c r="V119" s="39">
        <f t="shared" si="64"/>
        <v>3387699.24358738</v>
      </c>
      <c r="AI119" t="str">
        <f t="array" ref="AI119">IFERROR(INDEX($L$2:$L$805,SMALL(IF(ISNUMBER(FIND($AH$2,$C$2:$C$805)),ROW($2:$805)-1,4^8),ROW(A118)))&amp;"","")</f>
        <v>84927.6783714327</v>
      </c>
      <c r="AJ119" t="str">
        <f t="array" ref="AJ119">IFERROR(INDEX($C$2:$C$805,SMALL(IF(ISNUMBER(FIND($AH$2,$C$2:$C$805)),ROW($2:$805)-1,4^8),ROW(B118)))&amp;"","")</f>
        <v>龙家湾渡槽出</v>
      </c>
      <c r="AS119" t="str">
        <f t="shared" si="85"/>
        <v>-text 461762.5209,3387706.0571 10 0 IP64</v>
      </c>
      <c r="AT119" t="str">
        <f t="shared" si="46"/>
        <v>461762.5209,3387706.0571</v>
      </c>
      <c r="AV119">
        <f t="shared" si="47"/>
        <v>464.321</v>
      </c>
      <c r="AX119" t="str">
        <f t="shared" si="48"/>
        <v>pl 14736.7616212145,279 14736.7616212145,400 </v>
      </c>
      <c r="AY119" t="str">
        <f t="shared" si="49"/>
        <v>14736.7616212145,459.721</v>
      </c>
      <c r="AZ119" t="str">
        <f t="shared" si="50"/>
        <v>14736.7616212145,463.604</v>
      </c>
      <c r="BA119" t="str">
        <f t="shared" si="51"/>
        <v>14736.7616212145,464.321</v>
      </c>
      <c r="BB119" t="str">
        <f t="shared" si="52"/>
        <v>-text 14735.7616212145,337 3.5 90 459.721 </v>
      </c>
      <c r="BC119" t="str">
        <f t="shared" si="53"/>
        <v>-text 14735.7616212145,320 3.5 90 464.321 </v>
      </c>
      <c r="BD119" t="str">
        <f t="shared" si="54"/>
        <v>-text 14735.7616212145,306 3.5 90 463.604 </v>
      </c>
      <c r="BE119" t="str">
        <f t="shared" si="55"/>
        <v>-text 14735.7616212145,352 3.5 90 ZG29+473.523 </v>
      </c>
      <c r="BF119" t="str">
        <f t="shared" si="56"/>
        <v>-text 14735.7616212145,280 3.5 90 IP64 </v>
      </c>
      <c r="BG119" t="str">
        <f t="shared" si="57"/>
        <v>-TEXT 14737.7616212145,300 3.5 0 R=80</v>
      </c>
      <c r="BH119" t="str">
        <f t="shared" si="58"/>
        <v>-TEXT 14737.7616212145,295 3.5 0 α=34.82° </v>
      </c>
      <c r="BI119" t="str">
        <f t="shared" si="59"/>
        <v>-TEXT 14737.7616212145,290 3.5 0 T=25.08 </v>
      </c>
      <c r="BJ119" t="str">
        <f t="shared" si="60"/>
        <v>-TEXT 14737.7616212145,285 3.5 0 S=48.61 </v>
      </c>
    </row>
    <row r="120" spans="1:62">
      <c r="A120">
        <v>2</v>
      </c>
      <c r="B120">
        <v>119</v>
      </c>
      <c r="C120" t="s">
        <v>128</v>
      </c>
      <c r="D120">
        <v>462082.391</v>
      </c>
      <c r="E120">
        <v>3387615.7723</v>
      </c>
      <c r="F120">
        <v>80</v>
      </c>
      <c r="G120">
        <f t="shared" si="75"/>
        <v>29.453</v>
      </c>
      <c r="H120">
        <f t="shared" si="76"/>
        <v>21.0271594840065</v>
      </c>
      <c r="I120">
        <f t="shared" si="77"/>
        <v>41.1241459671912</v>
      </c>
      <c r="J120">
        <f t="shared" si="78"/>
        <v>332.367606702359</v>
      </c>
      <c r="K120" s="40">
        <f t="shared" si="79"/>
        <v>29784.0870949841</v>
      </c>
      <c r="L120" s="40">
        <f t="shared" si="80"/>
        <v>29804.6491679677</v>
      </c>
      <c r="M120" s="40">
        <f t="shared" si="81"/>
        <v>29825.2112409513</v>
      </c>
      <c r="N120">
        <v>463.45</v>
      </c>
      <c r="O120">
        <v>459.567</v>
      </c>
      <c r="P120">
        <v>0.003</v>
      </c>
      <c r="Q120" s="39">
        <f t="shared" si="83"/>
        <v>462062.154492376</v>
      </c>
      <c r="R120" s="39">
        <f t="shared" si="84"/>
        <v>3387621.48414691</v>
      </c>
      <c r="S120" s="39">
        <f t="shared" si="61"/>
        <v>462081.012346481</v>
      </c>
      <c r="T120" s="39">
        <f t="shared" si="62"/>
        <v>3387613.43074861</v>
      </c>
      <c r="U120" s="39">
        <f t="shared" si="63"/>
        <v>462097.203470302</v>
      </c>
      <c r="V120" s="39">
        <f t="shared" si="64"/>
        <v>3387600.84808613</v>
      </c>
      <c r="AI120" t="str">
        <f t="array" ref="AI120">IFERROR(INDEX($L$2:$L$805,SMALL(IF(ISNUMBER(FIND($AH$2,$C$2:$C$805)),ROW($2:$805)-1,4^8),ROW(A119)))&amp;"","")</f>
        <v>86359.6786602255</v>
      </c>
      <c r="AJ120" t="str">
        <f t="array" ref="AJ120">IFERROR(INDEX($C$2:$C$805,SMALL(IF(ISNUMBER(FIND($AH$2,$C$2:$C$805)),ROW($2:$805)-1,4^8),ROW(B119)))&amp;"","")</f>
        <v>天台山隧出</v>
      </c>
      <c r="AS120" t="str">
        <f t="shared" si="85"/>
        <v>-text 462082.391,3387615.7723 10 0 IP65</v>
      </c>
      <c r="AT120" t="str">
        <f t="shared" si="46"/>
        <v>462082.391,3387615.7723</v>
      </c>
      <c r="AV120">
        <f t="shared" si="47"/>
        <v>464.167</v>
      </c>
      <c r="AX120" t="str">
        <f t="shared" si="48"/>
        <v>pl 14902.3245839838,279 14902.3245839838,400 </v>
      </c>
      <c r="AY120" t="str">
        <f t="shared" si="49"/>
        <v>14902.3245839838,459.567</v>
      </c>
      <c r="AZ120" t="str">
        <f t="shared" si="50"/>
        <v>14902.3245839838,463.45</v>
      </c>
      <c r="BA120" t="str">
        <f t="shared" si="51"/>
        <v>14902.3245839838,464.167</v>
      </c>
      <c r="BB120" t="str">
        <f t="shared" si="52"/>
        <v>-text 14901.3245839838,337 3.5 90 459.567 </v>
      </c>
      <c r="BC120" t="str">
        <f t="shared" si="53"/>
        <v>-text 14901.3245839838,320 3.5 90 464.167 </v>
      </c>
      <c r="BD120" t="str">
        <f t="shared" si="54"/>
        <v>-text 14901.3245839838,306 3.5 90 463.450 </v>
      </c>
      <c r="BE120" t="str">
        <f t="shared" si="55"/>
        <v>-text 14901.3245839838,352 3.5 90 ZG29+804.649 </v>
      </c>
      <c r="BF120" t="str">
        <f t="shared" si="56"/>
        <v>-text 14901.3245839838,280 3.5 90 IP65 </v>
      </c>
      <c r="BG120" t="str">
        <f t="shared" si="57"/>
        <v>-TEXT 14903.3245839838,300 3.5 0 R=80</v>
      </c>
      <c r="BH120" t="str">
        <f t="shared" si="58"/>
        <v>-TEXT 14903.3245839838,295 3.5 0 α=29.45° </v>
      </c>
      <c r="BI120" t="str">
        <f t="shared" si="59"/>
        <v>-TEXT 14903.3245839838,290 3.5 0 T=21.03 </v>
      </c>
      <c r="BJ120" t="str">
        <f t="shared" si="60"/>
        <v>-TEXT 14903.3245839838,285 3.5 0 S=41.12 </v>
      </c>
    </row>
    <row r="121" spans="1:62">
      <c r="A121">
        <v>2</v>
      </c>
      <c r="B121">
        <v>120</v>
      </c>
      <c r="C121" t="s">
        <v>129</v>
      </c>
      <c r="D121">
        <v>462442.8154</v>
      </c>
      <c r="E121">
        <v>3387252.6289</v>
      </c>
      <c r="F121">
        <v>80</v>
      </c>
      <c r="G121">
        <f t="shared" si="75"/>
        <v>36.394</v>
      </c>
      <c r="H121">
        <f t="shared" si="76"/>
        <v>26.298020172506</v>
      </c>
      <c r="I121">
        <f t="shared" si="77"/>
        <v>50.8156102376653</v>
      </c>
      <c r="J121">
        <f t="shared" si="78"/>
        <v>511.643310401779</v>
      </c>
      <c r="K121" s="40">
        <f t="shared" si="79"/>
        <v>30289.5293716966</v>
      </c>
      <c r="L121" s="40">
        <f t="shared" si="80"/>
        <v>30314.9371768154</v>
      </c>
      <c r="M121" s="40">
        <f t="shared" si="81"/>
        <v>30340.3449819342</v>
      </c>
      <c r="N121">
        <v>463.214</v>
      </c>
      <c r="O121">
        <v>459.331</v>
      </c>
      <c r="P121">
        <v>0.004</v>
      </c>
      <c r="Q121" s="39">
        <f t="shared" si="83"/>
        <v>462424.28990001</v>
      </c>
      <c r="R121" s="39">
        <f t="shared" si="84"/>
        <v>3387271.29415422</v>
      </c>
      <c r="S121" s="39">
        <f t="shared" si="61"/>
        <v>462444.72859698</v>
      </c>
      <c r="T121" s="39">
        <f t="shared" si="62"/>
        <v>3387256.3807644</v>
      </c>
      <c r="U121" s="39">
        <f t="shared" si="63"/>
        <v>462468.80232384</v>
      </c>
      <c r="V121" s="39">
        <f t="shared" si="64"/>
        <v>3387248.59582991</v>
      </c>
      <c r="AI121" t="str">
        <f t="array" ref="AI121">IFERROR(INDEX($L$2:$L$805,SMALL(IF(ISNUMBER(FIND($AH$2,$C$2:$C$805)),ROW($2:$805)-1,4^8),ROW(A120)))&amp;"","")</f>
        <v>86730.6786018817</v>
      </c>
      <c r="AJ121" t="str">
        <f t="array" ref="AJ121">IFERROR(INDEX($C$2:$C$805,SMALL(IF(ISNUMBER(FIND($AH$2,$C$2:$C$805)),ROW($2:$805)-1,4^8),ROW(B120)))&amp;"","")</f>
        <v>牯牛坡隧出</v>
      </c>
      <c r="AS121" t="str">
        <f t="shared" si="85"/>
        <v>-text 462442.8154,3387252.6289 10 0 IP66</v>
      </c>
      <c r="AT121" t="str">
        <f t="shared" si="46"/>
        <v>462442.8154,3387252.6289</v>
      </c>
      <c r="AV121">
        <f t="shared" si="47"/>
        <v>463.931</v>
      </c>
      <c r="AX121" t="str">
        <f t="shared" si="48"/>
        <v>pl 15157.4685884077,279 15157.4685884077,400 </v>
      </c>
      <c r="AY121" t="str">
        <f t="shared" si="49"/>
        <v>15157.4685884077,459.331</v>
      </c>
      <c r="AZ121" t="str">
        <f t="shared" si="50"/>
        <v>15157.4685884077,463.214</v>
      </c>
      <c r="BA121" t="str">
        <f t="shared" si="51"/>
        <v>15157.4685884077,463.931</v>
      </c>
      <c r="BB121" t="str">
        <f t="shared" si="52"/>
        <v>-text 15156.4685884077,337 3.5 90 459.331 </v>
      </c>
      <c r="BC121" t="str">
        <f t="shared" si="53"/>
        <v>-text 15156.4685884077,320 3.5 90 463.931 </v>
      </c>
      <c r="BD121" t="str">
        <f t="shared" si="54"/>
        <v>-text 15156.4685884077,306 3.5 90 463.214 </v>
      </c>
      <c r="BE121" t="str">
        <f t="shared" si="55"/>
        <v>-text 15156.4685884077,352 3.5 90 ZG30+314.937 </v>
      </c>
      <c r="BF121" t="str">
        <f t="shared" si="56"/>
        <v>-text 15156.4685884077,280 3.5 90 IP66 </v>
      </c>
      <c r="BG121" t="str">
        <f t="shared" si="57"/>
        <v>-TEXT 15158.4685884077,300 3.5 0 R=80</v>
      </c>
      <c r="BH121" t="str">
        <f t="shared" si="58"/>
        <v>-TEXT 15158.4685884077,295 3.5 0 α=36.39° </v>
      </c>
      <c r="BI121" t="str">
        <f t="shared" si="59"/>
        <v>-TEXT 15158.4685884077,290 3.5 0 T=26.30 </v>
      </c>
      <c r="BJ121" t="str">
        <f t="shared" si="60"/>
        <v>-TEXT 15158.4685884077,285 3.5 0 S=50.82 </v>
      </c>
    </row>
    <row r="122" spans="1:62">
      <c r="A122">
        <v>2</v>
      </c>
      <c r="B122">
        <v>121</v>
      </c>
      <c r="C122" t="str">
        <f>Sheet1!C110</f>
        <v>小湾渡槽出</v>
      </c>
      <c r="D122">
        <v>463049.047</v>
      </c>
      <c r="E122">
        <v>3387158.5441</v>
      </c>
      <c r="G122">
        <f t="shared" si="75"/>
        <v>0</v>
      </c>
      <c r="H122">
        <f t="shared" si="76"/>
        <v>0</v>
      </c>
      <c r="I122">
        <f t="shared" si="77"/>
        <v>0</v>
      </c>
      <c r="J122">
        <f t="shared" si="78"/>
        <v>613.488958685948</v>
      </c>
      <c r="K122" s="40">
        <f t="shared" si="79"/>
        <v>30927.5359204477</v>
      </c>
      <c r="L122" s="40">
        <f t="shared" si="80"/>
        <v>30927.5359204477</v>
      </c>
      <c r="M122" s="40">
        <f t="shared" si="81"/>
        <v>30927.5359204477</v>
      </c>
      <c r="N122">
        <v>462.934</v>
      </c>
      <c r="O122">
        <v>459.051</v>
      </c>
      <c r="P122">
        <v>0</v>
      </c>
      <c r="Q122" s="39">
        <f t="shared" si="83"/>
        <v>463049.047</v>
      </c>
      <c r="R122" s="39">
        <f t="shared" si="84"/>
        <v>3387158.5441</v>
      </c>
      <c r="S122" s="39" t="str">
        <f t="shared" si="61"/>
        <v> </v>
      </c>
      <c r="T122" s="39" t="str">
        <f t="shared" si="62"/>
        <v> </v>
      </c>
      <c r="U122" s="39" t="str">
        <f t="shared" si="63"/>
        <v> </v>
      </c>
      <c r="V122" s="39" t="str">
        <f t="shared" si="64"/>
        <v> </v>
      </c>
      <c r="AI122" t="str">
        <f t="array" ref="AI122">IFERROR(INDEX($L$2:$L$805,SMALL(IF(ISNUMBER(FIND($AH$2,$C$2:$C$805)),ROW($2:$805)-1,4^8),ROW(A121)))&amp;"","")</f>
        <v>86992.6786965574</v>
      </c>
      <c r="AJ122" t="str">
        <f t="array" ref="AJ122">IFERROR(INDEX($C$2:$C$805,SMALL(IF(ISNUMBER(FIND($AH$2,$C$2:$C$805)),ROW($2:$805)-1,4^8),ROW(B121)))&amp;"","")</f>
        <v>李家湾渡槽出</v>
      </c>
      <c r="AT122" t="str">
        <f t="shared" si="46"/>
        <v>463049.047,3387158.5441</v>
      </c>
      <c r="AV122">
        <f t="shared" si="47"/>
        <v>463.651</v>
      </c>
      <c r="AX122" t="str">
        <f t="shared" si="48"/>
        <v>pl 15463.7679602238,279 15463.7679602238,400 </v>
      </c>
      <c r="AY122" t="str">
        <f t="shared" si="49"/>
        <v>15463.7679602238,459.051</v>
      </c>
      <c r="AZ122" t="str">
        <f t="shared" si="50"/>
        <v>15463.7679602238,462.934</v>
      </c>
      <c r="BA122" t="str">
        <f t="shared" si="51"/>
        <v>15463.7679602238,463.651</v>
      </c>
      <c r="BB122" t="str">
        <f t="shared" si="52"/>
        <v>-text 15462.7679602238,337 3.5 90 459.051 </v>
      </c>
      <c r="BC122" t="str">
        <f t="shared" si="53"/>
        <v>-text 15462.7679602238,320 3.5 90 463.651 </v>
      </c>
      <c r="BD122" t="str">
        <f t="shared" si="54"/>
        <v>-text 15462.7679602238,306 3.5 90 462.934 </v>
      </c>
      <c r="BE122" t="str">
        <f t="shared" si="55"/>
        <v>-text 15462.7679602238,352 3.5 90 ZG30+927.536 </v>
      </c>
      <c r="BF122" t="str">
        <f t="shared" si="56"/>
        <v>-text 15462.7679602238,280 3.5 90 小湾渡槽出 </v>
      </c>
      <c r="BG122" t="str">
        <f t="shared" si="57"/>
        <v/>
      </c>
      <c r="BH122" t="str">
        <f t="shared" si="58"/>
        <v> </v>
      </c>
      <c r="BI122" t="str">
        <f t="shared" si="59"/>
        <v> </v>
      </c>
      <c r="BJ122" t="str">
        <f t="shared" si="60"/>
        <v> </v>
      </c>
    </row>
    <row r="123" spans="1:62">
      <c r="A123">
        <v>1</v>
      </c>
      <c r="B123">
        <v>122</v>
      </c>
      <c r="C123" t="str">
        <f>Sheet1!C111</f>
        <v>瓜飘寨隧进</v>
      </c>
      <c r="D123">
        <v>463083.1912</v>
      </c>
      <c r="E123">
        <v>3387153.245</v>
      </c>
      <c r="G123">
        <f t="shared" si="75"/>
        <v>0</v>
      </c>
      <c r="H123">
        <f t="shared" si="76"/>
        <v>0</v>
      </c>
      <c r="I123">
        <f t="shared" si="77"/>
        <v>0</v>
      </c>
      <c r="J123">
        <f t="shared" si="78"/>
        <v>34.5529572460607</v>
      </c>
      <c r="K123" s="40">
        <f t="shared" si="79"/>
        <v>30962.0888776937</v>
      </c>
      <c r="L123" s="40">
        <f t="shared" si="80"/>
        <v>30962.0888776937</v>
      </c>
      <c r="M123" s="40">
        <f t="shared" si="81"/>
        <v>30962.0888776937</v>
      </c>
      <c r="N123">
        <v>462.895</v>
      </c>
      <c r="O123">
        <v>458.974</v>
      </c>
      <c r="P123">
        <v>0</v>
      </c>
      <c r="Q123" s="39">
        <f t="shared" si="83"/>
        <v>463083.1912</v>
      </c>
      <c r="R123" s="39">
        <f t="shared" si="84"/>
        <v>3387153.245</v>
      </c>
      <c r="S123" s="39" t="str">
        <f t="shared" si="61"/>
        <v> </v>
      </c>
      <c r="T123" s="39" t="str">
        <f t="shared" si="62"/>
        <v> </v>
      </c>
      <c r="U123" s="39" t="str">
        <f t="shared" si="63"/>
        <v> </v>
      </c>
      <c r="V123" s="39" t="str">
        <f t="shared" si="64"/>
        <v> </v>
      </c>
      <c r="AI123" t="str">
        <f t="array" ref="AI123">IFERROR(INDEX($L$2:$L$805,SMALL(IF(ISNUMBER(FIND($AH$2,$C$2:$C$805)),ROW($2:$805)-1,4^8),ROW(A122)))&amp;"","")</f>
        <v>87185.6786602068</v>
      </c>
      <c r="AJ123" t="str">
        <f t="array" ref="AJ123">IFERROR(INDEX($C$2:$C$805,SMALL(IF(ISNUMBER(FIND($AH$2,$C$2:$C$805)),ROW($2:$805)-1,4^8),ROW(B122)))&amp;"","")</f>
        <v>罗家桥渡槽出</v>
      </c>
      <c r="AT123" t="str">
        <f t="shared" si="46"/>
        <v>463083.1912,3387153.245</v>
      </c>
      <c r="AV123">
        <f t="shared" si="47"/>
        <v>464.174</v>
      </c>
      <c r="AX123" t="str">
        <f t="shared" si="48"/>
        <v>pl 15481.0444388469,279 15481.0444388469,400 </v>
      </c>
      <c r="AY123" t="str">
        <f t="shared" si="49"/>
        <v>15481.0444388469,458.974</v>
      </c>
      <c r="AZ123" t="str">
        <f t="shared" si="50"/>
        <v>15481.0444388469,462.895</v>
      </c>
      <c r="BA123" t="str">
        <f t="shared" si="51"/>
        <v>15481.0444388469,464.174</v>
      </c>
      <c r="BB123" t="str">
        <f t="shared" si="52"/>
        <v>-text 15480.0444388469,337 3.5 90 458.974 </v>
      </c>
      <c r="BC123" t="str">
        <f t="shared" si="53"/>
        <v>-text 15480.0444388469,320 3.5 90 464.174 </v>
      </c>
      <c r="BD123" t="str">
        <f t="shared" si="54"/>
        <v>-text 15480.0444388469,306 3.5 90 462.895 </v>
      </c>
      <c r="BE123" t="str">
        <f t="shared" si="55"/>
        <v>-text 15480.0444388469,352 3.5 90 ZG30+962.089 </v>
      </c>
      <c r="BF123" t="str">
        <f t="shared" si="56"/>
        <v>-text 15480.0444388469,280 3.5 90 瓜飘寨隧进 </v>
      </c>
      <c r="BG123" t="str">
        <f t="shared" si="57"/>
        <v/>
      </c>
      <c r="BH123" t="str">
        <f t="shared" si="58"/>
        <v> </v>
      </c>
      <c r="BI123" t="str">
        <f t="shared" si="59"/>
        <v> </v>
      </c>
      <c r="BJ123" t="str">
        <f t="shared" si="60"/>
        <v> </v>
      </c>
    </row>
    <row r="124" spans="1:62">
      <c r="A124">
        <v>1</v>
      </c>
      <c r="B124">
        <v>123</v>
      </c>
      <c r="C124" t="s">
        <v>132</v>
      </c>
      <c r="D124">
        <v>463206.8638</v>
      </c>
      <c r="E124">
        <v>3387134.0514</v>
      </c>
      <c r="F124">
        <v>80</v>
      </c>
      <c r="G124">
        <f t="shared" si="75"/>
        <v>49.097</v>
      </c>
      <c r="H124">
        <f t="shared" si="76"/>
        <v>36.5399150683092</v>
      </c>
      <c r="I124">
        <f t="shared" si="77"/>
        <v>68.5523442281325</v>
      </c>
      <c r="J124">
        <f t="shared" si="78"/>
        <v>125.153131290085</v>
      </c>
      <c r="K124" s="40">
        <f t="shared" si="79"/>
        <v>31050.7020939155</v>
      </c>
      <c r="L124" s="40">
        <f t="shared" si="80"/>
        <v>31084.9782660296</v>
      </c>
      <c r="M124" s="40">
        <f t="shared" si="81"/>
        <v>31119.2544381436</v>
      </c>
      <c r="N124">
        <v>462.844</v>
      </c>
      <c r="O124">
        <v>458.923</v>
      </c>
      <c r="P124">
        <v>0.005</v>
      </c>
      <c r="Q124" s="39">
        <f t="shared" si="83"/>
        <v>463170.756143294</v>
      </c>
      <c r="R124" s="39">
        <f t="shared" si="84"/>
        <v>3387139.65519518</v>
      </c>
      <c r="S124" s="39">
        <f t="shared" si="61"/>
        <v>463202.49107664</v>
      </c>
      <c r="T124" s="39">
        <f t="shared" si="62"/>
        <v>3387127.41228625</v>
      </c>
      <c r="U124" s="39">
        <f t="shared" si="63"/>
        <v>463226.27106495</v>
      </c>
      <c r="V124" s="39">
        <f t="shared" si="64"/>
        <v>3387103.09136996</v>
      </c>
      <c r="AI124" t="str">
        <f t="array" ref="AI124">IFERROR(INDEX($L$2:$L$805,SMALL(IF(ISNUMBER(FIND($AH$2,$C$2:$C$805)),ROW($2:$805)-1,4^8),ROW(A123)))&amp;"","")</f>
        <v>88504.1208707538</v>
      </c>
      <c r="AJ124" t="str">
        <f t="array" ref="AJ124">IFERROR(INDEX($C$2:$C$805,SMALL(IF(ISNUMBER(FIND($AH$2,$C$2:$C$805)),ROW($2:$805)-1,4^8),ROW(B123)))&amp;"","")</f>
        <v>渝蓉高速倒虹管出</v>
      </c>
      <c r="AS124" t="str">
        <f>"-text"&amp;" "&amp;D124&amp;","&amp;E124&amp;" "&amp;"10"&amp;" "&amp;"0"&amp;" "&amp;C124</f>
        <v>-text 463206.8638,3387134.0514 10 0 IP67</v>
      </c>
      <c r="AT124" t="str">
        <f t="shared" si="46"/>
        <v>463206.8638,3387134.0514</v>
      </c>
      <c r="AV124">
        <f t="shared" si="47"/>
        <v>464.123</v>
      </c>
      <c r="AX124" t="str">
        <f t="shared" si="48"/>
        <v>pl 15542.4891330148,279 15542.4891330148,400 </v>
      </c>
      <c r="AY124" t="str">
        <f t="shared" si="49"/>
        <v>15542.4891330148,458.923</v>
      </c>
      <c r="AZ124" t="str">
        <f t="shared" si="50"/>
        <v>15542.4891330148,462.844</v>
      </c>
      <c r="BA124" t="str">
        <f t="shared" si="51"/>
        <v>15542.4891330148,464.123</v>
      </c>
      <c r="BB124" t="str">
        <f t="shared" si="52"/>
        <v>-text 15541.4891330148,337 3.5 90 458.923 </v>
      </c>
      <c r="BC124" t="str">
        <f t="shared" si="53"/>
        <v>-text 15541.4891330148,320 3.5 90 464.123 </v>
      </c>
      <c r="BD124" t="str">
        <f t="shared" si="54"/>
        <v>-text 15541.4891330148,306 3.5 90 462.844 </v>
      </c>
      <c r="BE124" t="str">
        <f t="shared" si="55"/>
        <v>-text 15541.4891330148,352 3.5 90 ZG31+084.978 </v>
      </c>
      <c r="BF124" t="str">
        <f t="shared" si="56"/>
        <v>-text 15541.4891330148,280 3.5 90 IP67 </v>
      </c>
      <c r="BG124" t="str">
        <f t="shared" si="57"/>
        <v>-TEXT 15543.4891330148,300 3.5 0 R=80</v>
      </c>
      <c r="BH124" t="str">
        <f t="shared" si="58"/>
        <v>-TEXT 15543.4891330148,295 3.5 0 α=49.10° </v>
      </c>
      <c r="BI124" t="str">
        <f t="shared" si="59"/>
        <v>-TEXT 15543.4891330148,290 3.5 0 T=36.54 </v>
      </c>
      <c r="BJ124" t="str">
        <f t="shared" si="60"/>
        <v>-TEXT 15543.4891330148,285 3.5 0 S=68.55 </v>
      </c>
    </row>
    <row r="125" spans="1:62">
      <c r="A125">
        <v>1</v>
      </c>
      <c r="B125">
        <v>124</v>
      </c>
      <c r="C125" t="str">
        <f>Sheet1!C113</f>
        <v>瓜飘寨隧出</v>
      </c>
      <c r="D125">
        <v>463296.4483</v>
      </c>
      <c r="E125">
        <v>3386991.139</v>
      </c>
      <c r="G125">
        <f t="shared" si="75"/>
        <v>0</v>
      </c>
      <c r="H125">
        <f t="shared" si="76"/>
        <v>0</v>
      </c>
      <c r="I125">
        <f t="shared" si="77"/>
        <v>0</v>
      </c>
      <c r="J125">
        <f t="shared" si="78"/>
        <v>168.66931171403</v>
      </c>
      <c r="K125" s="40">
        <f t="shared" si="79"/>
        <v>31251.3838347894</v>
      </c>
      <c r="L125" s="40">
        <f t="shared" si="80"/>
        <v>31251.3838347894</v>
      </c>
      <c r="M125" s="40">
        <f t="shared" si="81"/>
        <v>31251.3838347894</v>
      </c>
      <c r="N125">
        <v>462.775</v>
      </c>
      <c r="O125">
        <v>458.854</v>
      </c>
      <c r="P125">
        <v>0</v>
      </c>
      <c r="Q125" s="39">
        <f t="shared" si="83"/>
        <v>463296.4483</v>
      </c>
      <c r="R125" s="39">
        <f t="shared" si="84"/>
        <v>3386991.139</v>
      </c>
      <c r="S125" s="39" t="str">
        <f t="shared" si="61"/>
        <v> </v>
      </c>
      <c r="T125" s="39" t="str">
        <f t="shared" si="62"/>
        <v> </v>
      </c>
      <c r="U125" s="39" t="str">
        <f t="shared" si="63"/>
        <v> </v>
      </c>
      <c r="V125" s="39" t="str">
        <f t="shared" si="64"/>
        <v> </v>
      </c>
      <c r="AI125" t="str">
        <f t="array" ref="AI125">IFERROR(INDEX($L$2:$L$805,SMALL(IF(ISNUMBER(FIND($AH$2,$C$2:$C$805)),ROW($2:$805)-1,4^8),ROW(A124)))&amp;"","")</f>
        <v>89585.1209456481</v>
      </c>
      <c r="AJ125" t="str">
        <f t="array" ref="AJ125">IFERROR(INDEX($C$2:$C$805,SMALL(IF(ISNUMBER(FIND($AH$2,$C$2:$C$805)),ROW($2:$805)-1,4^8),ROW(B124)))&amp;"","")</f>
        <v>梁家湾渡槽出</v>
      </c>
      <c r="AT125" t="str">
        <f t="shared" si="46"/>
        <v>463296.4483,3386991.139</v>
      </c>
      <c r="AV125">
        <f t="shared" si="47"/>
        <v>464.054</v>
      </c>
      <c r="AX125" t="str">
        <f t="shared" si="48"/>
        <v>pl 15625.6919173947,279 15625.6919173947,400 </v>
      </c>
      <c r="AY125" t="str">
        <f t="shared" si="49"/>
        <v>15625.6919173947,458.854</v>
      </c>
      <c r="AZ125" t="str">
        <f t="shared" si="50"/>
        <v>15625.6919173947,462.775</v>
      </c>
      <c r="BA125" t="str">
        <f t="shared" si="51"/>
        <v>15625.6919173947,464.054</v>
      </c>
      <c r="BB125" t="str">
        <f t="shared" si="52"/>
        <v>-text 15624.6919173947,337 3.5 90 458.854 </v>
      </c>
      <c r="BC125" t="str">
        <f t="shared" si="53"/>
        <v>-text 15624.6919173947,320 3.5 90 464.054 </v>
      </c>
      <c r="BD125" t="str">
        <f t="shared" si="54"/>
        <v>-text 15624.6919173947,306 3.5 90 462.775 </v>
      </c>
      <c r="BE125" t="str">
        <f t="shared" si="55"/>
        <v>-text 15624.6919173947,352 3.5 90 ZG31+251.384 </v>
      </c>
      <c r="BF125" t="str">
        <f t="shared" si="56"/>
        <v>-text 15624.6919173947,280 3.5 90 瓜飘寨隧出 </v>
      </c>
      <c r="BG125" t="str">
        <f t="shared" si="57"/>
        <v/>
      </c>
      <c r="BH125" t="str">
        <f t="shared" si="58"/>
        <v> </v>
      </c>
      <c r="BI125" t="str">
        <f t="shared" si="59"/>
        <v> </v>
      </c>
      <c r="BJ125" t="str">
        <f t="shared" si="60"/>
        <v> </v>
      </c>
    </row>
    <row r="126" spans="1:62">
      <c r="A126">
        <v>0</v>
      </c>
      <c r="B126">
        <v>125</v>
      </c>
      <c r="C126" t="s">
        <v>134</v>
      </c>
      <c r="D126">
        <v>463385.5443</v>
      </c>
      <c r="E126">
        <v>3386849.0061</v>
      </c>
      <c r="F126">
        <v>80</v>
      </c>
      <c r="G126">
        <f t="shared" si="75"/>
        <v>15.993</v>
      </c>
      <c r="H126">
        <f t="shared" si="76"/>
        <v>11.2382833719193</v>
      </c>
      <c r="I126">
        <f t="shared" si="77"/>
        <v>22.3304405817162</v>
      </c>
      <c r="J126">
        <f t="shared" si="78"/>
        <v>167.749391886938</v>
      </c>
      <c r="K126" s="40">
        <f t="shared" si="79"/>
        <v>31407.8949433044</v>
      </c>
      <c r="L126" s="40">
        <f t="shared" si="80"/>
        <v>31419.0601635952</v>
      </c>
      <c r="M126" s="40">
        <f t="shared" si="81"/>
        <v>31430.2253838861</v>
      </c>
      <c r="N126">
        <v>462.795</v>
      </c>
      <c r="O126">
        <v>458.826</v>
      </c>
      <c r="P126">
        <v>0.001</v>
      </c>
      <c r="Q126" s="39">
        <f t="shared" si="83"/>
        <v>463379.575359761</v>
      </c>
      <c r="R126" s="39">
        <f t="shared" si="84"/>
        <v>3386858.5282198</v>
      </c>
      <c r="S126" s="39">
        <f t="shared" si="61"/>
        <v>463384.827179486</v>
      </c>
      <c r="T126" s="39">
        <f t="shared" si="62"/>
        <v>3386848.68554025</v>
      </c>
      <c r="U126" s="39">
        <f t="shared" si="63"/>
        <v>463388.658703927</v>
      </c>
      <c r="V126" s="39">
        <f t="shared" si="64"/>
        <v>3386838.2079751</v>
      </c>
      <c r="AI126" t="str">
        <f t="array" ref="AI126">IFERROR(INDEX($L$2:$L$805,SMALL(IF(ISNUMBER(FIND($AH$2,$C$2:$C$805)),ROW($2:$805)-1,4^8),ROW(A125)))&amp;"","")</f>
        <v>90257.1209310888</v>
      </c>
      <c r="AJ126" t="str">
        <f t="array" ref="AJ126">IFERROR(INDEX($C$2:$C$805,SMALL(IF(ISNUMBER(FIND($AH$2,$C$2:$C$805)),ROW($2:$805)-1,4^8),ROW(B125)))&amp;"","")</f>
        <v>谭家沟渡槽出</v>
      </c>
      <c r="AS126" t="str">
        <f>"-text"&amp;" "&amp;D126&amp;","&amp;E126&amp;" "&amp;"10"&amp;" "&amp;"0"&amp;" "&amp;C126</f>
        <v>-text 463385.5443,3386849.0061 10 0 IP68</v>
      </c>
      <c r="AT126" t="str">
        <f t="shared" si="46"/>
        <v>463385.5443,3386849.0061</v>
      </c>
      <c r="AV126">
        <f t="shared" si="47"/>
        <v>464.326</v>
      </c>
      <c r="AX126" t="str">
        <f t="shared" si="48"/>
        <v>pl 15709.5300817976,279 15709.5300817976,400 </v>
      </c>
      <c r="AY126" t="str">
        <f t="shared" si="49"/>
        <v>15709.5300817976,458.826</v>
      </c>
      <c r="AZ126" t="str">
        <f t="shared" si="50"/>
        <v>15709.5300817976,462.795</v>
      </c>
      <c r="BA126" t="str">
        <f t="shared" si="51"/>
        <v>15709.5300817976,464.326</v>
      </c>
      <c r="BB126" t="str">
        <f t="shared" si="52"/>
        <v>-text 15708.5300817976,337 3.5 90 458.826 </v>
      </c>
      <c r="BC126" t="str">
        <f t="shared" si="53"/>
        <v>-text 15708.5300817976,320 3.5 90 464.326 </v>
      </c>
      <c r="BD126" t="str">
        <f t="shared" si="54"/>
        <v>-text 15708.5300817976,306 3.5 90 462.795 </v>
      </c>
      <c r="BE126" t="str">
        <f t="shared" si="55"/>
        <v>-text 15708.5300817976,352 3.5 90 ZG31+419.060 </v>
      </c>
      <c r="BF126" t="str">
        <f t="shared" si="56"/>
        <v>-text 15708.5300817976,280 3.5 90 IP68 </v>
      </c>
      <c r="BG126" t="str">
        <f t="shared" si="57"/>
        <v>-TEXT 15710.5300817976,300 3.5 0 R=80</v>
      </c>
      <c r="BH126" t="str">
        <f t="shared" si="58"/>
        <v>-TEXT 15710.5300817976,295 3.5 0 α=15.99° </v>
      </c>
      <c r="BI126" t="str">
        <f t="shared" si="59"/>
        <v>-TEXT 15710.5300817976,290 3.5 0 T=11.24 </v>
      </c>
      <c r="BJ126" t="str">
        <f t="shared" si="60"/>
        <v>-TEXT 15710.5300817976,285 3.5 0 S=22.33 </v>
      </c>
    </row>
    <row r="127" spans="1:62">
      <c r="A127">
        <v>1</v>
      </c>
      <c r="B127">
        <v>126</v>
      </c>
      <c r="C127" t="str">
        <f>Sheet1!C115</f>
        <v>蔡家隧进</v>
      </c>
      <c r="D127">
        <v>463391.7951</v>
      </c>
      <c r="E127">
        <v>3386827.3336</v>
      </c>
      <c r="G127">
        <f t="shared" si="75"/>
        <v>0</v>
      </c>
      <c r="H127">
        <f t="shared" si="76"/>
        <v>0</v>
      </c>
      <c r="I127">
        <f t="shared" si="77"/>
        <v>0</v>
      </c>
      <c r="J127">
        <f t="shared" si="78"/>
        <v>22.5559250948414</v>
      </c>
      <c r="K127" s="40">
        <f t="shared" si="79"/>
        <v>31441.543025609</v>
      </c>
      <c r="L127" s="40">
        <f t="shared" si="80"/>
        <v>31441.543025609</v>
      </c>
      <c r="M127" s="40">
        <f t="shared" si="81"/>
        <v>31441.543025609</v>
      </c>
      <c r="N127">
        <v>462.694</v>
      </c>
      <c r="O127">
        <v>458.773</v>
      </c>
      <c r="P127">
        <v>0</v>
      </c>
      <c r="Q127" s="39">
        <f t="shared" si="83"/>
        <v>463391.7951</v>
      </c>
      <c r="R127" s="39">
        <f t="shared" si="84"/>
        <v>3386827.3336</v>
      </c>
      <c r="S127" s="39" t="str">
        <f t="shared" si="61"/>
        <v> </v>
      </c>
      <c r="T127" s="39" t="str">
        <f t="shared" si="62"/>
        <v> </v>
      </c>
      <c r="U127" s="39" t="str">
        <f t="shared" si="63"/>
        <v> </v>
      </c>
      <c r="V127" s="39" t="str">
        <f t="shared" si="64"/>
        <v> </v>
      </c>
      <c r="AI127" t="str">
        <f t="array" ref="AI127">IFERROR(INDEX($L$2:$L$805,SMALL(IF(ISNUMBER(FIND($AH$2,$C$2:$C$805)),ROW($2:$805)-1,4^8),ROW(A126)))&amp;"","")</f>
        <v>90494.1209740366</v>
      </c>
      <c r="AJ127" t="str">
        <f t="array" ref="AJ127">IFERROR(INDEX($C$2:$C$805,SMALL(IF(ISNUMBER(FIND($AH$2,$C$2:$C$805)),ROW($2:$805)-1,4^8),ROW(B126)))&amp;"","")</f>
        <v>棕树湾隧出</v>
      </c>
      <c r="AT127" t="str">
        <f t="shared" si="46"/>
        <v>463391.7951,3386827.3336</v>
      </c>
      <c r="AV127">
        <f t="shared" si="47"/>
        <v>463.973</v>
      </c>
      <c r="AX127" t="str">
        <f t="shared" si="48"/>
        <v>pl 15720.7715128045,279 15720.7715128045,400 </v>
      </c>
      <c r="AY127" t="str">
        <f t="shared" si="49"/>
        <v>15720.7715128045,458.773</v>
      </c>
      <c r="AZ127" t="str">
        <f t="shared" si="50"/>
        <v>15720.7715128045,462.694</v>
      </c>
      <c r="BA127" t="str">
        <f t="shared" si="51"/>
        <v>15720.7715128045,463.973</v>
      </c>
      <c r="BB127" t="str">
        <f t="shared" si="52"/>
        <v>-text 15719.7715128045,337 3.5 90 458.773 </v>
      </c>
      <c r="BC127" t="str">
        <f t="shared" si="53"/>
        <v>-text 15719.7715128045,320 3.5 90 463.973 </v>
      </c>
      <c r="BD127" t="str">
        <f t="shared" si="54"/>
        <v>-text 15719.7715128045,306 3.5 90 462.694 </v>
      </c>
      <c r="BE127" t="str">
        <f t="shared" si="55"/>
        <v>-text 15719.7715128045,352 3.5 90 ZG31+441.543 </v>
      </c>
      <c r="BF127" t="str">
        <f t="shared" si="56"/>
        <v>-text 15719.7715128045,280 3.5 90 蔡家隧进 </v>
      </c>
      <c r="BG127" t="str">
        <f t="shared" si="57"/>
        <v/>
      </c>
      <c r="BH127" t="str">
        <f t="shared" si="58"/>
        <v> </v>
      </c>
      <c r="BI127" t="str">
        <f t="shared" si="59"/>
        <v> </v>
      </c>
      <c r="BJ127" t="str">
        <f t="shared" si="60"/>
        <v> </v>
      </c>
    </row>
    <row r="128" spans="1:62">
      <c r="A128">
        <v>1</v>
      </c>
      <c r="B128">
        <v>127</v>
      </c>
      <c r="C128" t="str">
        <f>Sheet1!C116</f>
        <v>蔡家隧出</v>
      </c>
      <c r="D128">
        <v>463422.8116</v>
      </c>
      <c r="E128">
        <v>3386719.795</v>
      </c>
      <c r="G128">
        <f t="shared" si="75"/>
        <v>0</v>
      </c>
      <c r="H128">
        <f t="shared" si="76"/>
        <v>0</v>
      </c>
      <c r="I128">
        <f t="shared" si="77"/>
        <v>0</v>
      </c>
      <c r="J128">
        <f t="shared" si="78"/>
        <v>111.922177258265</v>
      </c>
      <c r="K128" s="40">
        <f t="shared" si="79"/>
        <v>31553.4652028673</v>
      </c>
      <c r="L128" s="40">
        <f t="shared" si="80"/>
        <v>31553.4652028673</v>
      </c>
      <c r="M128" s="40">
        <f t="shared" si="81"/>
        <v>31553.4652028673</v>
      </c>
      <c r="N128">
        <v>462.649</v>
      </c>
      <c r="O128">
        <v>458.728</v>
      </c>
      <c r="P128">
        <v>0</v>
      </c>
      <c r="Q128" s="39">
        <f t="shared" ref="Q128:Q159" si="86">IF(G128=0,D128,D127+(D128-D127)/J128*(J128-H128))</f>
        <v>463422.8116</v>
      </c>
      <c r="R128" s="39">
        <f t="shared" ref="R128:R159" si="87">IF(G128=0,E128,E127+(E128-E127)/J128*(J128-H128))</f>
        <v>3386719.795</v>
      </c>
      <c r="S128" s="39" t="str">
        <f t="shared" si="61"/>
        <v> </v>
      </c>
      <c r="T128" s="39" t="str">
        <f t="shared" si="62"/>
        <v> </v>
      </c>
      <c r="U128" s="39" t="str">
        <f t="shared" si="63"/>
        <v> </v>
      </c>
      <c r="V128" s="39" t="str">
        <f t="shared" si="64"/>
        <v> </v>
      </c>
      <c r="AI128" t="str">
        <f t="array" ref="AI128">IFERROR(INDEX($L$2:$L$805,SMALL(IF(ISNUMBER(FIND($AH$2,$C$2:$C$805)),ROW($2:$805)-1,4^8),ROW(A127)))&amp;"","")</f>
        <v>92500.4510191391</v>
      </c>
      <c r="AJ128" t="str">
        <f t="array" ref="AJ128">IFERROR(INDEX($C$2:$C$805,SMALL(IF(ISNUMBER(FIND($AH$2,$C$2:$C$805)),ROW($2:$805)-1,4^8),ROW(B127)))&amp;"","")</f>
        <v>芋荷沟隧出</v>
      </c>
      <c r="AT128" t="str">
        <f t="shared" ref="AT128:AT191" si="88">D128&amp;","&amp;E128</f>
        <v>463422.8116,3386719.795</v>
      </c>
      <c r="AV128">
        <f t="shared" ref="AV128:AV191" si="89">IF(A128=0,O128+5.5,IF(A128=1,O128+5.2,O128+4.6))</f>
        <v>463.928</v>
      </c>
      <c r="AX128" t="str">
        <f t="shared" ref="AX128:AX191" si="90">"pl "&amp;L128/2&amp;",279 "&amp;L128/2&amp;",400 "</f>
        <v>pl 15776.7326014336,279 15776.7326014336,400 </v>
      </c>
      <c r="AY128" t="str">
        <f t="shared" ref="AY128:AY191" si="91">L128/2&amp;","&amp;O128</f>
        <v>15776.7326014336,458.728</v>
      </c>
      <c r="AZ128" t="str">
        <f t="shared" ref="AZ128:AZ191" si="92">L128/2&amp;","&amp;N128</f>
        <v>15776.7326014336,462.649</v>
      </c>
      <c r="BA128" t="str">
        <f t="shared" ref="BA128:BA191" si="93">L128/2&amp;","&amp;AV128</f>
        <v>15776.7326014336,463.928</v>
      </c>
      <c r="BB128" t="str">
        <f t="shared" ref="BB128:BB191" si="94">"-text "&amp;L128/2-1&amp;",337 3.5 90 "&amp;FIXED(O128,3)&amp;" "</f>
        <v>-text 15775.7326014336,337 3.5 90 458.728 </v>
      </c>
      <c r="BC128" t="str">
        <f t="shared" ref="BC128:BC191" si="95">"-text "&amp;L128/2-1&amp;",320 3.5 90 "&amp;FIXED(AV128,3)&amp;" "</f>
        <v>-text 15775.7326014336,320 3.5 90 463.928 </v>
      </c>
      <c r="BD128" t="str">
        <f t="shared" ref="BD128:BD191" si="96">"-text "&amp;L128/2-1&amp;",306 3.5 90 "&amp;FIXED(N128,3)&amp;" "</f>
        <v>-text 15775.7326014336,306 3.5 90 462.649 </v>
      </c>
      <c r="BE128" t="str">
        <f t="shared" ref="BE128:BE191" si="97">"-text "&amp;L128/2-1&amp;",352 3.5 90 "&amp;"ZG"&amp;TEXT(L128,"0+000.000")&amp;" "</f>
        <v>-text 15775.7326014336,352 3.5 90 ZG31+553.465 </v>
      </c>
      <c r="BF128" t="str">
        <f t="shared" ref="BF128:BF191" si="98">"-text "&amp;L128/2-1&amp;",280 3.5 90 "&amp;C128&amp;" "</f>
        <v>-text 15775.7326014336,280 3.5 90 蔡家隧出 </v>
      </c>
      <c r="BG128" t="str">
        <f t="shared" ref="BG128:BG191" si="99">IF(G128&lt;0.01,"",("-TEXT "&amp;L128/2+1&amp;",300 3.5 0 "&amp;"R="&amp;FIXED(F128,0)))</f>
        <v/>
      </c>
      <c r="BH128" t="str">
        <f t="shared" ref="BH128:BH191" si="100">IF(G128&lt;0.01," ",("-TEXT "&amp;L128/2+1&amp;",295 3.5 0 "&amp;"α="&amp;FIXED(G128,2)&amp;"° "))</f>
        <v> </v>
      </c>
      <c r="BI128" t="str">
        <f t="shared" ref="BI128:BI191" si="101">IF(G128&lt;0.01," ",("-TEXT "&amp;L128/2+1&amp;",290 3.5 0 "&amp;"T="&amp;FIXED(H128,2)&amp;" "))</f>
        <v> </v>
      </c>
      <c r="BJ128" t="str">
        <f t="shared" ref="BJ128:BJ191" si="102">IF(G128&lt;0.01," ",("-TEXT "&amp;L128/2+1&amp;",285 3.5 0 "&amp;"S="&amp;FIXED(I128,2)&amp;" "))</f>
        <v> </v>
      </c>
    </row>
    <row r="129" spans="1:62">
      <c r="A129">
        <v>2</v>
      </c>
      <c r="B129">
        <v>128</v>
      </c>
      <c r="C129" t="str">
        <f>Sheet1!C117</f>
        <v>杨家湾渡槽进</v>
      </c>
      <c r="D129">
        <v>463440.8268</v>
      </c>
      <c r="E129">
        <v>3386657.334</v>
      </c>
      <c r="G129">
        <f t="shared" ref="G129:G188" si="103">ROUND(IF((2*SQRT((D128-D129)^2+(E128-E129)^2)*SQRT((D130-D129)^2+(E130-E129)^2))=0,0,180-ACOS(((D128-D129)^2+(E128-E129)^2+(D130-D129)^2+(E130-E129)^2-(D130-D128)^2-(E130-E128)^2)/(2*SQRT((D128-D129)^2+(E128-E129)^2)*SQRT((D130-D129)^2+(E130-E129)^2)))/PI()*180),3)</f>
        <v>0</v>
      </c>
      <c r="H129">
        <f t="shared" ref="H129:H188" si="104">F129*TAN(PI()/180*G129/2)</f>
        <v>0</v>
      </c>
      <c r="I129">
        <f t="shared" ref="I129:I188" si="105">F129*G129/180*PI()</f>
        <v>0</v>
      </c>
      <c r="J129">
        <f t="shared" ref="J129:J188" si="106">SQRT((D129-D128)^2+(E129-E128)^2)</f>
        <v>65.0071069349696</v>
      </c>
      <c r="K129" s="40">
        <f t="shared" ref="K129:K188" si="107">L129-I129/2</f>
        <v>31618.4723098023</v>
      </c>
      <c r="L129" s="40">
        <f t="shared" ref="L129:L188" si="108">L128+J129-H129+I129/2+I128/2-H128</f>
        <v>31618.4723098023</v>
      </c>
      <c r="M129" s="40">
        <f t="shared" ref="M129:M188" si="109">K129+I129</f>
        <v>31618.4723098023</v>
      </c>
      <c r="N129">
        <v>462.568</v>
      </c>
      <c r="O129">
        <v>458.685</v>
      </c>
      <c r="P129">
        <v>0</v>
      </c>
      <c r="Q129" s="39">
        <f t="shared" si="86"/>
        <v>463440.8268</v>
      </c>
      <c r="R129" s="39">
        <f t="shared" si="87"/>
        <v>3386657.334</v>
      </c>
      <c r="S129" s="39" t="str">
        <f t="shared" ref="S129:S188" si="110">IF(G129=0," ",(Q129+U129)/2+(D129-(Q129+U129)/2)/(H129*SIN(G129/360*PI()))*(F129-F129*COS(G129/360*PI())))</f>
        <v> </v>
      </c>
      <c r="T129" s="39" t="str">
        <f t="shared" ref="T129:T188" si="111">IF(G129=0," ",(R129+V129)/2+(E129-(R129+V129)/2)/(H129*SIN(G129/360*PI()))*(F129-F129*COS(G129/360*PI())))</f>
        <v> </v>
      </c>
      <c r="U129" s="39" t="str">
        <f t="shared" ref="U129:U188" si="112">IF(G129=0," ",D129+(D130-D129)/J130*H129)</f>
        <v> </v>
      </c>
      <c r="V129" s="39" t="str">
        <f t="shared" ref="V129:V188" si="113">IF(G129=0," ",E129+(E130-E129)/J130*H129)</f>
        <v> </v>
      </c>
      <c r="AI129" t="str">
        <f t="array" ref="AI129">IFERROR(INDEX($L$2:$L$805,SMALL(IF(ISNUMBER(FIND($AH$2,$C$2:$C$805)),ROW($2:$805)-1,4^8),ROW(A128)))&amp;"","")</f>
        <v>94860.1010436615</v>
      </c>
      <c r="AJ129" t="str">
        <f t="array" ref="AJ129">IFERROR(INDEX($C$2:$C$805,SMALL(IF(ISNUMBER(FIND($AH$2,$C$2:$C$805)),ROW($2:$805)-1,4^8),ROW(B128)))&amp;"","")</f>
        <v>龙泉寺隧出</v>
      </c>
      <c r="AT129" t="str">
        <f t="shared" si="88"/>
        <v>463440.8268,3386657.334</v>
      </c>
      <c r="AV129">
        <f t="shared" si="89"/>
        <v>463.285</v>
      </c>
      <c r="AX129" t="str">
        <f t="shared" si="90"/>
        <v>pl 15809.2361549011,279 15809.2361549011,400 </v>
      </c>
      <c r="AY129" t="str">
        <f t="shared" si="91"/>
        <v>15809.2361549011,458.685</v>
      </c>
      <c r="AZ129" t="str">
        <f t="shared" si="92"/>
        <v>15809.2361549011,462.568</v>
      </c>
      <c r="BA129" t="str">
        <f t="shared" si="93"/>
        <v>15809.2361549011,463.285</v>
      </c>
      <c r="BB129" t="str">
        <f t="shared" si="94"/>
        <v>-text 15808.2361549011,337 3.5 90 458.685 </v>
      </c>
      <c r="BC129" t="str">
        <f t="shared" si="95"/>
        <v>-text 15808.2361549011,320 3.5 90 463.285 </v>
      </c>
      <c r="BD129" t="str">
        <f t="shared" si="96"/>
        <v>-text 15808.2361549011,306 3.5 90 462.568 </v>
      </c>
      <c r="BE129" t="str">
        <f t="shared" si="97"/>
        <v>-text 15808.2361549011,352 3.5 90 ZG31+618.472 </v>
      </c>
      <c r="BF129" t="str">
        <f t="shared" si="98"/>
        <v>-text 15808.2361549011,280 3.5 90 杨家湾渡槽进 </v>
      </c>
      <c r="BG129" t="str">
        <f t="shared" si="99"/>
        <v/>
      </c>
      <c r="BH129" t="str">
        <f t="shared" si="100"/>
        <v> </v>
      </c>
      <c r="BI129" t="str">
        <f t="shared" si="101"/>
        <v> </v>
      </c>
      <c r="BJ129" t="str">
        <f t="shared" si="102"/>
        <v> </v>
      </c>
    </row>
    <row r="130" spans="1:62">
      <c r="A130">
        <v>2</v>
      </c>
      <c r="B130">
        <v>129</v>
      </c>
      <c r="C130" t="s">
        <v>138</v>
      </c>
      <c r="D130">
        <v>463460.2665</v>
      </c>
      <c r="E130">
        <v>3386589.9337</v>
      </c>
      <c r="F130">
        <v>80</v>
      </c>
      <c r="G130">
        <f t="shared" si="103"/>
        <v>3.667</v>
      </c>
      <c r="H130">
        <f t="shared" si="104"/>
        <v>2.56092316837771</v>
      </c>
      <c r="I130">
        <f t="shared" si="105"/>
        <v>5.12009789365057</v>
      </c>
      <c r="J130">
        <f t="shared" si="106"/>
        <v>70.1477182534351</v>
      </c>
      <c r="K130" s="40">
        <f t="shared" si="107"/>
        <v>31686.0591048873</v>
      </c>
      <c r="L130" s="40">
        <f t="shared" si="108"/>
        <v>31688.6191538341</v>
      </c>
      <c r="M130" s="40">
        <f t="shared" si="109"/>
        <v>31691.179202781</v>
      </c>
      <c r="N130">
        <v>462.536</v>
      </c>
      <c r="O130">
        <v>458.653</v>
      </c>
      <c r="P130">
        <v>0</v>
      </c>
      <c r="Q130" s="39">
        <f t="shared" si="86"/>
        <v>463459.556803671</v>
      </c>
      <c r="R130" s="39">
        <f t="shared" si="87"/>
        <v>3386592.39432159</v>
      </c>
      <c r="S130" s="39">
        <f t="shared" si="110"/>
        <v>463460.305495293</v>
      </c>
      <c r="T130" s="39">
        <f t="shared" si="111"/>
        <v>3386589.94631199</v>
      </c>
      <c r="U130" s="39">
        <f t="shared" si="112"/>
        <v>463461.13213757</v>
      </c>
      <c r="V130" s="39">
        <f t="shared" si="113"/>
        <v>3386587.52351348</v>
      </c>
      <c r="AI130" t="str">
        <f t="array" ref="AI130">IFERROR(INDEX($L$2:$L$805,SMALL(IF(ISNUMBER(FIND($AH$2,$C$2:$C$805)),ROW($2:$805)-1,4^8),ROW(A129)))&amp;"","")</f>
        <v>95282.101046351</v>
      </c>
      <c r="AJ130" t="str">
        <f t="array" ref="AJ130">IFERROR(INDEX($C$2:$C$805,SMALL(IF(ISNUMBER(FIND($AH$2,$C$2:$C$805)),ROW($2:$805)-1,4^8),ROW(B129)))&amp;"","")</f>
        <v>陈家湾渡槽出</v>
      </c>
      <c r="AS130" t="str">
        <f>"-text"&amp;" "&amp;D130&amp;","&amp;E130&amp;" "&amp;"10"&amp;" "&amp;"0"&amp;" "&amp;C130</f>
        <v>-text 463460.2665,3386589.9337 10 0 IP69</v>
      </c>
      <c r="AT130" t="str">
        <f t="shared" si="88"/>
        <v>463460.2665,3386589.9337</v>
      </c>
      <c r="AV130">
        <f t="shared" si="89"/>
        <v>463.253</v>
      </c>
      <c r="AX130" t="str">
        <f t="shared" si="90"/>
        <v>pl 15844.3095769171,279 15844.3095769171,400 </v>
      </c>
      <c r="AY130" t="str">
        <f t="shared" si="91"/>
        <v>15844.3095769171,458.653</v>
      </c>
      <c r="AZ130" t="str">
        <f t="shared" si="92"/>
        <v>15844.3095769171,462.536</v>
      </c>
      <c r="BA130" t="str">
        <f t="shared" si="93"/>
        <v>15844.3095769171,463.253</v>
      </c>
      <c r="BB130" t="str">
        <f t="shared" si="94"/>
        <v>-text 15843.3095769171,337 3.5 90 458.653 </v>
      </c>
      <c r="BC130" t="str">
        <f t="shared" si="95"/>
        <v>-text 15843.3095769171,320 3.5 90 463.253 </v>
      </c>
      <c r="BD130" t="str">
        <f t="shared" si="96"/>
        <v>-text 15843.3095769171,306 3.5 90 462.536 </v>
      </c>
      <c r="BE130" t="str">
        <f t="shared" si="97"/>
        <v>-text 15843.3095769171,352 3.5 90 ZG31+688.619 </v>
      </c>
      <c r="BF130" t="str">
        <f t="shared" si="98"/>
        <v>-text 15843.3095769171,280 3.5 90 IP69 </v>
      </c>
      <c r="BG130" t="str">
        <f t="shared" si="99"/>
        <v>-TEXT 15845.3095769171,300 3.5 0 R=80</v>
      </c>
      <c r="BH130" t="str">
        <f t="shared" si="100"/>
        <v>-TEXT 15845.3095769171,295 3.5 0 α=3.67° </v>
      </c>
      <c r="BI130" t="str">
        <f t="shared" si="101"/>
        <v>-TEXT 15845.3095769171,290 3.5 0 T=2.56 </v>
      </c>
      <c r="BJ130" t="str">
        <f t="shared" si="102"/>
        <v>-TEXT 15845.3095769171,285 3.5 0 S=5.12 </v>
      </c>
    </row>
    <row r="131" spans="1:62">
      <c r="A131">
        <v>2</v>
      </c>
      <c r="B131">
        <v>130</v>
      </c>
      <c r="C131" t="str">
        <f>Sheet1!C119</f>
        <v>杨家湾渡槽出</v>
      </c>
      <c r="D131">
        <v>463485.2464</v>
      </c>
      <c r="E131">
        <v>3386520.3824</v>
      </c>
      <c r="G131">
        <f t="shared" si="103"/>
        <v>0</v>
      </c>
      <c r="H131">
        <f t="shared" si="104"/>
        <v>0</v>
      </c>
      <c r="I131">
        <f t="shared" si="105"/>
        <v>0</v>
      </c>
      <c r="J131">
        <f t="shared" si="106"/>
        <v>73.9011416399612</v>
      </c>
      <c r="K131" s="40">
        <f t="shared" si="107"/>
        <v>31762.5194212525</v>
      </c>
      <c r="L131" s="40">
        <f t="shared" si="108"/>
        <v>31762.5194212525</v>
      </c>
      <c r="M131" s="40">
        <f t="shared" si="109"/>
        <v>31762.5194212525</v>
      </c>
      <c r="N131">
        <v>462.503</v>
      </c>
      <c r="O131">
        <v>458.62</v>
      </c>
      <c r="P131">
        <v>0</v>
      </c>
      <c r="Q131" s="39">
        <f t="shared" si="86"/>
        <v>463485.2464</v>
      </c>
      <c r="R131" s="39">
        <f t="shared" si="87"/>
        <v>3386520.3824</v>
      </c>
      <c r="S131" s="39" t="str">
        <f t="shared" si="110"/>
        <v> </v>
      </c>
      <c r="T131" s="39" t="str">
        <f t="shared" si="111"/>
        <v> </v>
      </c>
      <c r="U131" s="39" t="str">
        <f t="shared" si="112"/>
        <v> </v>
      </c>
      <c r="V131" s="39" t="str">
        <f t="shared" si="113"/>
        <v> </v>
      </c>
      <c r="AI131" t="str">
        <f t="array" ref="AI131">IFERROR(INDEX($L$2:$L$805,SMALL(IF(ISNUMBER(FIND($AH$2,$C$2:$C$805)),ROW($2:$805)-1,4^8),ROW(A130)))&amp;"","")</f>
        <v>95519.0568053203</v>
      </c>
      <c r="AJ131" t="str">
        <f t="array" ref="AJ131">IFERROR(INDEX($C$2:$C$805,SMALL(IF(ISNUMBER(FIND($AH$2,$C$2:$C$805)),ROW($2:$805)-1,4^8),ROW(B130)))&amp;"","")</f>
        <v>黄家湾1#渡槽出</v>
      </c>
      <c r="AT131" t="str">
        <f t="shared" si="88"/>
        <v>463485.2464,3386520.3824</v>
      </c>
      <c r="AV131">
        <f t="shared" si="89"/>
        <v>463.22</v>
      </c>
      <c r="AX131" t="str">
        <f t="shared" si="90"/>
        <v>pl 15881.2597106263,279 15881.2597106263,400 </v>
      </c>
      <c r="AY131" t="str">
        <f t="shared" si="91"/>
        <v>15881.2597106263,458.62</v>
      </c>
      <c r="AZ131" t="str">
        <f t="shared" si="92"/>
        <v>15881.2597106263,462.503</v>
      </c>
      <c r="BA131" t="str">
        <f t="shared" si="93"/>
        <v>15881.2597106263,463.22</v>
      </c>
      <c r="BB131" t="str">
        <f t="shared" si="94"/>
        <v>-text 15880.2597106263,337 3.5 90 458.620 </v>
      </c>
      <c r="BC131" t="str">
        <f t="shared" si="95"/>
        <v>-text 15880.2597106263,320 3.5 90 463.220 </v>
      </c>
      <c r="BD131" t="str">
        <f t="shared" si="96"/>
        <v>-text 15880.2597106263,306 3.5 90 462.503 </v>
      </c>
      <c r="BE131" t="str">
        <f t="shared" si="97"/>
        <v>-text 15880.2597106263,352 3.5 90 ZG31+762.519 </v>
      </c>
      <c r="BF131" t="str">
        <f t="shared" si="98"/>
        <v>-text 15880.2597106263,280 3.5 90 杨家湾渡槽出 </v>
      </c>
      <c r="BG131" t="str">
        <f t="shared" si="99"/>
        <v/>
      </c>
      <c r="BH131" t="str">
        <f t="shared" si="100"/>
        <v> </v>
      </c>
      <c r="BI131" t="str">
        <f t="shared" si="101"/>
        <v> </v>
      </c>
      <c r="BJ131" t="str">
        <f t="shared" si="102"/>
        <v> </v>
      </c>
    </row>
    <row r="132" spans="1:62">
      <c r="A132">
        <v>0</v>
      </c>
      <c r="B132">
        <v>131</v>
      </c>
      <c r="C132" t="s">
        <v>140</v>
      </c>
      <c r="D132">
        <v>463531.3641</v>
      </c>
      <c r="E132">
        <v>3386391.977</v>
      </c>
      <c r="F132">
        <v>80</v>
      </c>
      <c r="G132">
        <f t="shared" si="103"/>
        <v>8.968</v>
      </c>
      <c r="H132">
        <f t="shared" si="104"/>
        <v>6.27365845061111</v>
      </c>
      <c r="I132">
        <f t="shared" si="105"/>
        <v>12.5216901855081</v>
      </c>
      <c r="J132">
        <f t="shared" si="106"/>
        <v>136.436025310261</v>
      </c>
      <c r="K132" s="40">
        <f t="shared" si="107"/>
        <v>31892.6817881122</v>
      </c>
      <c r="L132" s="40">
        <f t="shared" si="108"/>
        <v>31898.942633205</v>
      </c>
      <c r="M132" s="40">
        <f t="shared" si="109"/>
        <v>31905.2034782977</v>
      </c>
      <c r="N132">
        <v>462.541</v>
      </c>
      <c r="O132">
        <v>458.572</v>
      </c>
      <c r="P132">
        <v>0</v>
      </c>
      <c r="Q132" s="39">
        <f t="shared" si="86"/>
        <v>463529.243496606</v>
      </c>
      <c r="R132" s="39">
        <f t="shared" si="87"/>
        <v>3386397.88139087</v>
      </c>
      <c r="S132" s="39">
        <f t="shared" si="110"/>
        <v>463531.127149304</v>
      </c>
      <c r="T132" s="39">
        <f t="shared" si="111"/>
        <v>3386391.91230234</v>
      </c>
      <c r="U132" s="39">
        <f t="shared" si="112"/>
        <v>463532.538351125</v>
      </c>
      <c r="V132" s="39">
        <f t="shared" si="113"/>
        <v>3386385.81421454</v>
      </c>
      <c r="AI132" t="str">
        <f t="array" ref="AI132">IFERROR(INDEX($L$2:$L$805,SMALL(IF(ISNUMBER(FIND($AH$2,$C$2:$C$805)),ROW($2:$805)-1,4^8),ROW(A131)))&amp;"","")</f>
        <v>95701.8147441292</v>
      </c>
      <c r="AJ132" t="str">
        <f t="array" ref="AJ132">IFERROR(INDEX($C$2:$C$805,SMALL(IF(ISNUMBER(FIND($AH$2,$C$2:$C$805)),ROW($2:$805)-1,4^8),ROW(B131)))&amp;"","")</f>
        <v>黄家湾隧出</v>
      </c>
      <c r="AS132" t="str">
        <f t="shared" ref="AS132:AS137" si="114">"-text"&amp;" "&amp;D132&amp;","&amp;E132&amp;" "&amp;"10"&amp;" "&amp;"0"&amp;" "&amp;C132</f>
        <v>-text 463531.3641,3386391.977 10 0 IP70</v>
      </c>
      <c r="AT132" t="str">
        <f t="shared" si="88"/>
        <v>463531.3641,3386391.977</v>
      </c>
      <c r="AV132">
        <f t="shared" si="89"/>
        <v>464.072</v>
      </c>
      <c r="AX132" t="str">
        <f t="shared" si="90"/>
        <v>pl 15949.4713166025,279 15949.4713166025,400 </v>
      </c>
      <c r="AY132" t="str">
        <f t="shared" si="91"/>
        <v>15949.4713166025,458.572</v>
      </c>
      <c r="AZ132" t="str">
        <f t="shared" si="92"/>
        <v>15949.4713166025,462.541</v>
      </c>
      <c r="BA132" t="str">
        <f t="shared" si="93"/>
        <v>15949.4713166025,464.072</v>
      </c>
      <c r="BB132" t="str">
        <f t="shared" si="94"/>
        <v>-text 15948.4713166025,337 3.5 90 458.572 </v>
      </c>
      <c r="BC132" t="str">
        <f t="shared" si="95"/>
        <v>-text 15948.4713166025,320 3.5 90 464.072 </v>
      </c>
      <c r="BD132" t="str">
        <f t="shared" si="96"/>
        <v>-text 15948.4713166025,306 3.5 90 462.541 </v>
      </c>
      <c r="BE132" t="str">
        <f t="shared" si="97"/>
        <v>-text 15948.4713166025,352 3.5 90 ZG31+898.943 </v>
      </c>
      <c r="BF132" t="str">
        <f t="shared" si="98"/>
        <v>-text 15948.4713166025,280 3.5 90 IP70 </v>
      </c>
      <c r="BG132" t="str">
        <f t="shared" si="99"/>
        <v>-TEXT 15950.4713166025,300 3.5 0 R=80</v>
      </c>
      <c r="BH132" t="str">
        <f t="shared" si="100"/>
        <v>-TEXT 15950.4713166025,295 3.5 0 α=8.97° </v>
      </c>
      <c r="BI132" t="str">
        <f t="shared" si="101"/>
        <v>-TEXT 15950.4713166025,290 3.5 0 T=6.27 </v>
      </c>
      <c r="BJ132" t="str">
        <f t="shared" si="102"/>
        <v>-TEXT 15950.4713166025,285 3.5 0 S=12.52 </v>
      </c>
    </row>
    <row r="133" spans="1:62">
      <c r="A133">
        <v>0</v>
      </c>
      <c r="B133">
        <v>132</v>
      </c>
      <c r="C133" t="s">
        <v>141</v>
      </c>
      <c r="D133">
        <v>463565.7897</v>
      </c>
      <c r="E133">
        <v>3386211.3022</v>
      </c>
      <c r="F133">
        <v>80</v>
      </c>
      <c r="G133">
        <f t="shared" si="103"/>
        <v>28.57</v>
      </c>
      <c r="H133">
        <f t="shared" si="104"/>
        <v>20.3694410587486</v>
      </c>
      <c r="I133">
        <f t="shared" si="105"/>
        <v>39.8912453835824</v>
      </c>
      <c r="J133">
        <f t="shared" si="106"/>
        <v>183.925270940283</v>
      </c>
      <c r="K133" s="40">
        <f t="shared" si="107"/>
        <v>32062.4856497286</v>
      </c>
      <c r="L133" s="40">
        <f t="shared" si="108"/>
        <v>32082.4312724204</v>
      </c>
      <c r="M133" s="40">
        <f t="shared" si="109"/>
        <v>32102.3768951122</v>
      </c>
      <c r="N133">
        <v>462.506</v>
      </c>
      <c r="O133">
        <v>458.537</v>
      </c>
      <c r="P133">
        <v>0.001</v>
      </c>
      <c r="Q133" s="39">
        <f t="shared" si="86"/>
        <v>463561.977117713</v>
      </c>
      <c r="R133" s="39">
        <f t="shared" si="87"/>
        <v>3386231.3116564</v>
      </c>
      <c r="S133" s="39">
        <f t="shared" si="110"/>
        <v>463568.101682764</v>
      </c>
      <c r="T133" s="39">
        <f t="shared" si="111"/>
        <v>3386212.383876</v>
      </c>
      <c r="U133" s="39">
        <f t="shared" si="112"/>
        <v>463578.707242005</v>
      </c>
      <c r="V133" s="39">
        <f t="shared" si="113"/>
        <v>3386195.55255754</v>
      </c>
      <c r="AI133" t="str">
        <f t="array" ref="AI133">IFERROR(INDEX($L$2:$L$805,SMALL(IF(ISNUMBER(FIND($AH$2,$C$2:$C$805)),ROW($2:$805)-1,4^8),ROW(A132)))&amp;"","")</f>
        <v>95846.9841899855</v>
      </c>
      <c r="AJ133" t="str">
        <f t="array" ref="AJ133">IFERROR(INDEX($C$2:$C$805,SMALL(IF(ISNUMBER(FIND($AH$2,$C$2:$C$805)),ROW($2:$805)-1,4^8),ROW(B132)))&amp;"","")</f>
        <v>黄家湾2#渡槽出</v>
      </c>
      <c r="AS133" t="str">
        <f t="shared" si="114"/>
        <v>-text 463565.7897,3386211.3022 10 0 IP71</v>
      </c>
      <c r="AT133" t="str">
        <f t="shared" si="88"/>
        <v>463565.7897,3386211.3022</v>
      </c>
      <c r="AV133">
        <f t="shared" si="89"/>
        <v>464.037</v>
      </c>
      <c r="AX133" t="str">
        <f t="shared" si="90"/>
        <v>pl 16041.2156362102,279 16041.2156362102,400 </v>
      </c>
      <c r="AY133" t="str">
        <f t="shared" si="91"/>
        <v>16041.2156362102,458.537</v>
      </c>
      <c r="AZ133" t="str">
        <f t="shared" si="92"/>
        <v>16041.2156362102,462.506</v>
      </c>
      <c r="BA133" t="str">
        <f t="shared" si="93"/>
        <v>16041.2156362102,464.037</v>
      </c>
      <c r="BB133" t="str">
        <f t="shared" si="94"/>
        <v>-text 16040.2156362102,337 3.5 90 458.537 </v>
      </c>
      <c r="BC133" t="str">
        <f t="shared" si="95"/>
        <v>-text 16040.2156362102,320 3.5 90 464.037 </v>
      </c>
      <c r="BD133" t="str">
        <f t="shared" si="96"/>
        <v>-text 16040.2156362102,306 3.5 90 462.506 </v>
      </c>
      <c r="BE133" t="str">
        <f t="shared" si="97"/>
        <v>-text 16040.2156362102,352 3.5 90 ZG32+082.431 </v>
      </c>
      <c r="BF133" t="str">
        <f t="shared" si="98"/>
        <v>-text 16040.2156362102,280 3.5 90 IP71 </v>
      </c>
      <c r="BG133" t="str">
        <f t="shared" si="99"/>
        <v>-TEXT 16042.2156362102,300 3.5 0 R=80</v>
      </c>
      <c r="BH133" t="str">
        <f t="shared" si="100"/>
        <v>-TEXT 16042.2156362102,295 3.5 0 α=28.57° </v>
      </c>
      <c r="BI133" t="str">
        <f t="shared" si="101"/>
        <v>-TEXT 16042.2156362102,290 3.5 0 T=20.37 </v>
      </c>
      <c r="BJ133" t="str">
        <f t="shared" si="102"/>
        <v>-TEXT 16042.2156362102,285 3.5 0 S=39.89 </v>
      </c>
    </row>
    <row r="134" spans="1:62">
      <c r="A134">
        <v>0</v>
      </c>
      <c r="B134">
        <v>133</v>
      </c>
      <c r="C134" t="s">
        <v>142</v>
      </c>
      <c r="D134">
        <v>463625.2019</v>
      </c>
      <c r="E134">
        <v>3386138.8642</v>
      </c>
      <c r="F134">
        <v>80</v>
      </c>
      <c r="G134">
        <f t="shared" si="103"/>
        <v>21.211</v>
      </c>
      <c r="H134">
        <f t="shared" si="104"/>
        <v>14.9795416077502</v>
      </c>
      <c r="I134">
        <f t="shared" si="105"/>
        <v>29.6161430112414</v>
      </c>
      <c r="J134">
        <f t="shared" si="106"/>
        <v>93.6860360607703</v>
      </c>
      <c r="K134" s="40">
        <f t="shared" si="107"/>
        <v>32160.7139485065</v>
      </c>
      <c r="L134" s="40">
        <f t="shared" si="108"/>
        <v>32175.5220200121</v>
      </c>
      <c r="M134" s="40">
        <f t="shared" si="109"/>
        <v>32190.3300915177</v>
      </c>
      <c r="N134">
        <v>462.487</v>
      </c>
      <c r="O134">
        <v>458.518</v>
      </c>
      <c r="P134">
        <v>0.001</v>
      </c>
      <c r="Q134" s="39">
        <f t="shared" si="86"/>
        <v>463615.702431783</v>
      </c>
      <c r="R134" s="39">
        <f t="shared" si="87"/>
        <v>3386150.44637468</v>
      </c>
      <c r="S134" s="39">
        <f t="shared" si="110"/>
        <v>463623.982963659</v>
      </c>
      <c r="T134" s="39">
        <f t="shared" si="111"/>
        <v>3386138.19540619</v>
      </c>
      <c r="U134" s="39">
        <f t="shared" si="112"/>
        <v>463629.86726736</v>
      </c>
      <c r="V134" s="39">
        <f t="shared" si="113"/>
        <v>3386124.62969916</v>
      </c>
      <c r="AI134" t="str">
        <f t="array" ref="AI134">IFERROR(INDEX($L$2:$L$805,SMALL(IF(ISNUMBER(FIND($AH$2,$C$2:$C$805)),ROW($2:$805)-1,4^8),ROW(A133)))&amp;"","")</f>
        <v>96362.513172381</v>
      </c>
      <c r="AJ134" t="str">
        <f t="array" ref="AJ134">IFERROR(INDEX($C$2:$C$805,SMALL(IF(ISNUMBER(FIND($AH$2,$C$2:$C$805)),ROW($2:$805)-1,4^8),ROW(B133)))&amp;"","")</f>
        <v>垭口隧出</v>
      </c>
      <c r="AS134" t="str">
        <f t="shared" si="114"/>
        <v>-text 463625.2019,3386138.8642 10 0 IP72</v>
      </c>
      <c r="AT134" t="str">
        <f t="shared" si="88"/>
        <v>463625.2019,3386138.8642</v>
      </c>
      <c r="AV134">
        <f t="shared" si="89"/>
        <v>464.018</v>
      </c>
      <c r="AX134" t="str">
        <f t="shared" si="90"/>
        <v>pl 16087.7610100061,279 16087.7610100061,400 </v>
      </c>
      <c r="AY134" t="str">
        <f t="shared" si="91"/>
        <v>16087.7610100061,458.518</v>
      </c>
      <c r="AZ134" t="str">
        <f t="shared" si="92"/>
        <v>16087.7610100061,462.487</v>
      </c>
      <c r="BA134" t="str">
        <f t="shared" si="93"/>
        <v>16087.7610100061,464.018</v>
      </c>
      <c r="BB134" t="str">
        <f t="shared" si="94"/>
        <v>-text 16086.7610100061,337 3.5 90 458.518 </v>
      </c>
      <c r="BC134" t="str">
        <f t="shared" si="95"/>
        <v>-text 16086.7610100061,320 3.5 90 464.018 </v>
      </c>
      <c r="BD134" t="str">
        <f t="shared" si="96"/>
        <v>-text 16086.7610100061,306 3.5 90 462.487 </v>
      </c>
      <c r="BE134" t="str">
        <f t="shared" si="97"/>
        <v>-text 16086.7610100061,352 3.5 90 ZG32+175.522 </v>
      </c>
      <c r="BF134" t="str">
        <f t="shared" si="98"/>
        <v>-text 16086.7610100061,280 3.5 90 IP72 </v>
      </c>
      <c r="BG134" t="str">
        <f t="shared" si="99"/>
        <v>-TEXT 16088.7610100061,300 3.5 0 R=80</v>
      </c>
      <c r="BH134" t="str">
        <f t="shared" si="100"/>
        <v>-TEXT 16088.7610100061,295 3.5 0 α=21.21° </v>
      </c>
      <c r="BI134" t="str">
        <f t="shared" si="101"/>
        <v>-TEXT 16088.7610100061,290 3.5 0 T=14.98 </v>
      </c>
      <c r="BJ134" t="str">
        <f t="shared" si="102"/>
        <v>-TEXT 16088.7610100061,285 3.5 0 S=29.62 </v>
      </c>
    </row>
    <row r="135" spans="1:62">
      <c r="A135">
        <v>0</v>
      </c>
      <c r="B135">
        <v>134</v>
      </c>
      <c r="C135" t="s">
        <v>143</v>
      </c>
      <c r="D135">
        <v>463704.6662</v>
      </c>
      <c r="E135">
        <v>3385896.4107</v>
      </c>
      <c r="F135">
        <v>80</v>
      </c>
      <c r="G135">
        <f t="shared" si="103"/>
        <v>46.801</v>
      </c>
      <c r="H135">
        <f t="shared" si="104"/>
        <v>34.6199202486749</v>
      </c>
      <c r="I135">
        <f t="shared" si="105"/>
        <v>65.3465234580693</v>
      </c>
      <c r="J135">
        <f t="shared" si="106"/>
        <v>255.143635305452</v>
      </c>
      <c r="K135" s="40">
        <f t="shared" si="107"/>
        <v>32395.8742649667</v>
      </c>
      <c r="L135" s="40">
        <f t="shared" si="108"/>
        <v>32428.5475266958</v>
      </c>
      <c r="M135" s="40">
        <f t="shared" si="109"/>
        <v>32461.2207884248</v>
      </c>
      <c r="N135">
        <v>462.438</v>
      </c>
      <c r="O135">
        <v>458.469</v>
      </c>
      <c r="P135">
        <v>0.002</v>
      </c>
      <c r="Q135" s="39">
        <f t="shared" si="86"/>
        <v>463693.88385097</v>
      </c>
      <c r="R135" s="39">
        <f t="shared" si="87"/>
        <v>3385929.30872163</v>
      </c>
      <c r="S135" s="39">
        <f t="shared" si="110"/>
        <v>463710.032028157</v>
      </c>
      <c r="T135" s="39">
        <f t="shared" si="111"/>
        <v>3385901.16588054</v>
      </c>
      <c r="U135" s="39">
        <f t="shared" si="112"/>
        <v>463736.029195374</v>
      </c>
      <c r="V135" s="39">
        <f t="shared" si="113"/>
        <v>3385881.75118435</v>
      </c>
      <c r="AI135" t="str">
        <f t="array" ref="AI135">IFERROR(INDEX($L$2:$L$805,SMALL(IF(ISNUMBER(FIND($AH$2,$C$2:$C$805)),ROW($2:$805)-1,4^8),ROW(A134)))&amp;"","")</f>
        <v>96849.5331116606</v>
      </c>
      <c r="AJ135" t="str">
        <f t="array" ref="AJ135">IFERROR(INDEX($C$2:$C$805,SMALL(IF(ISNUMBER(FIND($AH$2,$C$2:$C$805)),ROW($2:$805)-1,4^8),ROW(B134)))&amp;"","")</f>
        <v>龙口村隧出</v>
      </c>
      <c r="AS135" t="str">
        <f t="shared" si="114"/>
        <v>-text 463704.6662,3385896.4107 10 0 IP73</v>
      </c>
      <c r="AT135" t="str">
        <f t="shared" si="88"/>
        <v>463704.6662,3385896.4107</v>
      </c>
      <c r="AV135">
        <f t="shared" si="89"/>
        <v>463.969</v>
      </c>
      <c r="AX135" t="str">
        <f t="shared" si="90"/>
        <v>pl 16214.2737633479,279 16214.2737633479,400 </v>
      </c>
      <c r="AY135" t="str">
        <f t="shared" si="91"/>
        <v>16214.2737633479,458.469</v>
      </c>
      <c r="AZ135" t="str">
        <f t="shared" si="92"/>
        <v>16214.2737633479,462.438</v>
      </c>
      <c r="BA135" t="str">
        <f t="shared" si="93"/>
        <v>16214.2737633479,463.969</v>
      </c>
      <c r="BB135" t="str">
        <f t="shared" si="94"/>
        <v>-text 16213.2737633479,337 3.5 90 458.469 </v>
      </c>
      <c r="BC135" t="str">
        <f t="shared" si="95"/>
        <v>-text 16213.2737633479,320 3.5 90 463.969 </v>
      </c>
      <c r="BD135" t="str">
        <f t="shared" si="96"/>
        <v>-text 16213.2737633479,306 3.5 90 462.438 </v>
      </c>
      <c r="BE135" t="str">
        <f t="shared" si="97"/>
        <v>-text 16213.2737633479,352 3.5 90 ZG32+428.548 </v>
      </c>
      <c r="BF135" t="str">
        <f t="shared" si="98"/>
        <v>-text 16213.2737633479,280 3.5 90 IP73 </v>
      </c>
      <c r="BG135" t="str">
        <f t="shared" si="99"/>
        <v>-TEXT 16215.2737633479,300 3.5 0 R=80</v>
      </c>
      <c r="BH135" t="str">
        <f t="shared" si="100"/>
        <v>-TEXT 16215.2737633479,295 3.5 0 α=46.80° </v>
      </c>
      <c r="BI135" t="str">
        <f t="shared" si="101"/>
        <v>-TEXT 16215.2737633479,290 3.5 0 T=34.62 </v>
      </c>
      <c r="BJ135" t="str">
        <f t="shared" si="102"/>
        <v>-TEXT 16215.2737633479,285 3.5 0 S=65.35 </v>
      </c>
    </row>
    <row r="136" spans="1:62">
      <c r="A136">
        <v>0</v>
      </c>
      <c r="B136">
        <v>135</v>
      </c>
      <c r="C136" t="s">
        <v>144</v>
      </c>
      <c r="D136">
        <v>463816.6313</v>
      </c>
      <c r="E136">
        <v>3385844.0766</v>
      </c>
      <c r="F136">
        <v>80</v>
      </c>
      <c r="G136">
        <f t="shared" si="103"/>
        <v>15.235</v>
      </c>
      <c r="H136">
        <f t="shared" si="104"/>
        <v>10.6991496319013</v>
      </c>
      <c r="I136">
        <f t="shared" si="105"/>
        <v>21.2720729233069</v>
      </c>
      <c r="J136">
        <f t="shared" si="106"/>
        <v>123.592239403762</v>
      </c>
      <c r="K136" s="40">
        <f t="shared" si="107"/>
        <v>32539.493957948</v>
      </c>
      <c r="L136" s="40">
        <f t="shared" si="108"/>
        <v>32550.1299944097</v>
      </c>
      <c r="M136" s="40">
        <f t="shared" si="109"/>
        <v>32560.7660308713</v>
      </c>
      <c r="N136">
        <v>462.414</v>
      </c>
      <c r="O136">
        <v>458.445</v>
      </c>
      <c r="P136">
        <v>0.001</v>
      </c>
      <c r="Q136" s="39">
        <f t="shared" si="86"/>
        <v>463806.938690139</v>
      </c>
      <c r="R136" s="39">
        <f t="shared" si="87"/>
        <v>3385848.60706542</v>
      </c>
      <c r="S136" s="39">
        <f t="shared" si="110"/>
        <v>463816.844706844</v>
      </c>
      <c r="T136" s="39">
        <f t="shared" si="111"/>
        <v>3385844.75613669</v>
      </c>
      <c r="U136" s="39">
        <f t="shared" si="112"/>
        <v>463827.173770647</v>
      </c>
      <c r="V136" s="39">
        <f t="shared" si="113"/>
        <v>3385842.25228766</v>
      </c>
      <c r="AI136" t="str">
        <f t="array" ref="AI136">IFERROR(INDEX($L$2:$L$805,SMALL(IF(ISNUMBER(FIND($AH$2,$C$2:$C$805)),ROW($2:$805)-1,4^8),ROW(A135)))&amp;"","")</f>
        <v>96896.3036084311</v>
      </c>
      <c r="AJ136" t="str">
        <f t="array" ref="AJ136">IFERROR(INDEX($C$2:$C$805,SMALL(IF(ISNUMBER(FIND($AH$2,$C$2:$C$805)),ROW($2:$805)-1,4^8),ROW(B135)))&amp;"","")</f>
        <v>龙口村泄水闸出</v>
      </c>
      <c r="AS136" t="str">
        <f t="shared" si="114"/>
        <v>-text 463816.6313,3385844.0766 10 0 IP74</v>
      </c>
      <c r="AT136" t="str">
        <f t="shared" si="88"/>
        <v>463816.6313,3385844.0766</v>
      </c>
      <c r="AV136">
        <f t="shared" si="89"/>
        <v>463.945</v>
      </c>
      <c r="AX136" t="str">
        <f t="shared" si="90"/>
        <v>pl 16275.0649972048,279 16275.0649972048,400 </v>
      </c>
      <c r="AY136" t="str">
        <f t="shared" si="91"/>
        <v>16275.0649972048,458.445</v>
      </c>
      <c r="AZ136" t="str">
        <f t="shared" si="92"/>
        <v>16275.0649972048,462.414</v>
      </c>
      <c r="BA136" t="str">
        <f t="shared" si="93"/>
        <v>16275.0649972048,463.945</v>
      </c>
      <c r="BB136" t="str">
        <f t="shared" si="94"/>
        <v>-text 16274.0649972048,337 3.5 90 458.445 </v>
      </c>
      <c r="BC136" t="str">
        <f t="shared" si="95"/>
        <v>-text 16274.0649972048,320 3.5 90 463.945 </v>
      </c>
      <c r="BD136" t="str">
        <f t="shared" si="96"/>
        <v>-text 16274.0649972048,306 3.5 90 462.414 </v>
      </c>
      <c r="BE136" t="str">
        <f t="shared" si="97"/>
        <v>-text 16274.0649972048,352 3.5 90 ZG32+550.130 </v>
      </c>
      <c r="BF136" t="str">
        <f t="shared" si="98"/>
        <v>-text 16274.0649972048,280 3.5 90 IP74 </v>
      </c>
      <c r="BG136" t="str">
        <f t="shared" si="99"/>
        <v>-TEXT 16276.0649972048,300 3.5 0 R=80</v>
      </c>
      <c r="BH136" t="str">
        <f t="shared" si="100"/>
        <v>-TEXT 16276.0649972048,295 3.5 0 α=15.24° </v>
      </c>
      <c r="BI136" t="str">
        <f t="shared" si="101"/>
        <v>-TEXT 16276.0649972048,290 3.5 0 T=10.70 </v>
      </c>
      <c r="BJ136" t="str">
        <f t="shared" si="102"/>
        <v>-TEXT 16276.0649972048,285 3.5 0 S=21.27 </v>
      </c>
    </row>
    <row r="137" spans="1:62">
      <c r="A137">
        <v>0</v>
      </c>
      <c r="B137">
        <v>136</v>
      </c>
      <c r="C137" t="s">
        <v>145</v>
      </c>
      <c r="D137">
        <v>463946.5791</v>
      </c>
      <c r="E137">
        <v>3385821.5899</v>
      </c>
      <c r="F137">
        <v>80</v>
      </c>
      <c r="G137">
        <f t="shared" si="103"/>
        <v>1.651</v>
      </c>
      <c r="H137">
        <f t="shared" si="104"/>
        <v>1.15269519856521</v>
      </c>
      <c r="I137">
        <f t="shared" si="105"/>
        <v>2.30523087603411</v>
      </c>
      <c r="J137">
        <f t="shared" si="106"/>
        <v>131.879044589013</v>
      </c>
      <c r="K137" s="40">
        <f t="shared" si="107"/>
        <v>32680.7932306299</v>
      </c>
      <c r="L137" s="40">
        <f t="shared" si="108"/>
        <v>32681.9458460679</v>
      </c>
      <c r="M137" s="40">
        <f t="shared" si="109"/>
        <v>32683.0984615059</v>
      </c>
      <c r="N137">
        <v>462.389</v>
      </c>
      <c r="O137">
        <v>458.42</v>
      </c>
      <c r="P137">
        <v>0</v>
      </c>
      <c r="Q137" s="39">
        <f t="shared" si="86"/>
        <v>463945.443284939</v>
      </c>
      <c r="R137" s="39">
        <f t="shared" si="87"/>
        <v>3385821.78644609</v>
      </c>
      <c r="S137" s="39">
        <f t="shared" si="110"/>
        <v>463946.577566346</v>
      </c>
      <c r="T137" s="39">
        <f t="shared" si="111"/>
        <v>3385821.58173885</v>
      </c>
      <c r="U137" s="39">
        <f t="shared" si="112"/>
        <v>463947.708780764</v>
      </c>
      <c r="V137" s="39">
        <f t="shared" si="113"/>
        <v>3385821.36071101</v>
      </c>
      <c r="AI137" t="str">
        <f t="array" ref="AI137">IFERROR(INDEX($L$2:$L$805,SMALL(IF(ISNUMBER(FIND($AH$2,$C$2:$C$805)),ROW($2:$805)-1,4^8),ROW(A136)))&amp;"","")</f>
        <v>97503.343114393</v>
      </c>
      <c r="AJ137" t="str">
        <f t="array" ref="AJ137">IFERROR(INDEX($C$2:$C$805,SMALL(IF(ISNUMBER(FIND($AH$2,$C$2:$C$805)),ROW($2:$805)-1,4^8),ROW(B136)))&amp;"","")</f>
        <v>龙口村渡槽出</v>
      </c>
      <c r="AS137" t="str">
        <f t="shared" si="114"/>
        <v>-text 463946.5791,3385821.5899 10 0 IP75</v>
      </c>
      <c r="AT137" t="str">
        <f t="shared" si="88"/>
        <v>463946.5791,3385821.5899</v>
      </c>
      <c r="AV137">
        <f t="shared" si="89"/>
        <v>463.92</v>
      </c>
      <c r="AX137" t="str">
        <f t="shared" si="90"/>
        <v>pl 16340.9729230339,279 16340.9729230339,400 </v>
      </c>
      <c r="AY137" t="str">
        <f t="shared" si="91"/>
        <v>16340.9729230339,458.42</v>
      </c>
      <c r="AZ137" t="str">
        <f t="shared" si="92"/>
        <v>16340.9729230339,462.389</v>
      </c>
      <c r="BA137" t="str">
        <f t="shared" si="93"/>
        <v>16340.9729230339,463.92</v>
      </c>
      <c r="BB137" t="str">
        <f t="shared" si="94"/>
        <v>-text 16339.9729230339,337 3.5 90 458.420 </v>
      </c>
      <c r="BC137" t="str">
        <f t="shared" si="95"/>
        <v>-text 16339.9729230339,320 3.5 90 463.920 </v>
      </c>
      <c r="BD137" t="str">
        <f t="shared" si="96"/>
        <v>-text 16339.9729230339,306 3.5 90 462.389 </v>
      </c>
      <c r="BE137" t="str">
        <f t="shared" si="97"/>
        <v>-text 16339.9729230339,352 3.5 90 ZG32+681.946 </v>
      </c>
      <c r="BF137" t="str">
        <f t="shared" si="98"/>
        <v>-text 16339.9729230339,280 3.5 90 IP75 </v>
      </c>
      <c r="BG137" t="str">
        <f t="shared" si="99"/>
        <v>-TEXT 16341.9729230339,300 3.5 0 R=80</v>
      </c>
      <c r="BH137" t="str">
        <f t="shared" si="100"/>
        <v>-TEXT 16341.9729230339,295 3.5 0 α=1.65° </v>
      </c>
      <c r="BI137" t="str">
        <f t="shared" si="101"/>
        <v>-TEXT 16341.9729230339,290 3.5 0 T=1.15 </v>
      </c>
      <c r="BJ137" t="str">
        <f t="shared" si="102"/>
        <v>-TEXT 16341.9729230339,285 3.5 0 S=2.31 </v>
      </c>
    </row>
    <row r="138" spans="1:62">
      <c r="A138">
        <v>2</v>
      </c>
      <c r="B138">
        <v>137</v>
      </c>
      <c r="C138" t="str">
        <f>Sheet1!C126</f>
        <v>宽沟渡槽进</v>
      </c>
      <c r="D138">
        <v>463970.0768</v>
      </c>
      <c r="E138">
        <v>3385816.8227</v>
      </c>
      <c r="G138">
        <f t="shared" si="103"/>
        <v>0</v>
      </c>
      <c r="H138">
        <f t="shared" si="104"/>
        <v>0</v>
      </c>
      <c r="I138">
        <f t="shared" si="105"/>
        <v>0</v>
      </c>
      <c r="J138">
        <f t="shared" si="106"/>
        <v>23.9764071772955</v>
      </c>
      <c r="K138" s="40">
        <f t="shared" si="107"/>
        <v>32705.9221734846</v>
      </c>
      <c r="L138" s="40">
        <f t="shared" si="108"/>
        <v>32705.9221734846</v>
      </c>
      <c r="M138" s="40">
        <f t="shared" si="109"/>
        <v>32705.9221734846</v>
      </c>
      <c r="N138">
        <v>462.264</v>
      </c>
      <c r="O138">
        <v>458.381</v>
      </c>
      <c r="P138">
        <v>0</v>
      </c>
      <c r="Q138" s="39">
        <f t="shared" si="86"/>
        <v>463970.0768</v>
      </c>
      <c r="R138" s="39">
        <f t="shared" si="87"/>
        <v>3385816.8227</v>
      </c>
      <c r="S138" s="39" t="str">
        <f t="shared" si="110"/>
        <v> </v>
      </c>
      <c r="T138" s="39" t="str">
        <f t="shared" si="111"/>
        <v> </v>
      </c>
      <c r="U138" s="39" t="str">
        <f t="shared" si="112"/>
        <v> </v>
      </c>
      <c r="V138" s="39" t="str">
        <f t="shared" si="113"/>
        <v> </v>
      </c>
      <c r="AI138" t="str">
        <f t="array" ref="AI138">IFERROR(INDEX($L$2:$L$805,SMALL(IF(ISNUMBER(FIND($AH$2,$C$2:$C$805)),ROW($2:$805)-1,4^8),ROW(A137)))&amp;"","")</f>
        <v>97886.9830792401</v>
      </c>
      <c r="AJ138" t="str">
        <f t="array" ref="AJ138">IFERROR(INDEX($C$2:$C$805,SMALL(IF(ISNUMBER(FIND($AH$2,$C$2:$C$805)),ROW($2:$805)-1,4^8),ROW(B137)))&amp;"","")</f>
        <v>王家湾隧出</v>
      </c>
      <c r="AT138" t="str">
        <f t="shared" si="88"/>
        <v>463970.0768,3385816.8227</v>
      </c>
      <c r="AV138">
        <f t="shared" si="89"/>
        <v>462.981</v>
      </c>
      <c r="AX138" t="str">
        <f t="shared" si="90"/>
        <v>pl 16352.9610867423,279 16352.9610867423,400 </v>
      </c>
      <c r="AY138" t="str">
        <f t="shared" si="91"/>
        <v>16352.9610867423,458.381</v>
      </c>
      <c r="AZ138" t="str">
        <f t="shared" si="92"/>
        <v>16352.9610867423,462.264</v>
      </c>
      <c r="BA138" t="str">
        <f t="shared" si="93"/>
        <v>16352.9610867423,462.981</v>
      </c>
      <c r="BB138" t="str">
        <f t="shared" si="94"/>
        <v>-text 16351.9610867423,337 3.5 90 458.381 </v>
      </c>
      <c r="BC138" t="str">
        <f t="shared" si="95"/>
        <v>-text 16351.9610867423,320 3.5 90 462.981 </v>
      </c>
      <c r="BD138" t="str">
        <f t="shared" si="96"/>
        <v>-text 16351.9610867423,306 3.5 90 462.264 </v>
      </c>
      <c r="BE138" t="str">
        <f t="shared" si="97"/>
        <v>-text 16351.9610867423,352 3.5 90 ZG32+705.922 </v>
      </c>
      <c r="BF138" t="str">
        <f t="shared" si="98"/>
        <v>-text 16351.9610867423,280 3.5 90 宽沟渡槽进 </v>
      </c>
      <c r="BG138" t="str">
        <f t="shared" si="99"/>
        <v/>
      </c>
      <c r="BH138" t="str">
        <f t="shared" si="100"/>
        <v> </v>
      </c>
      <c r="BI138" t="str">
        <f t="shared" si="101"/>
        <v> </v>
      </c>
      <c r="BJ138" t="str">
        <f t="shared" si="102"/>
        <v> </v>
      </c>
    </row>
    <row r="139" spans="1:62">
      <c r="A139">
        <v>2</v>
      </c>
      <c r="B139">
        <v>138</v>
      </c>
      <c r="C139" t="s">
        <v>147</v>
      </c>
      <c r="D139">
        <v>464163.6458</v>
      </c>
      <c r="E139">
        <v>3385777.5509</v>
      </c>
      <c r="F139">
        <v>80</v>
      </c>
      <c r="G139">
        <f t="shared" si="103"/>
        <v>24.626</v>
      </c>
      <c r="H139">
        <f t="shared" si="104"/>
        <v>17.4618361070859</v>
      </c>
      <c r="I139">
        <f t="shared" si="105"/>
        <v>34.3843825276899</v>
      </c>
      <c r="J139">
        <f t="shared" si="106"/>
        <v>197.512612347231</v>
      </c>
      <c r="K139" s="40">
        <f t="shared" si="107"/>
        <v>32885.9729497248</v>
      </c>
      <c r="L139" s="40">
        <f t="shared" si="108"/>
        <v>32903.1651409886</v>
      </c>
      <c r="M139" s="40">
        <f t="shared" si="109"/>
        <v>32920.3573322525</v>
      </c>
      <c r="N139">
        <v>462.173</v>
      </c>
      <c r="O139">
        <v>458.29</v>
      </c>
      <c r="P139">
        <v>0.003</v>
      </c>
      <c r="Q139" s="39">
        <f t="shared" si="86"/>
        <v>464146.53261359</v>
      </c>
      <c r="R139" s="39">
        <f t="shared" si="87"/>
        <v>3385781.02286934</v>
      </c>
      <c r="S139" s="39">
        <f t="shared" si="110"/>
        <v>464163.61803941</v>
      </c>
      <c r="T139" s="39">
        <f t="shared" si="111"/>
        <v>3385779.43426475</v>
      </c>
      <c r="U139" s="39">
        <f t="shared" si="112"/>
        <v>464180.649221192</v>
      </c>
      <c r="V139" s="39">
        <f t="shared" si="113"/>
        <v>3385781.5257444</v>
      </c>
      <c r="AI139" t="str">
        <f t="array" ref="AI139">IFERROR(INDEX($L$2:$L$805,SMALL(IF(ISNUMBER(FIND($AH$2,$C$2:$C$805)),ROW($2:$805)-1,4^8),ROW(A138)))&amp;"","")</f>
        <v>98256.9830443726</v>
      </c>
      <c r="AJ139" t="str">
        <f t="array" ref="AJ139">IFERROR(INDEX($C$2:$C$805,SMALL(IF(ISNUMBER(FIND($AH$2,$C$2:$C$805)),ROW($2:$805)-1,4^8),ROW(B138)))&amp;"","")</f>
        <v>青山湾渡槽出</v>
      </c>
      <c r="AS139" t="str">
        <f>"-text"&amp;" "&amp;D139&amp;","&amp;E139&amp;" "&amp;"10"&amp;" "&amp;"0"&amp;" "&amp;C139</f>
        <v>-text 464163.6458,3385777.5509 10 0 IP76</v>
      </c>
      <c r="AT139" t="str">
        <f t="shared" si="88"/>
        <v>464163.6458,3385777.5509</v>
      </c>
      <c r="AV139">
        <f t="shared" si="89"/>
        <v>462.89</v>
      </c>
      <c r="AX139" t="str">
        <f t="shared" si="90"/>
        <v>pl 16451.5825704943,279 16451.5825704943,400 </v>
      </c>
      <c r="AY139" t="str">
        <f t="shared" si="91"/>
        <v>16451.5825704943,458.29</v>
      </c>
      <c r="AZ139" t="str">
        <f t="shared" si="92"/>
        <v>16451.5825704943,462.173</v>
      </c>
      <c r="BA139" t="str">
        <f t="shared" si="93"/>
        <v>16451.5825704943,462.89</v>
      </c>
      <c r="BB139" t="str">
        <f t="shared" si="94"/>
        <v>-text 16450.5825704943,337 3.5 90 458.290 </v>
      </c>
      <c r="BC139" t="str">
        <f t="shared" si="95"/>
        <v>-text 16450.5825704943,320 3.5 90 462.890 </v>
      </c>
      <c r="BD139" t="str">
        <f t="shared" si="96"/>
        <v>-text 16450.5825704943,306 3.5 90 462.173 </v>
      </c>
      <c r="BE139" t="str">
        <f t="shared" si="97"/>
        <v>-text 16450.5825704943,352 3.5 90 ZG32+903.165 </v>
      </c>
      <c r="BF139" t="str">
        <f t="shared" si="98"/>
        <v>-text 16450.5825704943,280 3.5 90 IP76 </v>
      </c>
      <c r="BG139" t="str">
        <f t="shared" si="99"/>
        <v>-TEXT 16452.5825704943,300 3.5 0 R=80</v>
      </c>
      <c r="BH139" t="str">
        <f t="shared" si="100"/>
        <v>-TEXT 16452.5825704943,295 3.5 0 α=24.63° </v>
      </c>
      <c r="BI139" t="str">
        <f t="shared" si="101"/>
        <v>-TEXT 16452.5825704943,290 3.5 0 T=17.46 </v>
      </c>
      <c r="BJ139" t="str">
        <f t="shared" si="102"/>
        <v>-TEXT 16452.5825704943,285 3.5 0 S=34.38 </v>
      </c>
    </row>
    <row r="140" spans="1:62">
      <c r="A140">
        <v>2</v>
      </c>
      <c r="B140">
        <v>139</v>
      </c>
      <c r="C140" t="str">
        <f>Sheet1!C128</f>
        <v>宽沟渡槽出</v>
      </c>
      <c r="D140">
        <v>464200.3203</v>
      </c>
      <c r="E140">
        <v>3385786.1242</v>
      </c>
      <c r="G140">
        <f t="shared" si="103"/>
        <v>0</v>
      </c>
      <c r="H140">
        <f t="shared" si="104"/>
        <v>0</v>
      </c>
      <c r="I140">
        <f t="shared" si="105"/>
        <v>0</v>
      </c>
      <c r="J140">
        <f t="shared" si="106"/>
        <v>37.6632502997085</v>
      </c>
      <c r="K140" s="40">
        <f t="shared" si="107"/>
        <v>32940.5587464451</v>
      </c>
      <c r="L140" s="40">
        <f t="shared" si="108"/>
        <v>32940.5587464451</v>
      </c>
      <c r="M140" s="40">
        <f t="shared" si="109"/>
        <v>32940.5587464451</v>
      </c>
      <c r="N140">
        <v>462.155</v>
      </c>
      <c r="O140">
        <v>458.272</v>
      </c>
      <c r="P140">
        <v>0</v>
      </c>
      <c r="Q140" s="39">
        <f t="shared" si="86"/>
        <v>464200.3203</v>
      </c>
      <c r="R140" s="39">
        <f t="shared" si="87"/>
        <v>3385786.1242</v>
      </c>
      <c r="S140" s="39" t="str">
        <f t="shared" si="110"/>
        <v> </v>
      </c>
      <c r="T140" s="39" t="str">
        <f t="shared" si="111"/>
        <v> </v>
      </c>
      <c r="U140" s="39" t="str">
        <f t="shared" si="112"/>
        <v> </v>
      </c>
      <c r="V140" s="39" t="str">
        <f t="shared" si="113"/>
        <v> </v>
      </c>
      <c r="AI140" t="str">
        <f t="array" ref="AI140">IFERROR(INDEX($L$2:$L$805,SMALL(IF(ISNUMBER(FIND($AH$2,$C$2:$C$805)),ROW($2:$805)-1,4^8),ROW(A139)))&amp;"","")</f>
        <v>101717.891686495</v>
      </c>
      <c r="AJ140" t="str">
        <f t="array" ref="AJ140">IFERROR(INDEX($C$2:$C$805,SMALL(IF(ISNUMBER(FIND($AH$2,$C$2:$C$805)),ROW($2:$805)-1,4^8),ROW(B139)))&amp;"","")</f>
        <v>四方坡隧出</v>
      </c>
      <c r="AT140" t="str">
        <f t="shared" si="88"/>
        <v>464200.3203,3385786.1242</v>
      </c>
      <c r="AV140">
        <f t="shared" si="89"/>
        <v>462.872</v>
      </c>
      <c r="AX140" t="str">
        <f t="shared" si="90"/>
        <v>pl 16470.2793732225,279 16470.2793732225,400 </v>
      </c>
      <c r="AY140" t="str">
        <f t="shared" si="91"/>
        <v>16470.2793732225,458.272</v>
      </c>
      <c r="AZ140" t="str">
        <f t="shared" si="92"/>
        <v>16470.2793732225,462.155</v>
      </c>
      <c r="BA140" t="str">
        <f t="shared" si="93"/>
        <v>16470.2793732225,462.872</v>
      </c>
      <c r="BB140" t="str">
        <f t="shared" si="94"/>
        <v>-text 16469.2793732225,337 3.5 90 458.272 </v>
      </c>
      <c r="BC140" t="str">
        <f t="shared" si="95"/>
        <v>-text 16469.2793732225,320 3.5 90 462.872 </v>
      </c>
      <c r="BD140" t="str">
        <f t="shared" si="96"/>
        <v>-text 16469.2793732225,306 3.5 90 462.155 </v>
      </c>
      <c r="BE140" t="str">
        <f t="shared" si="97"/>
        <v>-text 16469.2793732225,352 3.5 90 ZG32+940.559 </v>
      </c>
      <c r="BF140" t="str">
        <f t="shared" si="98"/>
        <v>-text 16469.2793732225,280 3.5 90 宽沟渡槽出 </v>
      </c>
      <c r="BG140" t="str">
        <f t="shared" si="99"/>
        <v/>
      </c>
      <c r="BH140" t="str">
        <f t="shared" si="100"/>
        <v> </v>
      </c>
      <c r="BI140" t="str">
        <f t="shared" si="101"/>
        <v> </v>
      </c>
      <c r="BJ140" t="str">
        <f t="shared" si="102"/>
        <v> </v>
      </c>
    </row>
    <row r="141" spans="1:62">
      <c r="A141">
        <v>2</v>
      </c>
      <c r="B141">
        <v>140</v>
      </c>
      <c r="C141" t="str">
        <f>Sheet1!C129</f>
        <v>三湾堰渡槽进</v>
      </c>
      <c r="D141">
        <v>464240.2664</v>
      </c>
      <c r="E141">
        <v>3385795.4623</v>
      </c>
      <c r="G141">
        <f t="shared" si="103"/>
        <v>0</v>
      </c>
      <c r="H141">
        <f t="shared" si="104"/>
        <v>0</v>
      </c>
      <c r="I141">
        <f t="shared" si="105"/>
        <v>0</v>
      </c>
      <c r="J141">
        <f t="shared" si="106"/>
        <v>41.0230546987508</v>
      </c>
      <c r="K141" s="40">
        <f t="shared" si="107"/>
        <v>32981.5818011438</v>
      </c>
      <c r="L141" s="40">
        <f t="shared" si="108"/>
        <v>32981.5818011438</v>
      </c>
      <c r="M141" s="40">
        <f t="shared" si="109"/>
        <v>32981.5818011438</v>
      </c>
      <c r="N141">
        <v>462.091</v>
      </c>
      <c r="O141">
        <v>458.208</v>
      </c>
      <c r="P141">
        <v>0</v>
      </c>
      <c r="Q141" s="39">
        <f t="shared" si="86"/>
        <v>464240.2664</v>
      </c>
      <c r="R141" s="39">
        <f t="shared" si="87"/>
        <v>3385795.4623</v>
      </c>
      <c r="S141" s="39" t="str">
        <f t="shared" si="110"/>
        <v> </v>
      </c>
      <c r="T141" s="39" t="str">
        <f t="shared" si="111"/>
        <v> </v>
      </c>
      <c r="U141" s="39" t="str">
        <f t="shared" si="112"/>
        <v> </v>
      </c>
      <c r="V141" s="39" t="str">
        <f t="shared" si="113"/>
        <v> </v>
      </c>
      <c r="AI141" t="str">
        <f t="array" ref="AI141">IFERROR(INDEX($L$2:$L$805,SMALL(IF(ISNUMBER(FIND($AH$2,$C$2:$C$805)),ROW($2:$805)-1,4^8),ROW(A140)))&amp;"","")</f>
        <v>101890.349295115</v>
      </c>
      <c r="AJ141" t="str">
        <f t="array" ref="AJ141">IFERROR(INDEX($C$2:$C$805,SMALL(IF(ISNUMBER(FIND($AH$2,$C$2:$C$805)),ROW($2:$805)-1,4^8),ROW(B140)))&amp;"","")</f>
        <v>丹山水库分水闸出</v>
      </c>
      <c r="AT141" t="str">
        <f t="shared" si="88"/>
        <v>464240.2664,3385795.4623</v>
      </c>
      <c r="AV141">
        <f t="shared" si="89"/>
        <v>462.808</v>
      </c>
      <c r="AX141" t="str">
        <f t="shared" si="90"/>
        <v>pl 16490.7909005719,279 16490.7909005719,400 </v>
      </c>
      <c r="AY141" t="str">
        <f t="shared" si="91"/>
        <v>16490.7909005719,458.208</v>
      </c>
      <c r="AZ141" t="str">
        <f t="shared" si="92"/>
        <v>16490.7909005719,462.091</v>
      </c>
      <c r="BA141" t="str">
        <f t="shared" si="93"/>
        <v>16490.7909005719,462.808</v>
      </c>
      <c r="BB141" t="str">
        <f t="shared" si="94"/>
        <v>-text 16489.7909005719,337 3.5 90 458.208 </v>
      </c>
      <c r="BC141" t="str">
        <f t="shared" si="95"/>
        <v>-text 16489.7909005719,320 3.5 90 462.808 </v>
      </c>
      <c r="BD141" t="str">
        <f t="shared" si="96"/>
        <v>-text 16489.7909005719,306 3.5 90 462.091 </v>
      </c>
      <c r="BE141" t="str">
        <f t="shared" si="97"/>
        <v>-text 16489.7909005719,352 3.5 90 ZG32+981.582 </v>
      </c>
      <c r="BF141" t="str">
        <f t="shared" si="98"/>
        <v>-text 16489.7909005719,280 3.5 90 三湾堰渡槽进 </v>
      </c>
      <c r="BG141" t="str">
        <f t="shared" si="99"/>
        <v/>
      </c>
      <c r="BH141" t="str">
        <f t="shared" si="100"/>
        <v> </v>
      </c>
      <c r="BI141" t="str">
        <f t="shared" si="101"/>
        <v> </v>
      </c>
      <c r="BJ141" t="str">
        <f t="shared" si="102"/>
        <v> </v>
      </c>
    </row>
    <row r="142" spans="1:62">
      <c r="A142">
        <v>2</v>
      </c>
      <c r="B142">
        <v>141</v>
      </c>
      <c r="C142" t="str">
        <f>Sheet1!C130</f>
        <v>三湾堰渡槽出</v>
      </c>
      <c r="D142">
        <v>464394.7221</v>
      </c>
      <c r="E142">
        <v>3385831.5691</v>
      </c>
      <c r="G142">
        <f t="shared" si="103"/>
        <v>0</v>
      </c>
      <c r="H142">
        <f t="shared" si="104"/>
        <v>0</v>
      </c>
      <c r="I142">
        <f t="shared" si="105"/>
        <v>0</v>
      </c>
      <c r="J142">
        <f t="shared" si="106"/>
        <v>158.61987349869</v>
      </c>
      <c r="K142" s="40">
        <f t="shared" si="107"/>
        <v>33140.2016746425</v>
      </c>
      <c r="L142" s="40">
        <f t="shared" si="108"/>
        <v>33140.2016746425</v>
      </c>
      <c r="M142" s="40">
        <f t="shared" si="109"/>
        <v>33140.2016746425</v>
      </c>
      <c r="N142">
        <v>462.019</v>
      </c>
      <c r="O142">
        <v>458.136</v>
      </c>
      <c r="P142">
        <v>0</v>
      </c>
      <c r="Q142" s="39">
        <f t="shared" si="86"/>
        <v>464394.7221</v>
      </c>
      <c r="R142" s="39">
        <f t="shared" si="87"/>
        <v>3385831.5691</v>
      </c>
      <c r="S142" s="39" t="str">
        <f t="shared" si="110"/>
        <v> </v>
      </c>
      <c r="T142" s="39" t="str">
        <f t="shared" si="111"/>
        <v> </v>
      </c>
      <c r="U142" s="39" t="str">
        <f t="shared" si="112"/>
        <v> </v>
      </c>
      <c r="V142" s="39" t="str">
        <f t="shared" si="113"/>
        <v> </v>
      </c>
      <c r="AI142" t="str">
        <f t="array" ref="AI142">IFERROR(INDEX($L$2:$L$805,SMALL(IF(ISNUMBER(FIND($AH$2,$C$2:$C$805)),ROW($2:$805)-1,4^8),ROW(A141)))&amp;"","")</f>
        <v>102030.628049468</v>
      </c>
      <c r="AJ142" t="str">
        <f t="array" ref="AJ142">IFERROR(INDEX($C$2:$C$805,SMALL(IF(ISNUMBER(FIND($AH$2,$C$2:$C$805)),ROW($2:$805)-1,4^8),ROW(B141)))&amp;"","")</f>
        <v>菩萨湾渡槽出</v>
      </c>
      <c r="AT142" t="str">
        <f t="shared" si="88"/>
        <v>464394.7221,3385831.5691</v>
      </c>
      <c r="AV142">
        <f t="shared" si="89"/>
        <v>462.736</v>
      </c>
      <c r="AX142" t="str">
        <f t="shared" si="90"/>
        <v>pl 16570.1008373213,279 16570.1008373213,400 </v>
      </c>
      <c r="AY142" t="str">
        <f t="shared" si="91"/>
        <v>16570.1008373213,458.136</v>
      </c>
      <c r="AZ142" t="str">
        <f t="shared" si="92"/>
        <v>16570.1008373213,462.019</v>
      </c>
      <c r="BA142" t="str">
        <f t="shared" si="93"/>
        <v>16570.1008373213,462.736</v>
      </c>
      <c r="BB142" t="str">
        <f t="shared" si="94"/>
        <v>-text 16569.1008373213,337 3.5 90 458.136 </v>
      </c>
      <c r="BC142" t="str">
        <f t="shared" si="95"/>
        <v>-text 16569.1008373213,320 3.5 90 462.736 </v>
      </c>
      <c r="BD142" t="str">
        <f t="shared" si="96"/>
        <v>-text 16569.1008373213,306 3.5 90 462.019 </v>
      </c>
      <c r="BE142" t="str">
        <f t="shared" si="97"/>
        <v>-text 16569.1008373213,352 3.5 90 ZG33+140.202 </v>
      </c>
      <c r="BF142" t="str">
        <f t="shared" si="98"/>
        <v>-text 16569.1008373213,280 3.5 90 三湾堰渡槽出 </v>
      </c>
      <c r="BG142" t="str">
        <f t="shared" si="99"/>
        <v/>
      </c>
      <c r="BH142" t="str">
        <f t="shared" si="100"/>
        <v> </v>
      </c>
      <c r="BI142" t="str">
        <f t="shared" si="101"/>
        <v> </v>
      </c>
      <c r="BJ142" t="str">
        <f t="shared" si="102"/>
        <v> </v>
      </c>
    </row>
    <row r="143" spans="1:62">
      <c r="A143">
        <v>0</v>
      </c>
      <c r="B143">
        <v>142</v>
      </c>
      <c r="C143" t="s">
        <v>151</v>
      </c>
      <c r="D143">
        <v>464405.8412</v>
      </c>
      <c r="E143">
        <v>3385834.1683</v>
      </c>
      <c r="F143">
        <v>40</v>
      </c>
      <c r="G143">
        <f t="shared" si="103"/>
        <v>17.978</v>
      </c>
      <c r="H143">
        <f t="shared" si="104"/>
        <v>6.32750575972425</v>
      </c>
      <c r="I143">
        <f t="shared" si="105"/>
        <v>12.5510117169416</v>
      </c>
      <c r="J143">
        <f t="shared" si="106"/>
        <v>11.4188539464574</v>
      </c>
      <c r="K143" s="40">
        <f t="shared" si="107"/>
        <v>33145.2930228292</v>
      </c>
      <c r="L143" s="40">
        <f t="shared" si="108"/>
        <v>33151.5685286877</v>
      </c>
      <c r="M143" s="40">
        <f t="shared" si="109"/>
        <v>33157.8440345462</v>
      </c>
      <c r="N143">
        <v>462.081</v>
      </c>
      <c r="O143">
        <v>458.112</v>
      </c>
      <c r="P143">
        <v>0.001</v>
      </c>
      <c r="Q143" s="39">
        <f t="shared" si="86"/>
        <v>464399.67979627</v>
      </c>
      <c r="R143" s="39">
        <f t="shared" si="87"/>
        <v>3385832.72801072</v>
      </c>
      <c r="S143" s="39">
        <f t="shared" si="110"/>
        <v>464405.877351594</v>
      </c>
      <c r="T143" s="39">
        <f t="shared" si="111"/>
        <v>3385833.67224249</v>
      </c>
      <c r="U143" s="39">
        <f t="shared" si="112"/>
        <v>464412.146322104</v>
      </c>
      <c r="V143" s="39">
        <f t="shared" si="113"/>
        <v>3385833.63654405</v>
      </c>
      <c r="AI143" t="str">
        <f t="array" ref="AI143">IFERROR(INDEX($L$2:$L$805,SMALL(IF(ISNUMBER(FIND($AH$2,$C$2:$C$805)),ROW($2:$805)-1,4^8),ROW(A142)))&amp;"","")</f>
        <v>102068.782667076</v>
      </c>
      <c r="AJ143" t="str">
        <f t="array" ref="AJ143">IFERROR(INDEX($C$2:$C$805,SMALL(IF(ISNUMBER(FIND($AH$2,$C$2:$C$805)),ROW($2:$805)-1,4^8),ROW(B142)))&amp;"","")</f>
        <v>菩萨湾暗渠出</v>
      </c>
      <c r="AS143" t="str">
        <f>"-text"&amp;" "&amp;D143&amp;","&amp;E143&amp;" "&amp;"10"&amp;" "&amp;"0"&amp;" "&amp;C143</f>
        <v>-text 464405.8412,3385834.1683 10 0 IP77</v>
      </c>
      <c r="AT143" t="str">
        <f t="shared" si="88"/>
        <v>464405.8412,3385834.1683</v>
      </c>
      <c r="AV143">
        <f t="shared" si="89"/>
        <v>463.612</v>
      </c>
      <c r="AX143" t="str">
        <f t="shared" si="90"/>
        <v>pl 16575.7842643439,279 16575.7842643439,400 </v>
      </c>
      <c r="AY143" t="str">
        <f t="shared" si="91"/>
        <v>16575.7842643439,458.112</v>
      </c>
      <c r="AZ143" t="str">
        <f t="shared" si="92"/>
        <v>16575.7842643439,462.081</v>
      </c>
      <c r="BA143" t="str">
        <f t="shared" si="93"/>
        <v>16575.7842643439,463.612</v>
      </c>
      <c r="BB143" t="str">
        <f t="shared" si="94"/>
        <v>-text 16574.7842643439,337 3.5 90 458.112 </v>
      </c>
      <c r="BC143" t="str">
        <f t="shared" si="95"/>
        <v>-text 16574.7842643439,320 3.5 90 463.612 </v>
      </c>
      <c r="BD143" t="str">
        <f t="shared" si="96"/>
        <v>-text 16574.7842643439,306 3.5 90 462.081 </v>
      </c>
      <c r="BE143" t="str">
        <f t="shared" si="97"/>
        <v>-text 16574.7842643439,352 3.5 90 ZG33+151.569 </v>
      </c>
      <c r="BF143" t="str">
        <f t="shared" si="98"/>
        <v>-text 16574.7842643439,280 3.5 90 IP77 </v>
      </c>
      <c r="BG143" t="str">
        <f t="shared" si="99"/>
        <v>-TEXT 16576.7842643439,300 3.5 0 R=40</v>
      </c>
      <c r="BH143" t="str">
        <f t="shared" si="100"/>
        <v>-TEXT 16576.7842643439,295 3.5 0 α=17.98° </v>
      </c>
      <c r="BI143" t="str">
        <f t="shared" si="101"/>
        <v>-TEXT 16576.7842643439,290 3.5 0 T=6.33 </v>
      </c>
      <c r="BJ143" t="str">
        <f t="shared" si="102"/>
        <v>-TEXT 16576.7842643439,285 3.5 0 S=12.55 </v>
      </c>
    </row>
    <row r="144" spans="1:62">
      <c r="A144">
        <v>2</v>
      </c>
      <c r="B144">
        <v>143</v>
      </c>
      <c r="C144" t="str">
        <f>Sheet1!C132</f>
        <v>大堰塘湾1#渡槽进</v>
      </c>
      <c r="D144">
        <v>464445.6896</v>
      </c>
      <c r="E144">
        <v>3385830.8076</v>
      </c>
      <c r="G144">
        <f t="shared" si="103"/>
        <v>0</v>
      </c>
      <c r="H144">
        <f t="shared" si="104"/>
        <v>0</v>
      </c>
      <c r="I144">
        <f t="shared" si="105"/>
        <v>0</v>
      </c>
      <c r="J144">
        <f t="shared" si="106"/>
        <v>39.9898648040631</v>
      </c>
      <c r="K144" s="40">
        <f t="shared" si="107"/>
        <v>33191.5063935905</v>
      </c>
      <c r="L144" s="40">
        <f t="shared" si="108"/>
        <v>33191.5063935905</v>
      </c>
      <c r="M144" s="40">
        <f t="shared" si="109"/>
        <v>33191.5063935905</v>
      </c>
      <c r="N144">
        <v>461.953</v>
      </c>
      <c r="O144">
        <v>458.07</v>
      </c>
      <c r="P144">
        <v>0</v>
      </c>
      <c r="Q144" s="39">
        <f t="shared" si="86"/>
        <v>464445.6896</v>
      </c>
      <c r="R144" s="39">
        <f t="shared" si="87"/>
        <v>3385830.8076</v>
      </c>
      <c r="S144" s="39" t="str">
        <f t="shared" si="110"/>
        <v> </v>
      </c>
      <c r="T144" s="39" t="str">
        <f t="shared" si="111"/>
        <v> </v>
      </c>
      <c r="U144" s="39" t="str">
        <f t="shared" si="112"/>
        <v> </v>
      </c>
      <c r="V144" s="39" t="str">
        <f t="shared" si="113"/>
        <v> </v>
      </c>
      <c r="AI144" t="str">
        <f t="array" ref="AI144">IFERROR(INDEX($L$2:$L$805,SMALL(IF(ISNUMBER(FIND($AH$2,$C$2:$C$805)),ROW($2:$805)-1,4^8),ROW(A143)))&amp;"","")</f>
        <v>104871.284515773</v>
      </c>
      <c r="AJ144" t="str">
        <f t="array" ref="AJ144">IFERROR(INDEX($C$2:$C$805,SMALL(IF(ISNUMBER(FIND($AH$2,$C$2:$C$805)),ROW($2:$805)-1,4^8),ROW(B143)))&amp;"","")</f>
        <v>高坡隧出</v>
      </c>
      <c r="AT144" t="str">
        <f t="shared" si="88"/>
        <v>464445.6896,3385830.8076</v>
      </c>
      <c r="AV144">
        <f t="shared" si="89"/>
        <v>462.67</v>
      </c>
      <c r="AX144" t="str">
        <f t="shared" si="90"/>
        <v>pl 16595.7531967953,279 16595.7531967953,400 </v>
      </c>
      <c r="AY144" t="str">
        <f t="shared" si="91"/>
        <v>16595.7531967953,458.07</v>
      </c>
      <c r="AZ144" t="str">
        <f t="shared" si="92"/>
        <v>16595.7531967953,461.953</v>
      </c>
      <c r="BA144" t="str">
        <f t="shared" si="93"/>
        <v>16595.7531967953,462.67</v>
      </c>
      <c r="BB144" t="str">
        <f t="shared" si="94"/>
        <v>-text 16594.7531967953,337 3.5 90 458.070 </v>
      </c>
      <c r="BC144" t="str">
        <f t="shared" si="95"/>
        <v>-text 16594.7531967953,320 3.5 90 462.670 </v>
      </c>
      <c r="BD144" t="str">
        <f t="shared" si="96"/>
        <v>-text 16594.7531967953,306 3.5 90 461.953 </v>
      </c>
      <c r="BE144" t="str">
        <f t="shared" si="97"/>
        <v>-text 16594.7531967953,352 3.5 90 ZG33+191.506 </v>
      </c>
      <c r="BF144" t="str">
        <f t="shared" si="98"/>
        <v>-text 16594.7531967953,280 3.5 90 大堰塘湾1#渡槽进 </v>
      </c>
      <c r="BG144" t="str">
        <f t="shared" si="99"/>
        <v/>
      </c>
      <c r="BH144" t="str">
        <f t="shared" si="100"/>
        <v> </v>
      </c>
      <c r="BI144" t="str">
        <f t="shared" si="101"/>
        <v> </v>
      </c>
      <c r="BJ144" t="str">
        <f t="shared" si="102"/>
        <v> </v>
      </c>
    </row>
    <row r="145" spans="1:62">
      <c r="A145">
        <v>2</v>
      </c>
      <c r="B145">
        <v>144</v>
      </c>
      <c r="C145" t="str">
        <f>Sheet1!C133</f>
        <v>大堰塘湾1#渡槽出</v>
      </c>
      <c r="D145">
        <v>464621.6508</v>
      </c>
      <c r="E145">
        <v>3385815.9674</v>
      </c>
      <c r="G145">
        <f t="shared" si="103"/>
        <v>0</v>
      </c>
      <c r="H145">
        <f t="shared" si="104"/>
        <v>0</v>
      </c>
      <c r="I145">
        <f t="shared" si="105"/>
        <v>0</v>
      </c>
      <c r="J145">
        <f t="shared" si="106"/>
        <v>176.585886869496</v>
      </c>
      <c r="K145" s="40">
        <f t="shared" si="107"/>
        <v>33368.09228046</v>
      </c>
      <c r="L145" s="40">
        <f t="shared" si="108"/>
        <v>33368.09228046</v>
      </c>
      <c r="M145" s="40">
        <f t="shared" si="109"/>
        <v>33368.09228046</v>
      </c>
      <c r="N145">
        <v>461.873</v>
      </c>
      <c r="O145">
        <v>457.99</v>
      </c>
      <c r="P145">
        <v>0</v>
      </c>
      <c r="Q145" s="39">
        <f t="shared" si="86"/>
        <v>464621.6508</v>
      </c>
      <c r="R145" s="39">
        <f t="shared" si="87"/>
        <v>3385815.9674</v>
      </c>
      <c r="S145" s="39" t="str">
        <f t="shared" si="110"/>
        <v> </v>
      </c>
      <c r="T145" s="39" t="str">
        <f t="shared" si="111"/>
        <v> </v>
      </c>
      <c r="U145" s="39" t="str">
        <f t="shared" si="112"/>
        <v> </v>
      </c>
      <c r="V145" s="39" t="str">
        <f t="shared" si="113"/>
        <v> </v>
      </c>
      <c r="AI145" t="str">
        <f t="array" ref="AI145">IFERROR(INDEX($L$2:$L$805,SMALL(IF(ISNUMBER(FIND($AH$2,$C$2:$C$805)),ROW($2:$805)-1,4^8),ROW(A144)))&amp;"","")</f>
        <v>104917.985014782</v>
      </c>
      <c r="AJ145" t="str">
        <f t="array" ref="AJ145">IFERROR(INDEX($C$2:$C$805,SMALL(IF(ISNUMBER(FIND($AH$2,$C$2:$C$805)),ROW($2:$805)-1,4^8),ROW(B144)))&amp;"","")</f>
        <v>谢家坝暗渠出</v>
      </c>
      <c r="AT145" t="str">
        <f t="shared" si="88"/>
        <v>464621.6508,3385815.9674</v>
      </c>
      <c r="AV145">
        <f t="shared" si="89"/>
        <v>462.59</v>
      </c>
      <c r="AX145" t="str">
        <f t="shared" si="90"/>
        <v>pl 16684.04614023,279 16684.04614023,400 </v>
      </c>
      <c r="AY145" t="str">
        <f t="shared" si="91"/>
        <v>16684.04614023,457.99</v>
      </c>
      <c r="AZ145" t="str">
        <f t="shared" si="92"/>
        <v>16684.04614023,461.873</v>
      </c>
      <c r="BA145" t="str">
        <f t="shared" si="93"/>
        <v>16684.04614023,462.59</v>
      </c>
      <c r="BB145" t="str">
        <f t="shared" si="94"/>
        <v>-text 16683.04614023,337 3.5 90 457.990 </v>
      </c>
      <c r="BC145" t="str">
        <f t="shared" si="95"/>
        <v>-text 16683.04614023,320 3.5 90 462.590 </v>
      </c>
      <c r="BD145" t="str">
        <f t="shared" si="96"/>
        <v>-text 16683.04614023,306 3.5 90 461.873 </v>
      </c>
      <c r="BE145" t="str">
        <f t="shared" si="97"/>
        <v>-text 16683.04614023,352 3.5 90 ZG33+368.092 </v>
      </c>
      <c r="BF145" t="str">
        <f t="shared" si="98"/>
        <v>-text 16683.04614023,280 3.5 90 大堰塘湾1#渡槽出 </v>
      </c>
      <c r="BG145" t="str">
        <f t="shared" si="99"/>
        <v/>
      </c>
      <c r="BH145" t="str">
        <f t="shared" si="100"/>
        <v> </v>
      </c>
      <c r="BI145" t="str">
        <f t="shared" si="101"/>
        <v> </v>
      </c>
      <c r="BJ145" t="str">
        <f t="shared" si="102"/>
        <v> </v>
      </c>
    </row>
    <row r="146" spans="1:62">
      <c r="A146">
        <v>0</v>
      </c>
      <c r="B146">
        <v>145</v>
      </c>
      <c r="C146" t="s">
        <v>154</v>
      </c>
      <c r="D146">
        <v>464789.2071</v>
      </c>
      <c r="E146">
        <v>3385801.8361</v>
      </c>
      <c r="F146">
        <v>80</v>
      </c>
      <c r="G146">
        <f t="shared" si="103"/>
        <v>54.789</v>
      </c>
      <c r="H146">
        <f t="shared" si="104"/>
        <v>41.4583189288653</v>
      </c>
      <c r="I146">
        <f t="shared" si="105"/>
        <v>76.4998755100139</v>
      </c>
      <c r="J146">
        <f t="shared" si="106"/>
        <v>168.151144240469</v>
      </c>
      <c r="K146" s="40">
        <f t="shared" si="107"/>
        <v>33494.7851057716</v>
      </c>
      <c r="L146" s="40">
        <f t="shared" si="108"/>
        <v>33533.0350435266</v>
      </c>
      <c r="M146" s="40">
        <f t="shared" si="109"/>
        <v>33571.2849812816</v>
      </c>
      <c r="N146">
        <v>461.904</v>
      </c>
      <c r="O146">
        <v>457.935</v>
      </c>
      <c r="P146">
        <v>0.003</v>
      </c>
      <c r="Q146" s="39">
        <f t="shared" si="86"/>
        <v>464747.895442233</v>
      </c>
      <c r="R146" s="39">
        <f t="shared" si="87"/>
        <v>3385805.320227</v>
      </c>
      <c r="S146" s="39">
        <f t="shared" si="110"/>
        <v>464783.820459404</v>
      </c>
      <c r="T146" s="39">
        <f t="shared" si="111"/>
        <v>3385793.28731419</v>
      </c>
      <c r="U146" s="39">
        <f t="shared" si="112"/>
        <v>464810.180315906</v>
      </c>
      <c r="V146" s="39">
        <f t="shared" si="113"/>
        <v>3385766.07415902</v>
      </c>
      <c r="AI146" t="str">
        <f t="array" ref="AI146">IFERROR(INDEX($L$2:$L$805,SMALL(IF(ISNUMBER(FIND($AH$2,$C$2:$C$805)),ROW($2:$805)-1,4^8),ROW(A145)))&amp;"","")</f>
        <v>105558.400642124</v>
      </c>
      <c r="AJ146" t="str">
        <f t="array" ref="AJ146">IFERROR(INDEX($C$2:$C$805,SMALL(IF(ISNUMBER(FIND($AH$2,$C$2:$C$805)),ROW($2:$805)-1,4^8),ROW(B145)))&amp;"","")</f>
        <v>谢家坝隧出</v>
      </c>
      <c r="AS146" t="str">
        <f>"-text"&amp;" "&amp;D146&amp;","&amp;E146&amp;" "&amp;"10"&amp;" "&amp;"0"&amp;" "&amp;C146</f>
        <v>-text 464789.2071,3385801.8361 10 0 IP78</v>
      </c>
      <c r="AT146" t="str">
        <f t="shared" si="88"/>
        <v>464789.2071,3385801.8361</v>
      </c>
      <c r="AV146">
        <f t="shared" si="89"/>
        <v>463.435</v>
      </c>
      <c r="AX146" t="str">
        <f t="shared" si="90"/>
        <v>pl 16766.5175217633,279 16766.5175217633,400 </v>
      </c>
      <c r="AY146" t="str">
        <f t="shared" si="91"/>
        <v>16766.5175217633,457.935</v>
      </c>
      <c r="AZ146" t="str">
        <f t="shared" si="92"/>
        <v>16766.5175217633,461.904</v>
      </c>
      <c r="BA146" t="str">
        <f t="shared" si="93"/>
        <v>16766.5175217633,463.435</v>
      </c>
      <c r="BB146" t="str">
        <f t="shared" si="94"/>
        <v>-text 16765.5175217633,337 3.5 90 457.935 </v>
      </c>
      <c r="BC146" t="str">
        <f t="shared" si="95"/>
        <v>-text 16765.5175217633,320 3.5 90 463.435 </v>
      </c>
      <c r="BD146" t="str">
        <f t="shared" si="96"/>
        <v>-text 16765.5175217633,306 3.5 90 461.904 </v>
      </c>
      <c r="BE146" t="str">
        <f t="shared" si="97"/>
        <v>-text 16765.5175217633,352 3.5 90 ZG33+533.035 </v>
      </c>
      <c r="BF146" t="str">
        <f t="shared" si="98"/>
        <v>-text 16765.5175217633,280 3.5 90 IP78 </v>
      </c>
      <c r="BG146" t="str">
        <f t="shared" si="99"/>
        <v>-TEXT 16767.5175217633,300 3.5 0 R=80</v>
      </c>
      <c r="BH146" t="str">
        <f t="shared" si="100"/>
        <v>-TEXT 16767.5175217633,295 3.5 0 α=54.79° </v>
      </c>
      <c r="BI146" t="str">
        <f t="shared" si="101"/>
        <v>-TEXT 16767.5175217633,290 3.5 0 T=41.46 </v>
      </c>
      <c r="BJ146" t="str">
        <f t="shared" si="102"/>
        <v>-TEXT 16767.5175217633,285 3.5 0 S=76.50 </v>
      </c>
    </row>
    <row r="147" spans="1:62">
      <c r="A147">
        <v>2</v>
      </c>
      <c r="B147">
        <v>146</v>
      </c>
      <c r="C147" t="str">
        <f>Sheet1!C135</f>
        <v>大堰塘湾2#渡槽进</v>
      </c>
      <c r="D147">
        <v>464830.0338</v>
      </c>
      <c r="E147">
        <v>3385732.2215</v>
      </c>
      <c r="G147">
        <f t="shared" si="103"/>
        <v>0</v>
      </c>
      <c r="H147">
        <f t="shared" si="104"/>
        <v>0</v>
      </c>
      <c r="I147">
        <f t="shared" si="105"/>
        <v>0</v>
      </c>
      <c r="J147">
        <f t="shared" si="106"/>
        <v>80.7032339255627</v>
      </c>
      <c r="K147" s="40">
        <f t="shared" si="107"/>
        <v>33610.5298962783</v>
      </c>
      <c r="L147" s="40">
        <f t="shared" si="108"/>
        <v>33610.5298962783</v>
      </c>
      <c r="M147" s="40">
        <f t="shared" si="109"/>
        <v>33610.5298962783</v>
      </c>
      <c r="N147">
        <v>461.768</v>
      </c>
      <c r="O147">
        <v>457.885</v>
      </c>
      <c r="P147">
        <v>0</v>
      </c>
      <c r="Q147" s="39">
        <f t="shared" si="86"/>
        <v>464830.0338</v>
      </c>
      <c r="R147" s="39">
        <f t="shared" si="87"/>
        <v>3385732.2215</v>
      </c>
      <c r="S147" s="39" t="str">
        <f t="shared" si="110"/>
        <v> </v>
      </c>
      <c r="T147" s="39" t="str">
        <f t="shared" si="111"/>
        <v> </v>
      </c>
      <c r="U147" s="39" t="str">
        <f t="shared" si="112"/>
        <v> </v>
      </c>
      <c r="V147" s="39" t="str">
        <f t="shared" si="113"/>
        <v> </v>
      </c>
      <c r="AI147" t="str">
        <f t="array" ref="AI147">IFERROR(INDEX($L$2:$L$805,SMALL(IF(ISNUMBER(FIND($AH$2,$C$2:$C$805)),ROW($2:$805)-1,4^8),ROW(A146)))&amp;"","")</f>
        <v>105674.453629774</v>
      </c>
      <c r="AJ147" t="str">
        <f t="array" ref="AJ147">IFERROR(INDEX($C$2:$C$805,SMALL(IF(ISNUMBER(FIND($AH$2,$C$2:$C$805)),ROW($2:$805)-1,4^8),ROW(B146)))&amp;"","")</f>
        <v>罗家沟渡槽出</v>
      </c>
      <c r="AT147" t="str">
        <f t="shared" si="88"/>
        <v>464830.0338,3385732.2215</v>
      </c>
      <c r="AV147">
        <f t="shared" si="89"/>
        <v>462.485</v>
      </c>
      <c r="AX147" t="str">
        <f t="shared" si="90"/>
        <v>pl 16805.2649481392,279 16805.2649481392,400 </v>
      </c>
      <c r="AY147" t="str">
        <f t="shared" si="91"/>
        <v>16805.2649481392,457.885</v>
      </c>
      <c r="AZ147" t="str">
        <f t="shared" si="92"/>
        <v>16805.2649481392,461.768</v>
      </c>
      <c r="BA147" t="str">
        <f t="shared" si="93"/>
        <v>16805.2649481392,462.485</v>
      </c>
      <c r="BB147" t="str">
        <f t="shared" si="94"/>
        <v>-text 16804.2649481392,337 3.5 90 457.885 </v>
      </c>
      <c r="BC147" t="str">
        <f t="shared" si="95"/>
        <v>-text 16804.2649481392,320 3.5 90 462.485 </v>
      </c>
      <c r="BD147" t="str">
        <f t="shared" si="96"/>
        <v>-text 16804.2649481392,306 3.5 90 461.768 </v>
      </c>
      <c r="BE147" t="str">
        <f t="shared" si="97"/>
        <v>-text 16804.2649481392,352 3.5 90 ZG33+610.530 </v>
      </c>
      <c r="BF147" t="str">
        <f t="shared" si="98"/>
        <v>-text 16804.2649481392,280 3.5 90 大堰塘湾2#渡槽进 </v>
      </c>
      <c r="BG147" t="str">
        <f t="shared" si="99"/>
        <v/>
      </c>
      <c r="BH147" t="str">
        <f t="shared" si="100"/>
        <v> </v>
      </c>
      <c r="BI147" t="str">
        <f t="shared" si="101"/>
        <v> </v>
      </c>
      <c r="BJ147" t="str">
        <f t="shared" si="102"/>
        <v> </v>
      </c>
    </row>
    <row r="148" spans="1:62">
      <c r="A148">
        <v>2</v>
      </c>
      <c r="B148">
        <v>147</v>
      </c>
      <c r="C148" t="str">
        <f>Sheet1!C136</f>
        <v>大堰塘湾2#渡槽出</v>
      </c>
      <c r="D148">
        <v>464894.4536</v>
      </c>
      <c r="E148">
        <v>3385622.3781</v>
      </c>
      <c r="G148">
        <f t="shared" si="103"/>
        <v>0</v>
      </c>
      <c r="H148">
        <f t="shared" si="104"/>
        <v>0</v>
      </c>
      <c r="I148">
        <f t="shared" si="105"/>
        <v>0</v>
      </c>
      <c r="J148">
        <f t="shared" si="106"/>
        <v>127.340029667157</v>
      </c>
      <c r="K148" s="40">
        <f t="shared" si="107"/>
        <v>33737.8699259455</v>
      </c>
      <c r="L148" s="40">
        <f t="shared" si="108"/>
        <v>33737.8699259455</v>
      </c>
      <c r="M148" s="40">
        <f t="shared" si="109"/>
        <v>33737.8699259455</v>
      </c>
      <c r="N148">
        <v>461.711</v>
      </c>
      <c r="O148">
        <v>457.828</v>
      </c>
      <c r="P148">
        <v>0</v>
      </c>
      <c r="Q148" s="39">
        <f t="shared" si="86"/>
        <v>464894.4536</v>
      </c>
      <c r="R148" s="39">
        <f t="shared" si="87"/>
        <v>3385622.3781</v>
      </c>
      <c r="S148" s="39" t="str">
        <f t="shared" si="110"/>
        <v> </v>
      </c>
      <c r="T148" s="39" t="str">
        <f t="shared" si="111"/>
        <v> </v>
      </c>
      <c r="U148" s="39" t="str">
        <f t="shared" si="112"/>
        <v> </v>
      </c>
      <c r="V148" s="39" t="str">
        <f t="shared" si="113"/>
        <v> </v>
      </c>
      <c r="AI148" t="str">
        <f t="array" ref="AI148">IFERROR(INDEX($L$2:$L$805,SMALL(IF(ISNUMBER(FIND($AH$2,$C$2:$C$805)),ROW($2:$805)-1,4^8),ROW(A147)))&amp;"","")</f>
        <v>105905.793113943</v>
      </c>
      <c r="AJ148" t="str">
        <f t="array" ref="AJ148">IFERROR(INDEX($C$2:$C$805,SMALL(IF(ISNUMBER(FIND($AH$2,$C$2:$C$805)),ROW($2:$805)-1,4^8),ROW(B147)))&amp;"","")</f>
        <v>古镜寺隧出</v>
      </c>
      <c r="AT148" t="str">
        <f t="shared" si="88"/>
        <v>464894.4536,3385622.3781</v>
      </c>
      <c r="AV148">
        <f t="shared" si="89"/>
        <v>462.428</v>
      </c>
      <c r="AX148" t="str">
        <f t="shared" si="90"/>
        <v>pl 16868.9349629727,279 16868.9349629727,400 </v>
      </c>
      <c r="AY148" t="str">
        <f t="shared" si="91"/>
        <v>16868.9349629727,457.828</v>
      </c>
      <c r="AZ148" t="str">
        <f t="shared" si="92"/>
        <v>16868.9349629727,461.711</v>
      </c>
      <c r="BA148" t="str">
        <f t="shared" si="93"/>
        <v>16868.9349629727,462.428</v>
      </c>
      <c r="BB148" t="str">
        <f t="shared" si="94"/>
        <v>-text 16867.9349629727,337 3.5 90 457.828 </v>
      </c>
      <c r="BC148" t="str">
        <f t="shared" si="95"/>
        <v>-text 16867.9349629727,320 3.5 90 462.428 </v>
      </c>
      <c r="BD148" t="str">
        <f t="shared" si="96"/>
        <v>-text 16867.9349629727,306 3.5 90 461.711 </v>
      </c>
      <c r="BE148" t="str">
        <f t="shared" si="97"/>
        <v>-text 16867.9349629727,352 3.5 90 ZG33+737.870 </v>
      </c>
      <c r="BF148" t="str">
        <f t="shared" si="98"/>
        <v>-text 16867.9349629727,280 3.5 90 大堰塘湾2#渡槽出 </v>
      </c>
      <c r="BG148" t="str">
        <f t="shared" si="99"/>
        <v/>
      </c>
      <c r="BH148" t="str">
        <f t="shared" si="100"/>
        <v> </v>
      </c>
      <c r="BI148" t="str">
        <f t="shared" si="101"/>
        <v> </v>
      </c>
      <c r="BJ148" t="str">
        <f t="shared" si="102"/>
        <v> </v>
      </c>
    </row>
    <row r="149" spans="1:62">
      <c r="A149">
        <v>0</v>
      </c>
      <c r="B149">
        <v>148</v>
      </c>
      <c r="C149" t="s">
        <v>157</v>
      </c>
      <c r="D149">
        <v>464928.592</v>
      </c>
      <c r="E149">
        <v>3385564.168</v>
      </c>
      <c r="F149">
        <v>80</v>
      </c>
      <c r="G149">
        <f t="shared" si="103"/>
        <v>34.533</v>
      </c>
      <c r="H149">
        <f t="shared" si="104"/>
        <v>24.8659221335572</v>
      </c>
      <c r="I149">
        <f t="shared" si="105"/>
        <v>48.2171640472962</v>
      </c>
      <c r="J149">
        <f t="shared" si="106"/>
        <v>67.4821909583975</v>
      </c>
      <c r="K149" s="40">
        <f t="shared" si="107"/>
        <v>33780.4861947703</v>
      </c>
      <c r="L149" s="40">
        <f t="shared" si="108"/>
        <v>33804.594776794</v>
      </c>
      <c r="M149" s="40">
        <f t="shared" si="109"/>
        <v>33828.7033588176</v>
      </c>
      <c r="N149">
        <v>461.761</v>
      </c>
      <c r="O149">
        <v>457.792</v>
      </c>
      <c r="P149">
        <v>0.002</v>
      </c>
      <c r="Q149" s="39">
        <f t="shared" si="86"/>
        <v>464916.012639666</v>
      </c>
      <c r="R149" s="39">
        <f t="shared" si="87"/>
        <v>3385585.61733046</v>
      </c>
      <c r="S149" s="39">
        <f t="shared" si="110"/>
        <v>464931.134999786</v>
      </c>
      <c r="T149" s="39">
        <f t="shared" si="111"/>
        <v>3385566.95850746</v>
      </c>
      <c r="U149" s="39">
        <f t="shared" si="112"/>
        <v>464951.114156398</v>
      </c>
      <c r="V149" s="39">
        <f t="shared" si="113"/>
        <v>3385553.62918817</v>
      </c>
      <c r="AI149" t="str">
        <f t="array" ref="AI149">IFERROR(INDEX($L$2:$L$805,SMALL(IF(ISNUMBER(FIND($AH$2,$C$2:$C$805)),ROW($2:$805)-1,4^8),ROW(A148)))&amp;"","")</f>
        <v>106083.439373083</v>
      </c>
      <c r="AJ149" t="str">
        <f t="array" ref="AJ149">IFERROR(INDEX($C$2:$C$805,SMALL(IF(ISNUMBER(FIND($AH$2,$C$2:$C$805)),ROW($2:$805)-1,4^8),ROW(B148)))&amp;"","")</f>
        <v>朝阳观渡槽出</v>
      </c>
      <c r="AS149" t="str">
        <f>"-text"&amp;" "&amp;D149&amp;","&amp;E149&amp;" "&amp;"10"&amp;" "&amp;"0"&amp;" "&amp;C149</f>
        <v>-text 464928.592,3385564.168 10 0 IP79</v>
      </c>
      <c r="AT149" t="str">
        <f t="shared" si="88"/>
        <v>464928.592,3385564.168</v>
      </c>
      <c r="AV149">
        <f t="shared" si="89"/>
        <v>463.292</v>
      </c>
      <c r="AX149" t="str">
        <f t="shared" si="90"/>
        <v>pl 16902.297388397,279 16902.297388397,400 </v>
      </c>
      <c r="AY149" t="str">
        <f t="shared" si="91"/>
        <v>16902.297388397,457.792</v>
      </c>
      <c r="AZ149" t="str">
        <f t="shared" si="92"/>
        <v>16902.297388397,461.761</v>
      </c>
      <c r="BA149" t="str">
        <f t="shared" si="93"/>
        <v>16902.297388397,463.292</v>
      </c>
      <c r="BB149" t="str">
        <f t="shared" si="94"/>
        <v>-text 16901.297388397,337 3.5 90 457.792 </v>
      </c>
      <c r="BC149" t="str">
        <f t="shared" si="95"/>
        <v>-text 16901.297388397,320 3.5 90 463.292 </v>
      </c>
      <c r="BD149" t="str">
        <f t="shared" si="96"/>
        <v>-text 16901.297388397,306 3.5 90 461.761 </v>
      </c>
      <c r="BE149" t="str">
        <f t="shared" si="97"/>
        <v>-text 16901.297388397,352 3.5 90 ZG33+804.595 </v>
      </c>
      <c r="BF149" t="str">
        <f t="shared" si="98"/>
        <v>-text 16901.297388397,280 3.5 90 IP79 </v>
      </c>
      <c r="BG149" t="str">
        <f t="shared" si="99"/>
        <v>-TEXT 16903.297388397,300 3.5 0 R=80</v>
      </c>
      <c r="BH149" t="str">
        <f t="shared" si="100"/>
        <v>-TEXT 16903.297388397,295 3.5 0 α=34.53° </v>
      </c>
      <c r="BI149" t="str">
        <f t="shared" si="101"/>
        <v>-TEXT 16903.297388397,290 3.5 0 T=24.87 </v>
      </c>
      <c r="BJ149" t="str">
        <f t="shared" si="102"/>
        <v>-TEXT 16903.297388397,285 3.5 0 S=48.22 </v>
      </c>
    </row>
    <row r="150" spans="1:62">
      <c r="A150">
        <v>2</v>
      </c>
      <c r="B150">
        <v>149</v>
      </c>
      <c r="C150" t="str">
        <f>Sheet1!C138</f>
        <v>麻风梁子渡槽进</v>
      </c>
      <c r="D150">
        <v>464975.1991</v>
      </c>
      <c r="E150">
        <v>3385542.3591</v>
      </c>
      <c r="G150">
        <f t="shared" si="103"/>
        <v>0</v>
      </c>
      <c r="H150">
        <f t="shared" si="104"/>
        <v>0</v>
      </c>
      <c r="I150">
        <f t="shared" si="105"/>
        <v>0</v>
      </c>
      <c r="J150">
        <f t="shared" si="106"/>
        <v>51.4572627490506</v>
      </c>
      <c r="K150" s="40">
        <f t="shared" si="107"/>
        <v>33855.2946994331</v>
      </c>
      <c r="L150" s="40">
        <f t="shared" si="108"/>
        <v>33855.2946994331</v>
      </c>
      <c r="M150" s="40">
        <f t="shared" si="109"/>
        <v>33855.2946994331</v>
      </c>
      <c r="N150">
        <v>461.631</v>
      </c>
      <c r="O150">
        <v>457.748</v>
      </c>
      <c r="P150">
        <v>0</v>
      </c>
      <c r="Q150" s="39">
        <f t="shared" si="86"/>
        <v>464975.1991</v>
      </c>
      <c r="R150" s="39">
        <f t="shared" si="87"/>
        <v>3385542.3591</v>
      </c>
      <c r="S150" s="39" t="str">
        <f t="shared" si="110"/>
        <v> </v>
      </c>
      <c r="T150" s="39" t="str">
        <f t="shared" si="111"/>
        <v> </v>
      </c>
      <c r="U150" s="39" t="str">
        <f t="shared" si="112"/>
        <v> </v>
      </c>
      <c r="V150" s="39" t="str">
        <f t="shared" si="113"/>
        <v> </v>
      </c>
      <c r="AI150" t="str">
        <f t="array" ref="AI150">IFERROR(INDEX($L$2:$L$805,SMALL(IF(ISNUMBER(FIND($AH$2,$C$2:$C$805)),ROW($2:$805)-1,4^8),ROW(A149)))&amp;"","")</f>
        <v>106431.94178881</v>
      </c>
      <c r="AJ150" t="str">
        <f t="array" ref="AJ150">IFERROR(INDEX($C$2:$C$805,SMALL(IF(ISNUMBER(FIND($AH$2,$C$2:$C$805)),ROW($2:$805)-1,4^8),ROW(B149)))&amp;"","")</f>
        <v>炭窑沟1#渡槽出</v>
      </c>
      <c r="AT150" t="str">
        <f t="shared" si="88"/>
        <v>464975.1991,3385542.3591</v>
      </c>
      <c r="AV150">
        <f t="shared" si="89"/>
        <v>462.348</v>
      </c>
      <c r="AX150" t="str">
        <f t="shared" si="90"/>
        <v>pl 16927.6473497166,279 16927.6473497166,400 </v>
      </c>
      <c r="AY150" t="str">
        <f t="shared" si="91"/>
        <v>16927.6473497166,457.748</v>
      </c>
      <c r="AZ150" t="str">
        <f t="shared" si="92"/>
        <v>16927.6473497166,461.631</v>
      </c>
      <c r="BA150" t="str">
        <f t="shared" si="93"/>
        <v>16927.6473497166,462.348</v>
      </c>
      <c r="BB150" t="str">
        <f t="shared" si="94"/>
        <v>-text 16926.6473497166,337 3.5 90 457.748 </v>
      </c>
      <c r="BC150" t="str">
        <f t="shared" si="95"/>
        <v>-text 16926.6473497166,320 3.5 90 462.348 </v>
      </c>
      <c r="BD150" t="str">
        <f t="shared" si="96"/>
        <v>-text 16926.6473497166,306 3.5 90 461.631 </v>
      </c>
      <c r="BE150" t="str">
        <f t="shared" si="97"/>
        <v>-text 16926.6473497166,352 3.5 90 ZG33+855.295 </v>
      </c>
      <c r="BF150" t="str">
        <f t="shared" si="98"/>
        <v>-text 16926.6473497166,280 3.5 90 麻风梁子渡槽进 </v>
      </c>
      <c r="BG150" t="str">
        <f t="shared" si="99"/>
        <v/>
      </c>
      <c r="BH150" t="str">
        <f t="shared" si="100"/>
        <v> </v>
      </c>
      <c r="BI150" t="str">
        <f t="shared" si="101"/>
        <v> </v>
      </c>
      <c r="BJ150" t="str">
        <f t="shared" si="102"/>
        <v> </v>
      </c>
    </row>
    <row r="151" spans="1:62">
      <c r="A151">
        <v>2</v>
      </c>
      <c r="B151">
        <v>150</v>
      </c>
      <c r="C151" t="str">
        <f>Sheet1!C139</f>
        <v>麻风梁子渡槽出</v>
      </c>
      <c r="D151">
        <v>465171.0465</v>
      </c>
      <c r="E151">
        <v>3385450.7161</v>
      </c>
      <c r="G151">
        <f t="shared" si="103"/>
        <v>0</v>
      </c>
      <c r="H151">
        <f t="shared" si="104"/>
        <v>0</v>
      </c>
      <c r="I151">
        <f t="shared" si="105"/>
        <v>0</v>
      </c>
      <c r="J151">
        <f t="shared" si="106"/>
        <v>216.228220951329</v>
      </c>
      <c r="K151" s="40">
        <f t="shared" si="107"/>
        <v>34071.5229203844</v>
      </c>
      <c r="L151" s="40">
        <f t="shared" si="108"/>
        <v>34071.5229203844</v>
      </c>
      <c r="M151" s="40">
        <f t="shared" si="109"/>
        <v>34071.5229203844</v>
      </c>
      <c r="N151">
        <v>461.533</v>
      </c>
      <c r="O151">
        <v>457.65</v>
      </c>
      <c r="P151">
        <v>0</v>
      </c>
      <c r="Q151" s="39">
        <f t="shared" si="86"/>
        <v>465171.0465</v>
      </c>
      <c r="R151" s="39">
        <f t="shared" si="87"/>
        <v>3385450.7161</v>
      </c>
      <c r="S151" s="39" t="str">
        <f t="shared" si="110"/>
        <v> </v>
      </c>
      <c r="T151" s="39" t="str">
        <f t="shared" si="111"/>
        <v> </v>
      </c>
      <c r="U151" s="39" t="str">
        <f t="shared" si="112"/>
        <v> </v>
      </c>
      <c r="V151" s="39" t="str">
        <f t="shared" si="113"/>
        <v> </v>
      </c>
      <c r="AI151" t="str">
        <f t="array" ref="AI151">IFERROR(INDEX($L$2:$L$805,SMALL(IF(ISNUMBER(FIND($AH$2,$C$2:$C$805)),ROW($2:$805)-1,4^8),ROW(A150)))&amp;"","")</f>
        <v>106614.437365776</v>
      </c>
      <c r="AJ151" t="str">
        <f t="array" ref="AJ151">IFERROR(INDEX($C$2:$C$805,SMALL(IF(ISNUMBER(FIND($AH$2,$C$2:$C$805)),ROW($2:$805)-1,4^8),ROW(B150)))&amp;"","")</f>
        <v>炭窑沟2#渡槽出</v>
      </c>
      <c r="AT151" t="str">
        <f t="shared" si="88"/>
        <v>465171.0465,3385450.7161</v>
      </c>
      <c r="AV151">
        <f t="shared" si="89"/>
        <v>462.25</v>
      </c>
      <c r="AX151" t="str">
        <f t="shared" si="90"/>
        <v>pl 17035.7614601922,279 17035.7614601922,400 </v>
      </c>
      <c r="AY151" t="str">
        <f t="shared" si="91"/>
        <v>17035.7614601922,457.65</v>
      </c>
      <c r="AZ151" t="str">
        <f t="shared" si="92"/>
        <v>17035.7614601922,461.533</v>
      </c>
      <c r="BA151" t="str">
        <f t="shared" si="93"/>
        <v>17035.7614601922,462.25</v>
      </c>
      <c r="BB151" t="str">
        <f t="shared" si="94"/>
        <v>-text 17034.7614601922,337 3.5 90 457.650 </v>
      </c>
      <c r="BC151" t="str">
        <f t="shared" si="95"/>
        <v>-text 17034.7614601922,320 3.5 90 462.250 </v>
      </c>
      <c r="BD151" t="str">
        <f t="shared" si="96"/>
        <v>-text 17034.7614601922,306 3.5 90 461.533 </v>
      </c>
      <c r="BE151" t="str">
        <f t="shared" si="97"/>
        <v>-text 17034.7614601922,352 3.5 90 ZG34+071.523 </v>
      </c>
      <c r="BF151" t="str">
        <f t="shared" si="98"/>
        <v>-text 17034.7614601922,280 3.5 90 麻风梁子渡槽出 </v>
      </c>
      <c r="BG151" t="str">
        <f t="shared" si="99"/>
        <v/>
      </c>
      <c r="BH151" t="str">
        <f t="shared" si="100"/>
        <v> </v>
      </c>
      <c r="BI151" t="str">
        <f t="shared" si="101"/>
        <v> </v>
      </c>
      <c r="BJ151" t="str">
        <f t="shared" si="102"/>
        <v> </v>
      </c>
    </row>
    <row r="152" spans="1:62">
      <c r="A152">
        <v>0</v>
      </c>
      <c r="B152">
        <v>151</v>
      </c>
      <c r="C152" t="s">
        <v>160</v>
      </c>
      <c r="D152">
        <v>465250.4602</v>
      </c>
      <c r="E152">
        <v>3385413.5559</v>
      </c>
      <c r="F152">
        <v>60</v>
      </c>
      <c r="G152">
        <f t="shared" si="103"/>
        <v>15.146</v>
      </c>
      <c r="H152">
        <f t="shared" si="104"/>
        <v>7.97693334685263</v>
      </c>
      <c r="I152">
        <f t="shared" si="105"/>
        <v>15.8608541104237</v>
      </c>
      <c r="J152">
        <f t="shared" si="106"/>
        <v>87.6779117663733</v>
      </c>
      <c r="K152" s="40">
        <f t="shared" si="107"/>
        <v>34151.223898804</v>
      </c>
      <c r="L152" s="40">
        <f t="shared" si="108"/>
        <v>34159.1543258592</v>
      </c>
      <c r="M152" s="40">
        <f t="shared" si="109"/>
        <v>34167.0847529144</v>
      </c>
      <c r="N152">
        <v>461.58</v>
      </c>
      <c r="O152">
        <v>457.611</v>
      </c>
      <c r="P152">
        <v>0.001</v>
      </c>
      <c r="Q152" s="39">
        <f t="shared" si="86"/>
        <v>465243.235144351</v>
      </c>
      <c r="R152" s="39">
        <f t="shared" si="87"/>
        <v>3385416.9367337</v>
      </c>
      <c r="S152" s="39">
        <f t="shared" si="110"/>
        <v>465250.618981461</v>
      </c>
      <c r="T152" s="39">
        <f t="shared" si="111"/>
        <v>3385414.05937938</v>
      </c>
      <c r="U152" s="39">
        <f t="shared" si="112"/>
        <v>465258.317611633</v>
      </c>
      <c r="V152" s="39">
        <f t="shared" si="113"/>
        <v>3385412.18020089</v>
      </c>
      <c r="AI152" t="str">
        <f t="array" ref="AI152">IFERROR(INDEX($L$2:$L$805,SMALL(IF(ISNUMBER(FIND($AH$2,$C$2:$C$805)),ROW($2:$805)-1,4^8),ROW(A151)))&amp;"","")</f>
        <v>106981.390088488</v>
      </c>
      <c r="AJ152" t="str">
        <f t="array" ref="AJ152">IFERROR(INDEX($C$2:$C$805,SMALL(IF(ISNUMBER(FIND($AH$2,$C$2:$C$805)),ROW($2:$805)-1,4^8),ROW(B151)))&amp;"","")</f>
        <v>吴家院子隧出</v>
      </c>
      <c r="AS152" t="str">
        <f>"-text"&amp;" "&amp;D152&amp;","&amp;E152&amp;" "&amp;"10"&amp;" "&amp;"0"&amp;" "&amp;C152</f>
        <v>-text 465250.4602,3385413.5559 10 0 IP80</v>
      </c>
      <c r="AT152" t="str">
        <f t="shared" si="88"/>
        <v>465250.4602,3385413.5559</v>
      </c>
      <c r="AV152">
        <f t="shared" si="89"/>
        <v>463.111</v>
      </c>
      <c r="AX152" t="str">
        <f t="shared" si="90"/>
        <v>pl 17079.5771629296,279 17079.5771629296,400 </v>
      </c>
      <c r="AY152" t="str">
        <f t="shared" si="91"/>
        <v>17079.5771629296,457.611</v>
      </c>
      <c r="AZ152" t="str">
        <f t="shared" si="92"/>
        <v>17079.5771629296,461.58</v>
      </c>
      <c r="BA152" t="str">
        <f t="shared" si="93"/>
        <v>17079.5771629296,463.111</v>
      </c>
      <c r="BB152" t="str">
        <f t="shared" si="94"/>
        <v>-text 17078.5771629296,337 3.5 90 457.611 </v>
      </c>
      <c r="BC152" t="str">
        <f t="shared" si="95"/>
        <v>-text 17078.5771629296,320 3.5 90 463.111 </v>
      </c>
      <c r="BD152" t="str">
        <f t="shared" si="96"/>
        <v>-text 17078.5771629296,306 3.5 90 461.580 </v>
      </c>
      <c r="BE152" t="str">
        <f t="shared" si="97"/>
        <v>-text 17078.5771629296,352 3.5 90 ZG34+159.154 </v>
      </c>
      <c r="BF152" t="str">
        <f t="shared" si="98"/>
        <v>-text 17078.5771629296,280 3.5 90 IP80 </v>
      </c>
      <c r="BG152" t="str">
        <f t="shared" si="99"/>
        <v>-TEXT 17080.5771629296,300 3.5 0 R=60</v>
      </c>
      <c r="BH152" t="str">
        <f t="shared" si="100"/>
        <v>-TEXT 17080.5771629296,295 3.5 0 α=15.15° </v>
      </c>
      <c r="BI152" t="str">
        <f t="shared" si="101"/>
        <v>-TEXT 17080.5771629296,290 3.5 0 T=7.98 </v>
      </c>
      <c r="BJ152" t="str">
        <f t="shared" si="102"/>
        <v>-TEXT 17080.5771629296,285 3.5 0 S=15.86 </v>
      </c>
    </row>
    <row r="153" spans="1:62">
      <c r="A153">
        <v>2</v>
      </c>
      <c r="B153">
        <v>152</v>
      </c>
      <c r="C153" t="str">
        <f>Sheet1!C141</f>
        <v>唐家湾1#渡槽进</v>
      </c>
      <c r="D153">
        <v>465266.6371</v>
      </c>
      <c r="E153">
        <v>3385410.7236</v>
      </c>
      <c r="G153">
        <f t="shared" si="103"/>
        <v>0</v>
      </c>
      <c r="H153">
        <f t="shared" si="104"/>
        <v>0</v>
      </c>
      <c r="I153">
        <f t="shared" si="105"/>
        <v>0</v>
      </c>
      <c r="J153">
        <f t="shared" si="106"/>
        <v>16.4229722309956</v>
      </c>
      <c r="K153" s="40">
        <f t="shared" si="107"/>
        <v>34175.5307917985</v>
      </c>
      <c r="L153" s="40">
        <f t="shared" si="108"/>
        <v>34175.5307917985</v>
      </c>
      <c r="M153" s="40">
        <f t="shared" si="109"/>
        <v>34175.5307917985</v>
      </c>
      <c r="N153">
        <v>461.457</v>
      </c>
      <c r="O153">
        <v>457.574</v>
      </c>
      <c r="P153">
        <v>0</v>
      </c>
      <c r="Q153" s="39">
        <f t="shared" si="86"/>
        <v>465266.6371</v>
      </c>
      <c r="R153" s="39">
        <f t="shared" si="87"/>
        <v>3385410.7236</v>
      </c>
      <c r="S153" s="39" t="str">
        <f t="shared" si="110"/>
        <v> </v>
      </c>
      <c r="T153" s="39" t="str">
        <f t="shared" si="111"/>
        <v> </v>
      </c>
      <c r="U153" s="39" t="str">
        <f t="shared" si="112"/>
        <v> </v>
      </c>
      <c r="V153" s="39" t="str">
        <f t="shared" si="113"/>
        <v> </v>
      </c>
      <c r="AI153" t="str">
        <f t="array" ref="AI153">IFERROR(INDEX($L$2:$L$805,SMALL(IF(ISNUMBER(FIND($AH$2,$C$2:$C$805)),ROW($2:$805)-1,4^8),ROW(A152)))&amp;"","")</f>
        <v>107130.908028519</v>
      </c>
      <c r="AJ153" t="str">
        <f t="array" ref="AJ153">IFERROR(INDEX($C$2:$C$805,SMALL(IF(ISNUMBER(FIND($AH$2,$C$2:$C$805)),ROW($2:$805)-1,4^8),ROW(B152)))&amp;"","")</f>
        <v>牛草堰渡槽出</v>
      </c>
      <c r="AT153" t="str">
        <f t="shared" si="88"/>
        <v>465266.6371,3385410.7236</v>
      </c>
      <c r="AV153">
        <f t="shared" si="89"/>
        <v>462.174</v>
      </c>
      <c r="AX153" t="str">
        <f t="shared" si="90"/>
        <v>pl 17087.7653958993,279 17087.7653958993,400 </v>
      </c>
      <c r="AY153" t="str">
        <f t="shared" si="91"/>
        <v>17087.7653958993,457.574</v>
      </c>
      <c r="AZ153" t="str">
        <f t="shared" si="92"/>
        <v>17087.7653958993,461.457</v>
      </c>
      <c r="BA153" t="str">
        <f t="shared" si="93"/>
        <v>17087.7653958993,462.174</v>
      </c>
      <c r="BB153" t="str">
        <f t="shared" si="94"/>
        <v>-text 17086.7653958993,337 3.5 90 457.574 </v>
      </c>
      <c r="BC153" t="str">
        <f t="shared" si="95"/>
        <v>-text 17086.7653958993,320 3.5 90 462.174 </v>
      </c>
      <c r="BD153" t="str">
        <f t="shared" si="96"/>
        <v>-text 17086.7653958993,306 3.5 90 461.457 </v>
      </c>
      <c r="BE153" t="str">
        <f t="shared" si="97"/>
        <v>-text 17086.7653958993,352 3.5 90 ZG34+175.531 </v>
      </c>
      <c r="BF153" t="str">
        <f t="shared" si="98"/>
        <v>-text 17086.7653958993,280 3.5 90 唐家湾1#渡槽进 </v>
      </c>
      <c r="BG153" t="str">
        <f t="shared" si="99"/>
        <v/>
      </c>
      <c r="BH153" t="str">
        <f t="shared" si="100"/>
        <v> </v>
      </c>
      <c r="BI153" t="str">
        <f t="shared" si="101"/>
        <v> </v>
      </c>
      <c r="BJ153" t="str">
        <f t="shared" si="102"/>
        <v> </v>
      </c>
    </row>
    <row r="154" spans="1:62">
      <c r="A154">
        <v>2</v>
      </c>
      <c r="B154">
        <v>153</v>
      </c>
      <c r="C154" t="str">
        <f>Sheet1!C142</f>
        <v>唐家湾1#渡槽出</v>
      </c>
      <c r="D154">
        <v>465313.2992</v>
      </c>
      <c r="E154">
        <v>3385402.5537</v>
      </c>
      <c r="G154">
        <f t="shared" si="103"/>
        <v>0</v>
      </c>
      <c r="H154">
        <f t="shared" si="104"/>
        <v>0</v>
      </c>
      <c r="I154">
        <f t="shared" si="105"/>
        <v>0</v>
      </c>
      <c r="J154">
        <f t="shared" si="106"/>
        <v>47.3719204004128</v>
      </c>
      <c r="K154" s="40">
        <f t="shared" si="107"/>
        <v>34222.9027121989</v>
      </c>
      <c r="L154" s="40">
        <f t="shared" si="108"/>
        <v>34222.9027121989</v>
      </c>
      <c r="M154" s="40">
        <f t="shared" si="109"/>
        <v>34222.9027121989</v>
      </c>
      <c r="N154">
        <v>461.435</v>
      </c>
      <c r="O154">
        <v>457.552</v>
      </c>
      <c r="P154">
        <v>0</v>
      </c>
      <c r="Q154" s="39">
        <f t="shared" si="86"/>
        <v>465313.2992</v>
      </c>
      <c r="R154" s="39">
        <f t="shared" si="87"/>
        <v>3385402.5537</v>
      </c>
      <c r="S154" s="39" t="str">
        <f t="shared" si="110"/>
        <v> </v>
      </c>
      <c r="T154" s="39" t="str">
        <f t="shared" si="111"/>
        <v> </v>
      </c>
      <c r="U154" s="39" t="str">
        <f t="shared" si="112"/>
        <v> </v>
      </c>
      <c r="V154" s="39" t="str">
        <f t="shared" si="113"/>
        <v> </v>
      </c>
      <c r="AI154" t="str">
        <f t="array" ref="AI154">IFERROR(INDEX($L$2:$L$805,SMALL(IF(ISNUMBER(FIND($AH$2,$C$2:$C$805)),ROW($2:$805)-1,4^8),ROW(A153)))&amp;"","")</f>
        <v>107658.228108806</v>
      </c>
      <c r="AJ154" t="str">
        <f t="array" ref="AJ154">IFERROR(INDEX($C$2:$C$805,SMALL(IF(ISNUMBER(FIND($AH$2,$C$2:$C$805)),ROW($2:$805)-1,4^8),ROW(B153)))&amp;"","")</f>
        <v>花生基渡槽出</v>
      </c>
      <c r="AT154" t="str">
        <f t="shared" si="88"/>
        <v>465313.2992,3385402.5537</v>
      </c>
      <c r="AV154">
        <f t="shared" si="89"/>
        <v>462.152</v>
      </c>
      <c r="AX154" t="str">
        <f t="shared" si="90"/>
        <v>pl 17111.4513560995,279 17111.4513560995,400 </v>
      </c>
      <c r="AY154" t="str">
        <f t="shared" si="91"/>
        <v>17111.4513560995,457.552</v>
      </c>
      <c r="AZ154" t="str">
        <f t="shared" si="92"/>
        <v>17111.4513560995,461.435</v>
      </c>
      <c r="BA154" t="str">
        <f t="shared" si="93"/>
        <v>17111.4513560995,462.152</v>
      </c>
      <c r="BB154" t="str">
        <f t="shared" si="94"/>
        <v>-text 17110.4513560995,337 3.5 90 457.552 </v>
      </c>
      <c r="BC154" t="str">
        <f t="shared" si="95"/>
        <v>-text 17110.4513560995,320 3.5 90 462.152 </v>
      </c>
      <c r="BD154" t="str">
        <f t="shared" si="96"/>
        <v>-text 17110.4513560995,306 3.5 90 461.435 </v>
      </c>
      <c r="BE154" t="str">
        <f t="shared" si="97"/>
        <v>-text 17110.4513560995,352 3.5 90 ZG34+222.903 </v>
      </c>
      <c r="BF154" t="str">
        <f t="shared" si="98"/>
        <v>-text 17110.4513560995,280 3.5 90 唐家湾1#渡槽出 </v>
      </c>
      <c r="BG154" t="str">
        <f t="shared" si="99"/>
        <v/>
      </c>
      <c r="BH154" t="str">
        <f t="shared" si="100"/>
        <v> </v>
      </c>
      <c r="BI154" t="str">
        <f t="shared" si="101"/>
        <v> </v>
      </c>
      <c r="BJ154" t="str">
        <f t="shared" si="102"/>
        <v> </v>
      </c>
    </row>
    <row r="155" spans="1:62">
      <c r="A155">
        <v>0</v>
      </c>
      <c r="B155">
        <v>154</v>
      </c>
      <c r="C155" t="s">
        <v>163</v>
      </c>
      <c r="D155">
        <v>465350.2736</v>
      </c>
      <c r="E155">
        <v>3385396.08</v>
      </c>
      <c r="F155">
        <v>80</v>
      </c>
      <c r="G155">
        <f t="shared" si="103"/>
        <v>19.839</v>
      </c>
      <c r="H155">
        <f t="shared" si="104"/>
        <v>13.9902932541931</v>
      </c>
      <c r="I155">
        <f t="shared" si="105"/>
        <v>27.7004696242524</v>
      </c>
      <c r="J155">
        <f t="shared" si="106"/>
        <v>37.5368491891651</v>
      </c>
      <c r="K155" s="40">
        <f t="shared" si="107"/>
        <v>34246.4492681339</v>
      </c>
      <c r="L155" s="40">
        <f t="shared" si="108"/>
        <v>34260.299502946</v>
      </c>
      <c r="M155" s="40">
        <f t="shared" si="109"/>
        <v>34274.1497377582</v>
      </c>
      <c r="N155">
        <v>461.492</v>
      </c>
      <c r="O155">
        <v>457.523</v>
      </c>
      <c r="P155">
        <v>0.001</v>
      </c>
      <c r="Q155" s="39">
        <f t="shared" si="86"/>
        <v>465336.492936197</v>
      </c>
      <c r="R155" s="39">
        <f t="shared" si="87"/>
        <v>3385398.49280138</v>
      </c>
      <c r="S155" s="39">
        <f t="shared" si="110"/>
        <v>465349.861325753</v>
      </c>
      <c r="T155" s="39">
        <f t="shared" si="111"/>
        <v>3385394.93803416</v>
      </c>
      <c r="U155" s="39">
        <f t="shared" si="112"/>
        <v>465362.417493194</v>
      </c>
      <c r="V155" s="39">
        <f t="shared" si="113"/>
        <v>3385389.13347832</v>
      </c>
      <c r="AI155" t="str">
        <f t="array" ref="AI155">IFERROR(INDEX($L$2:$L$805,SMALL(IF(ISNUMBER(FIND($AH$2,$C$2:$C$805)),ROW($2:$805)-1,4^8),ROW(A154)))&amp;"","")</f>
        <v>108508.509751844</v>
      </c>
      <c r="AJ155" t="str">
        <f t="array" ref="AJ155">IFERROR(INDEX($C$2:$C$805,SMALL(IF(ISNUMBER(FIND($AH$2,$C$2:$C$805)),ROW($2:$805)-1,4^8),ROW(B154)))&amp;"","")</f>
        <v>吴家大院子倒虹管出</v>
      </c>
      <c r="AS155" t="str">
        <f>"-text"&amp;" "&amp;D155&amp;","&amp;E155&amp;" "&amp;"10"&amp;" "&amp;"0"&amp;" "&amp;C155</f>
        <v>-text 465350.2736,3385396.08 10 0 IP81</v>
      </c>
      <c r="AT155" t="str">
        <f t="shared" si="88"/>
        <v>465350.2736,3385396.08</v>
      </c>
      <c r="AV155">
        <f t="shared" si="89"/>
        <v>463.023</v>
      </c>
      <c r="AX155" t="str">
        <f t="shared" si="90"/>
        <v>pl 17130.149751473,279 17130.149751473,400 </v>
      </c>
      <c r="AY155" t="str">
        <f t="shared" si="91"/>
        <v>17130.149751473,457.523</v>
      </c>
      <c r="AZ155" t="str">
        <f t="shared" si="92"/>
        <v>17130.149751473,461.492</v>
      </c>
      <c r="BA155" t="str">
        <f t="shared" si="93"/>
        <v>17130.149751473,463.023</v>
      </c>
      <c r="BB155" t="str">
        <f t="shared" si="94"/>
        <v>-text 17129.149751473,337 3.5 90 457.523 </v>
      </c>
      <c r="BC155" t="str">
        <f t="shared" si="95"/>
        <v>-text 17129.149751473,320 3.5 90 463.023 </v>
      </c>
      <c r="BD155" t="str">
        <f t="shared" si="96"/>
        <v>-text 17129.149751473,306 3.5 90 461.492 </v>
      </c>
      <c r="BE155" t="str">
        <f t="shared" si="97"/>
        <v>-text 17129.149751473,352 3.5 90 ZG34+260.300 </v>
      </c>
      <c r="BF155" t="str">
        <f t="shared" si="98"/>
        <v>-text 17129.149751473,280 3.5 90 IP81 </v>
      </c>
      <c r="BG155" t="str">
        <f t="shared" si="99"/>
        <v>-TEXT 17131.149751473,300 3.5 0 R=80</v>
      </c>
      <c r="BH155" t="str">
        <f t="shared" si="100"/>
        <v>-TEXT 17131.149751473,295 3.5 0 α=19.84° </v>
      </c>
      <c r="BI155" t="str">
        <f t="shared" si="101"/>
        <v>-TEXT 17131.149751473,290 3.5 0 T=13.99 </v>
      </c>
      <c r="BJ155" t="str">
        <f t="shared" si="102"/>
        <v>-TEXT 17131.149751473,285 3.5 0 S=27.70 </v>
      </c>
    </row>
    <row r="156" spans="1:62">
      <c r="A156">
        <v>0</v>
      </c>
      <c r="B156">
        <v>155</v>
      </c>
      <c r="C156" t="s">
        <v>164</v>
      </c>
      <c r="D156">
        <v>465484.0095</v>
      </c>
      <c r="E156">
        <v>3385319.5807</v>
      </c>
      <c r="F156">
        <v>40</v>
      </c>
      <c r="G156">
        <f t="shared" si="103"/>
        <v>28.573</v>
      </c>
      <c r="H156">
        <f t="shared" si="104"/>
        <v>10.1858356245244</v>
      </c>
      <c r="I156">
        <f t="shared" si="105"/>
        <v>19.9477170868936</v>
      </c>
      <c r="J156">
        <f t="shared" si="106"/>
        <v>154.069574703546</v>
      </c>
      <c r="K156" s="40">
        <f t="shared" si="107"/>
        <v>34404.043183583</v>
      </c>
      <c r="L156" s="40">
        <f t="shared" si="108"/>
        <v>34414.0170421264</v>
      </c>
      <c r="M156" s="40">
        <f t="shared" si="109"/>
        <v>34423.9909006699</v>
      </c>
      <c r="N156">
        <v>461.462</v>
      </c>
      <c r="O156">
        <v>457.493</v>
      </c>
      <c r="P156">
        <v>0.001</v>
      </c>
      <c r="Q156" s="39">
        <f t="shared" si="86"/>
        <v>465475.167962681</v>
      </c>
      <c r="R156" s="39">
        <f t="shared" si="87"/>
        <v>3385324.63821571</v>
      </c>
      <c r="S156" s="39">
        <f t="shared" si="110"/>
        <v>465484.350287785</v>
      </c>
      <c r="T156" s="39">
        <f t="shared" si="111"/>
        <v>3385320.81087106</v>
      </c>
      <c r="U156" s="39">
        <f t="shared" si="112"/>
        <v>465494.193109985</v>
      </c>
      <c r="V156" s="39">
        <f t="shared" si="113"/>
        <v>3385319.36777974</v>
      </c>
      <c r="AI156" t="str">
        <f t="array" ref="AI156">IFERROR(INDEX($L$2:$L$805,SMALL(IF(ISNUMBER(FIND($AH$2,$C$2:$C$805)),ROW($2:$805)-1,4^8),ROW(A155)))&amp;"","")</f>
        <v>109105.749982704</v>
      </c>
      <c r="AJ156" t="str">
        <f t="array" ref="AJ156">IFERROR(INDEX($C$2:$C$805,SMALL(IF(ISNUMBER(FIND($AH$2,$C$2:$C$805)),ROW($2:$805)-1,4^8),ROW(B155)))&amp;"","")</f>
        <v>杨家湾隧出</v>
      </c>
      <c r="AS156" t="str">
        <f>"-text"&amp;" "&amp;D156&amp;","&amp;E156&amp;" "&amp;"10"&amp;" "&amp;"0"&amp;" "&amp;C156</f>
        <v>-text 465484.0095,3385319.5807 10 0 IP82</v>
      </c>
      <c r="AT156" t="str">
        <f t="shared" si="88"/>
        <v>465484.0095,3385319.5807</v>
      </c>
      <c r="AV156">
        <f t="shared" si="89"/>
        <v>462.993</v>
      </c>
      <c r="AX156" t="str">
        <f t="shared" si="90"/>
        <v>pl 17207.0085210632,279 17207.0085210632,400 </v>
      </c>
      <c r="AY156" t="str">
        <f t="shared" si="91"/>
        <v>17207.0085210632,457.493</v>
      </c>
      <c r="AZ156" t="str">
        <f t="shared" si="92"/>
        <v>17207.0085210632,461.462</v>
      </c>
      <c r="BA156" t="str">
        <f t="shared" si="93"/>
        <v>17207.0085210632,462.993</v>
      </c>
      <c r="BB156" t="str">
        <f t="shared" si="94"/>
        <v>-text 17206.0085210632,337 3.5 90 457.493 </v>
      </c>
      <c r="BC156" t="str">
        <f t="shared" si="95"/>
        <v>-text 17206.0085210632,320 3.5 90 462.993 </v>
      </c>
      <c r="BD156" t="str">
        <f t="shared" si="96"/>
        <v>-text 17206.0085210632,306 3.5 90 461.462 </v>
      </c>
      <c r="BE156" t="str">
        <f t="shared" si="97"/>
        <v>-text 17206.0085210632,352 3.5 90 ZG34+414.017 </v>
      </c>
      <c r="BF156" t="str">
        <f t="shared" si="98"/>
        <v>-text 17206.0085210632,280 3.5 90 IP82 </v>
      </c>
      <c r="BG156" t="str">
        <f t="shared" si="99"/>
        <v>-TEXT 17208.0085210632,300 3.5 0 R=40</v>
      </c>
      <c r="BH156" t="str">
        <f t="shared" si="100"/>
        <v>-TEXT 17208.0085210632,295 3.5 0 α=28.57° </v>
      </c>
      <c r="BI156" t="str">
        <f t="shared" si="101"/>
        <v>-TEXT 17208.0085210632,290 3.5 0 T=10.19 </v>
      </c>
      <c r="BJ156" t="str">
        <f t="shared" si="102"/>
        <v>-TEXT 17208.0085210632,285 3.5 0 S=19.95 </v>
      </c>
    </row>
    <row r="157" spans="1:62">
      <c r="A157">
        <v>2</v>
      </c>
      <c r="B157">
        <v>156</v>
      </c>
      <c r="C157" t="str">
        <f>Sheet1!C145</f>
        <v>唐家湾2#渡槽进</v>
      </c>
      <c r="D157">
        <v>465502.3086</v>
      </c>
      <c r="E157">
        <v>3385319.1981</v>
      </c>
      <c r="G157">
        <f t="shared" si="103"/>
        <v>0</v>
      </c>
      <c r="H157">
        <f t="shared" si="104"/>
        <v>0</v>
      </c>
      <c r="I157">
        <f t="shared" si="105"/>
        <v>0</v>
      </c>
      <c r="J157">
        <f t="shared" si="106"/>
        <v>18.3030992886418</v>
      </c>
      <c r="K157" s="40">
        <f t="shared" si="107"/>
        <v>34432.108164334</v>
      </c>
      <c r="L157" s="40">
        <f t="shared" si="108"/>
        <v>34432.108164334</v>
      </c>
      <c r="M157" s="40">
        <f t="shared" si="109"/>
        <v>34432.108164334</v>
      </c>
      <c r="N157">
        <v>461.338</v>
      </c>
      <c r="O157">
        <v>457.455</v>
      </c>
      <c r="P157">
        <v>0</v>
      </c>
      <c r="Q157" s="39">
        <f t="shared" si="86"/>
        <v>465502.3086</v>
      </c>
      <c r="R157" s="39">
        <f t="shared" si="87"/>
        <v>3385319.1981</v>
      </c>
      <c r="S157" s="39" t="str">
        <f t="shared" si="110"/>
        <v> </v>
      </c>
      <c r="T157" s="39" t="str">
        <f t="shared" si="111"/>
        <v> </v>
      </c>
      <c r="U157" s="39" t="str">
        <f t="shared" si="112"/>
        <v> </v>
      </c>
      <c r="V157" s="39" t="str">
        <f t="shared" si="113"/>
        <v> </v>
      </c>
      <c r="AI157" t="str">
        <f t="array" ref="AI157">IFERROR(INDEX($L$2:$L$805,SMALL(IF(ISNUMBER(FIND($AH$2,$C$2:$C$805)),ROW($2:$805)-1,4^8),ROW(A156)))&amp;"","")</f>
        <v>109846.293955331</v>
      </c>
      <c r="AJ157" t="str">
        <f t="array" ref="AJ157">IFERROR(INDEX($C$2:$C$805,SMALL(IF(ISNUMBER(FIND($AH$2,$C$2:$C$805)),ROW($2:$805)-1,4^8),ROW(B156)))&amp;"","")</f>
        <v>桂花厅渡槽出</v>
      </c>
      <c r="AT157" t="str">
        <f t="shared" si="88"/>
        <v>465502.3086,3385319.1981</v>
      </c>
      <c r="AV157">
        <f t="shared" si="89"/>
        <v>462.055</v>
      </c>
      <c r="AX157" t="str">
        <f t="shared" si="90"/>
        <v>pl 17216.054082167,279 17216.054082167,400 </v>
      </c>
      <c r="AY157" t="str">
        <f t="shared" si="91"/>
        <v>17216.054082167,457.455</v>
      </c>
      <c r="AZ157" t="str">
        <f t="shared" si="92"/>
        <v>17216.054082167,461.338</v>
      </c>
      <c r="BA157" t="str">
        <f t="shared" si="93"/>
        <v>17216.054082167,462.055</v>
      </c>
      <c r="BB157" t="str">
        <f t="shared" si="94"/>
        <v>-text 17215.054082167,337 3.5 90 457.455 </v>
      </c>
      <c r="BC157" t="str">
        <f t="shared" si="95"/>
        <v>-text 17215.054082167,320 3.5 90 462.055 </v>
      </c>
      <c r="BD157" t="str">
        <f t="shared" si="96"/>
        <v>-text 17215.054082167,306 3.5 90 461.338 </v>
      </c>
      <c r="BE157" t="str">
        <f t="shared" si="97"/>
        <v>-text 17215.054082167,352 3.5 90 ZG34+432.108 </v>
      </c>
      <c r="BF157" t="str">
        <f t="shared" si="98"/>
        <v>-text 17215.054082167,280 3.5 90 唐家湾2#渡槽进 </v>
      </c>
      <c r="BG157" t="str">
        <f t="shared" si="99"/>
        <v/>
      </c>
      <c r="BH157" t="str">
        <f t="shared" si="100"/>
        <v> </v>
      </c>
      <c r="BI157" t="str">
        <f t="shared" si="101"/>
        <v> </v>
      </c>
      <c r="BJ157" t="str">
        <f t="shared" si="102"/>
        <v> </v>
      </c>
    </row>
    <row r="158" spans="1:62">
      <c r="A158">
        <v>2</v>
      </c>
      <c r="B158">
        <v>157</v>
      </c>
      <c r="C158" t="str">
        <f>Sheet1!C146</f>
        <v>唐家湾2#渡槽出</v>
      </c>
      <c r="D158">
        <v>465571.1375</v>
      </c>
      <c r="E158">
        <v>3385317.759</v>
      </c>
      <c r="G158">
        <f t="shared" si="103"/>
        <v>0</v>
      </c>
      <c r="H158">
        <f t="shared" si="104"/>
        <v>0</v>
      </c>
      <c r="I158">
        <f t="shared" si="105"/>
        <v>0</v>
      </c>
      <c r="J158">
        <f t="shared" si="106"/>
        <v>68.8439429726631</v>
      </c>
      <c r="K158" s="40">
        <f t="shared" si="107"/>
        <v>34500.9521073067</v>
      </c>
      <c r="L158" s="40">
        <f t="shared" si="108"/>
        <v>34500.9521073067</v>
      </c>
      <c r="M158" s="40">
        <f t="shared" si="109"/>
        <v>34500.9521073067</v>
      </c>
      <c r="N158">
        <v>461.307</v>
      </c>
      <c r="O158">
        <v>457.424</v>
      </c>
      <c r="P158">
        <v>0</v>
      </c>
      <c r="Q158" s="39">
        <f t="shared" si="86"/>
        <v>465571.1375</v>
      </c>
      <c r="R158" s="39">
        <f t="shared" si="87"/>
        <v>3385317.759</v>
      </c>
      <c r="S158" s="39" t="str">
        <f t="shared" si="110"/>
        <v> </v>
      </c>
      <c r="T158" s="39" t="str">
        <f t="shared" si="111"/>
        <v> </v>
      </c>
      <c r="U158" s="39" t="str">
        <f t="shared" si="112"/>
        <v> </v>
      </c>
      <c r="V158" s="39" t="str">
        <f t="shared" si="113"/>
        <v> </v>
      </c>
      <c r="AI158" t="str">
        <f t="array" ref="AI158">IFERROR(INDEX($L$2:$L$805,SMALL(IF(ISNUMBER(FIND($AH$2,$C$2:$C$805)),ROW($2:$805)-1,4^8),ROW(A157)))&amp;"","")</f>
        <v>110005.202173474</v>
      </c>
      <c r="AJ158" t="str">
        <f t="array" ref="AJ158">IFERROR(INDEX($C$2:$C$805,SMALL(IF(ISNUMBER(FIND($AH$2,$C$2:$C$805)),ROW($2:$805)-1,4^8),ROW(B157)))&amp;"","")</f>
        <v>仁义坝渡槽出</v>
      </c>
      <c r="AT158" t="str">
        <f t="shared" si="88"/>
        <v>465571.1375,3385317.759</v>
      </c>
      <c r="AV158">
        <f t="shared" si="89"/>
        <v>462.024</v>
      </c>
      <c r="AX158" t="str">
        <f t="shared" si="90"/>
        <v>pl 17250.4760536533,279 17250.4760536533,400 </v>
      </c>
      <c r="AY158" t="str">
        <f t="shared" si="91"/>
        <v>17250.4760536533,457.424</v>
      </c>
      <c r="AZ158" t="str">
        <f t="shared" si="92"/>
        <v>17250.4760536533,461.307</v>
      </c>
      <c r="BA158" t="str">
        <f t="shared" si="93"/>
        <v>17250.4760536533,462.024</v>
      </c>
      <c r="BB158" t="str">
        <f t="shared" si="94"/>
        <v>-text 17249.4760536533,337 3.5 90 457.424 </v>
      </c>
      <c r="BC158" t="str">
        <f t="shared" si="95"/>
        <v>-text 17249.4760536533,320 3.5 90 462.024 </v>
      </c>
      <c r="BD158" t="str">
        <f t="shared" si="96"/>
        <v>-text 17249.4760536533,306 3.5 90 461.307 </v>
      </c>
      <c r="BE158" t="str">
        <f t="shared" si="97"/>
        <v>-text 17249.4760536533,352 3.5 90 ZG34+500.952 </v>
      </c>
      <c r="BF158" t="str">
        <f t="shared" si="98"/>
        <v>-text 17249.4760536533,280 3.5 90 唐家湾2#渡槽出 </v>
      </c>
      <c r="BG158" t="str">
        <f t="shared" si="99"/>
        <v/>
      </c>
      <c r="BH158" t="str">
        <f t="shared" si="100"/>
        <v> </v>
      </c>
      <c r="BI158" t="str">
        <f t="shared" si="101"/>
        <v> </v>
      </c>
      <c r="BJ158" t="str">
        <f t="shared" si="102"/>
        <v> </v>
      </c>
    </row>
    <row r="159" spans="1:62">
      <c r="A159">
        <v>0</v>
      </c>
      <c r="B159">
        <v>158</v>
      </c>
      <c r="C159" t="s">
        <v>167</v>
      </c>
      <c r="D159">
        <v>465679.0483</v>
      </c>
      <c r="E159">
        <v>3385315.5027</v>
      </c>
      <c r="F159">
        <v>80</v>
      </c>
      <c r="G159">
        <f t="shared" si="103"/>
        <v>24.548</v>
      </c>
      <c r="H159">
        <f t="shared" si="104"/>
        <v>17.4047959309447</v>
      </c>
      <c r="I159">
        <f t="shared" si="105"/>
        <v>34.2754739823654</v>
      </c>
      <c r="J159">
        <f t="shared" si="106"/>
        <v>107.934385838493</v>
      </c>
      <c r="K159" s="40">
        <f t="shared" si="107"/>
        <v>34591.4816972142</v>
      </c>
      <c r="L159" s="40">
        <f t="shared" si="108"/>
        <v>34608.6194342054</v>
      </c>
      <c r="M159" s="40">
        <f t="shared" si="109"/>
        <v>34625.7571711966</v>
      </c>
      <c r="N159">
        <v>461.35</v>
      </c>
      <c r="O159">
        <v>457.381</v>
      </c>
      <c r="P159">
        <v>0.001</v>
      </c>
      <c r="Q159" s="39">
        <f t="shared" si="86"/>
        <v>465661.647307368</v>
      </c>
      <c r="R159" s="39">
        <f t="shared" si="87"/>
        <v>3385315.86653624</v>
      </c>
      <c r="S159" s="39">
        <f t="shared" si="110"/>
        <v>465678.612328154</v>
      </c>
      <c r="T159" s="39">
        <f t="shared" si="111"/>
        <v>3385313.68279563</v>
      </c>
      <c r="U159" s="39">
        <f t="shared" si="112"/>
        <v>465694.725336013</v>
      </c>
      <c r="V159" s="39">
        <f t="shared" si="113"/>
        <v>3385307.9424445</v>
      </c>
      <c r="AI159" t="str">
        <f t="array" ref="AI159">IFERROR(INDEX($L$2:$L$805,SMALL(IF(ISNUMBER(FIND($AH$2,$C$2:$C$805)),ROW($2:$805)-1,4^8),ROW(A158)))&amp;"","")</f>
        <v>110115.617983697</v>
      </c>
      <c r="AJ159" t="str">
        <f t="array" ref="AJ159">IFERROR(INDEX($C$2:$C$805,SMALL(IF(ISNUMBER(FIND($AH$2,$C$2:$C$805)),ROW($2:$805)-1,4^8),ROW(B158)))&amp;"","")</f>
        <v>仁义坝隧出</v>
      </c>
      <c r="AS159" t="str">
        <f>"-text"&amp;" "&amp;D159&amp;","&amp;E159&amp;" "&amp;"10"&amp;" "&amp;"0"&amp;" "&amp;C159</f>
        <v>-text 465679.0483,3385315.5027 10 0 IP83</v>
      </c>
      <c r="AT159" t="str">
        <f t="shared" si="88"/>
        <v>465679.0483,3385315.5027</v>
      </c>
      <c r="AV159">
        <f t="shared" si="89"/>
        <v>462.881</v>
      </c>
      <c r="AX159" t="str">
        <f t="shared" si="90"/>
        <v>pl 17304.3097171027,279 17304.3097171027,400 </v>
      </c>
      <c r="AY159" t="str">
        <f t="shared" si="91"/>
        <v>17304.3097171027,457.381</v>
      </c>
      <c r="AZ159" t="str">
        <f t="shared" si="92"/>
        <v>17304.3097171027,461.35</v>
      </c>
      <c r="BA159" t="str">
        <f t="shared" si="93"/>
        <v>17304.3097171027,462.881</v>
      </c>
      <c r="BB159" t="str">
        <f t="shared" si="94"/>
        <v>-text 17303.3097171027,337 3.5 90 457.381 </v>
      </c>
      <c r="BC159" t="str">
        <f t="shared" si="95"/>
        <v>-text 17303.3097171027,320 3.5 90 462.881 </v>
      </c>
      <c r="BD159" t="str">
        <f t="shared" si="96"/>
        <v>-text 17303.3097171027,306 3.5 90 461.350 </v>
      </c>
      <c r="BE159" t="str">
        <f t="shared" si="97"/>
        <v>-text 17303.3097171027,352 3.5 90 ZG34+608.619 </v>
      </c>
      <c r="BF159" t="str">
        <f t="shared" si="98"/>
        <v>-text 17303.3097171027,280 3.5 90 IP83 </v>
      </c>
      <c r="BG159" t="str">
        <f t="shared" si="99"/>
        <v>-TEXT 17305.3097171027,300 3.5 0 R=80</v>
      </c>
      <c r="BH159" t="str">
        <f t="shared" si="100"/>
        <v>-TEXT 17305.3097171027,295 3.5 0 α=24.55° </v>
      </c>
      <c r="BI159" t="str">
        <f t="shared" si="101"/>
        <v>-TEXT 17305.3097171027,290 3.5 0 T=17.40 </v>
      </c>
      <c r="BJ159" t="str">
        <f t="shared" si="102"/>
        <v>-TEXT 17305.3097171027,285 3.5 0 S=34.28 </v>
      </c>
    </row>
    <row r="160" spans="1:62">
      <c r="A160">
        <v>0</v>
      </c>
      <c r="B160">
        <v>159</v>
      </c>
      <c r="C160" t="s">
        <v>168</v>
      </c>
      <c r="D160">
        <v>465841.2765</v>
      </c>
      <c r="E160">
        <v>3385237.2681</v>
      </c>
      <c r="F160">
        <v>80</v>
      </c>
      <c r="G160">
        <f t="shared" si="103"/>
        <v>50.482</v>
      </c>
      <c r="H160">
        <f t="shared" si="104"/>
        <v>37.7150890627292</v>
      </c>
      <c r="I160">
        <f t="shared" si="105"/>
        <v>70.4861690393422</v>
      </c>
      <c r="J160">
        <f t="shared" si="106"/>
        <v>180.10730554977</v>
      </c>
      <c r="K160" s="40">
        <f t="shared" si="107"/>
        <v>34750.7445917527</v>
      </c>
      <c r="L160" s="40">
        <f t="shared" si="108"/>
        <v>34785.9876762724</v>
      </c>
      <c r="M160" s="40">
        <f t="shared" si="109"/>
        <v>34821.230760792</v>
      </c>
      <c r="N160">
        <v>461.315</v>
      </c>
      <c r="O160">
        <v>457.346</v>
      </c>
      <c r="P160">
        <v>0.003</v>
      </c>
      <c r="Q160" s="39">
        <f t="shared" ref="Q160:Q188" si="115">IF(G160=0,D160,D159+(D160-D159)/J160*(J160-H160))</f>
        <v>465807.305357115</v>
      </c>
      <c r="R160" s="39">
        <f t="shared" ref="R160:R188" si="116">IF(G160=0,E160,E159+(E160-E159)/J160*(J160-H160))</f>
        <v>3385253.65069424</v>
      </c>
      <c r="S160" s="39">
        <f t="shared" si="110"/>
        <v>465834.715111826</v>
      </c>
      <c r="T160" s="39">
        <f t="shared" si="111"/>
        <v>3385231.95228213</v>
      </c>
      <c r="U160" s="39">
        <f t="shared" si="112"/>
        <v>465850.255024796</v>
      </c>
      <c r="V160" s="39">
        <f t="shared" si="113"/>
        <v>3385200.63732011</v>
      </c>
      <c r="AI160" t="str">
        <f t="array" ref="AI160">IFERROR(INDEX($L$2:$L$805,SMALL(IF(ISNUMBER(FIND($AH$2,$C$2:$C$805)),ROW($2:$805)-1,4^8),ROW(A159)))&amp;"","")</f>
        <v>110414.35257106</v>
      </c>
      <c r="AJ160" t="str">
        <f t="array" ref="AJ160">IFERROR(INDEX($C$2:$C$805,SMALL(IF(ISNUMBER(FIND($AH$2,$C$2:$C$805)),ROW($2:$805)-1,4^8),ROW(B159)))&amp;"","")</f>
        <v>长坡隧出</v>
      </c>
      <c r="AS160" t="str">
        <f>"-text"&amp;" "&amp;D160&amp;","&amp;E160&amp;" "&amp;"10"&amp;" "&amp;"0"&amp;" "&amp;C160</f>
        <v>-text 465841.2765,3385237.2681 10 0 IP84</v>
      </c>
      <c r="AT160" t="str">
        <f t="shared" si="88"/>
        <v>465841.2765,3385237.2681</v>
      </c>
      <c r="AV160">
        <f t="shared" si="89"/>
        <v>462.846</v>
      </c>
      <c r="AX160" t="str">
        <f t="shared" si="90"/>
        <v>pl 17392.9938381362,279 17392.9938381362,400 </v>
      </c>
      <c r="AY160" t="str">
        <f t="shared" si="91"/>
        <v>17392.9938381362,457.346</v>
      </c>
      <c r="AZ160" t="str">
        <f t="shared" si="92"/>
        <v>17392.9938381362,461.315</v>
      </c>
      <c r="BA160" t="str">
        <f t="shared" si="93"/>
        <v>17392.9938381362,462.846</v>
      </c>
      <c r="BB160" t="str">
        <f t="shared" si="94"/>
        <v>-text 17391.9938381362,337 3.5 90 457.346 </v>
      </c>
      <c r="BC160" t="str">
        <f t="shared" si="95"/>
        <v>-text 17391.9938381362,320 3.5 90 462.846 </v>
      </c>
      <c r="BD160" t="str">
        <f t="shared" si="96"/>
        <v>-text 17391.9938381362,306 3.5 90 461.315 </v>
      </c>
      <c r="BE160" t="str">
        <f t="shared" si="97"/>
        <v>-text 17391.9938381362,352 3.5 90 ZG34+785.988 </v>
      </c>
      <c r="BF160" t="str">
        <f t="shared" si="98"/>
        <v>-text 17391.9938381362,280 3.5 90 IP84 </v>
      </c>
      <c r="BG160" t="str">
        <f t="shared" si="99"/>
        <v>-TEXT 17393.9938381362,300 3.5 0 R=80</v>
      </c>
      <c r="BH160" t="str">
        <f t="shared" si="100"/>
        <v>-TEXT 17393.9938381362,295 3.5 0 α=50.48° </v>
      </c>
      <c r="BI160" t="str">
        <f t="shared" si="101"/>
        <v>-TEXT 17393.9938381362,290 3.5 0 T=37.72 </v>
      </c>
      <c r="BJ160" t="str">
        <f t="shared" si="102"/>
        <v>-TEXT 17393.9938381362,285 3.5 0 S=70.49 </v>
      </c>
    </row>
    <row r="161" spans="1:62">
      <c r="A161">
        <v>0</v>
      </c>
      <c r="B161">
        <v>160</v>
      </c>
      <c r="C161" t="s">
        <v>169</v>
      </c>
      <c r="D161">
        <v>465882.3205</v>
      </c>
      <c r="E161">
        <v>3385069.8159</v>
      </c>
      <c r="F161">
        <v>80</v>
      </c>
      <c r="G161">
        <f t="shared" si="103"/>
        <v>31.887</v>
      </c>
      <c r="H161">
        <f t="shared" si="104"/>
        <v>22.8542796110524</v>
      </c>
      <c r="I161">
        <f t="shared" si="105"/>
        <v>44.5226510866745</v>
      </c>
      <c r="J161">
        <f t="shared" si="106"/>
        <v>172.408959224566</v>
      </c>
      <c r="K161" s="40">
        <f t="shared" si="107"/>
        <v>34933.0703513428</v>
      </c>
      <c r="L161" s="40">
        <f t="shared" si="108"/>
        <v>34955.3316768861</v>
      </c>
      <c r="M161" s="40">
        <f t="shared" si="109"/>
        <v>34977.5930024295</v>
      </c>
      <c r="N161">
        <v>461.281</v>
      </c>
      <c r="O161">
        <v>457.312</v>
      </c>
      <c r="P161">
        <v>0.002</v>
      </c>
      <c r="Q161" s="39">
        <f t="shared" si="115"/>
        <v>465876.879767357</v>
      </c>
      <c r="R161" s="39">
        <f t="shared" si="116"/>
        <v>3385092.01311885</v>
      </c>
      <c r="S161" s="39">
        <f t="shared" si="110"/>
        <v>465885.100103672</v>
      </c>
      <c r="T161" s="39">
        <f t="shared" si="111"/>
        <v>3385071.40237035</v>
      </c>
      <c r="U161" s="39">
        <f t="shared" si="112"/>
        <v>465898.665801511</v>
      </c>
      <c r="V161" s="39">
        <f t="shared" si="113"/>
        <v>3385053.84250916</v>
      </c>
      <c r="AI161" t="str">
        <f t="array" ref="AI161">IFERROR(INDEX($L$2:$L$805,SMALL(IF(ISNUMBER(FIND($AH$2,$C$2:$C$805)),ROW($2:$805)-1,4^8),ROW(A160)))&amp;"","")</f>
        <v>110980.766543992</v>
      </c>
      <c r="AJ161" t="str">
        <f t="array" ref="AJ161">IFERROR(INDEX($C$2:$C$805,SMALL(IF(ISNUMBER(FIND($AH$2,$C$2:$C$805)),ROW($2:$805)-1,4^8),ROW(B160)))&amp;"","")</f>
        <v>秦家湾渡槽出</v>
      </c>
      <c r="AS161" t="str">
        <f>"-text"&amp;" "&amp;D161&amp;","&amp;E161&amp;" "&amp;"10"&amp;" "&amp;"0"&amp;" "&amp;C161</f>
        <v>-text 465882.3205,3385069.8159 10 0 IP85</v>
      </c>
      <c r="AT161" t="str">
        <f t="shared" si="88"/>
        <v>465882.3205,3385069.8159</v>
      </c>
      <c r="AV161">
        <f t="shared" si="89"/>
        <v>462.812</v>
      </c>
      <c r="AX161" t="str">
        <f t="shared" si="90"/>
        <v>pl 17477.6658384431,279 17477.6658384431,400 </v>
      </c>
      <c r="AY161" t="str">
        <f t="shared" si="91"/>
        <v>17477.6658384431,457.312</v>
      </c>
      <c r="AZ161" t="str">
        <f t="shared" si="92"/>
        <v>17477.6658384431,461.281</v>
      </c>
      <c r="BA161" t="str">
        <f t="shared" si="93"/>
        <v>17477.6658384431,462.812</v>
      </c>
      <c r="BB161" t="str">
        <f t="shared" si="94"/>
        <v>-text 17476.6658384431,337 3.5 90 457.312 </v>
      </c>
      <c r="BC161" t="str">
        <f t="shared" si="95"/>
        <v>-text 17476.6658384431,320 3.5 90 462.812 </v>
      </c>
      <c r="BD161" t="str">
        <f t="shared" si="96"/>
        <v>-text 17476.6658384431,306 3.5 90 461.281 </v>
      </c>
      <c r="BE161" t="str">
        <f t="shared" si="97"/>
        <v>-text 17476.6658384431,352 3.5 90 ZG34+955.332 </v>
      </c>
      <c r="BF161" t="str">
        <f t="shared" si="98"/>
        <v>-text 17476.6658384431,280 3.5 90 IP85 </v>
      </c>
      <c r="BG161" t="str">
        <f t="shared" si="99"/>
        <v>-TEXT 17478.6658384431,300 3.5 0 R=80</v>
      </c>
      <c r="BH161" t="str">
        <f t="shared" si="100"/>
        <v>-TEXT 17478.6658384431,295 3.5 0 α=31.89° </v>
      </c>
      <c r="BI161" t="str">
        <f t="shared" si="101"/>
        <v>-TEXT 17478.6658384431,290 3.5 0 T=22.85 </v>
      </c>
      <c r="BJ161" t="str">
        <f t="shared" si="102"/>
        <v>-TEXT 17478.6658384431,285 3.5 0 S=44.52 </v>
      </c>
    </row>
    <row r="162" spans="1:62">
      <c r="A162">
        <v>0</v>
      </c>
      <c r="B162">
        <v>161</v>
      </c>
      <c r="C162" t="s">
        <v>170</v>
      </c>
      <c r="D162">
        <v>466152.1311</v>
      </c>
      <c r="E162">
        <v>3384806.1444</v>
      </c>
      <c r="F162">
        <v>80</v>
      </c>
      <c r="G162">
        <f t="shared" si="103"/>
        <v>32.28</v>
      </c>
      <c r="H162">
        <f t="shared" si="104"/>
        <v>23.1513291637267</v>
      </c>
      <c r="I162">
        <f t="shared" si="105"/>
        <v>45.0713826035016</v>
      </c>
      <c r="J162">
        <f t="shared" si="106"/>
        <v>377.253786971674</v>
      </c>
      <c r="K162" s="40">
        <f t="shared" si="107"/>
        <v>35308.8411806264</v>
      </c>
      <c r="L162" s="40">
        <f t="shared" si="108"/>
        <v>35331.3768719281</v>
      </c>
      <c r="M162" s="40">
        <f t="shared" si="109"/>
        <v>35353.9125632299</v>
      </c>
      <c r="N162">
        <v>461.209</v>
      </c>
      <c r="O162">
        <v>457.24</v>
      </c>
      <c r="P162">
        <v>0.002</v>
      </c>
      <c r="Q162" s="39">
        <f t="shared" si="115"/>
        <v>466135.573349679</v>
      </c>
      <c r="R162" s="39">
        <f t="shared" si="116"/>
        <v>3384822.32540573</v>
      </c>
      <c r="S162" s="39">
        <f t="shared" si="110"/>
        <v>466149.274662888</v>
      </c>
      <c r="T162" s="39">
        <f t="shared" si="111"/>
        <v>3384804.52703179</v>
      </c>
      <c r="U162" s="39">
        <f t="shared" si="112"/>
        <v>466157.488272996</v>
      </c>
      <c r="V162" s="39">
        <f t="shared" si="113"/>
        <v>3384783.62141753</v>
      </c>
      <c r="AI162" t="str">
        <f t="array" ref="AI162">IFERROR(INDEX($L$2:$L$805,SMALL(IF(ISNUMBER(FIND($AH$2,$C$2:$C$805)),ROW($2:$805)-1,4^8),ROW(A161)))&amp;"","")</f>
        <v>111252.388477077</v>
      </c>
      <c r="AJ162" t="str">
        <f t="array" ref="AJ162">IFERROR(INDEX($C$2:$C$805,SMALL(IF(ISNUMBER(FIND($AH$2,$C$2:$C$805)),ROW($2:$805)-1,4^8),ROW(B161)))&amp;"","")</f>
        <v>小沟湾渡槽出</v>
      </c>
      <c r="AS162" t="str">
        <f>"-text"&amp;" "&amp;D162&amp;","&amp;E162&amp;" "&amp;"10"&amp;" "&amp;"0"&amp;" "&amp;C162</f>
        <v>-text 466152.1311,3384806.1444 10 0 IP86</v>
      </c>
      <c r="AT162" t="str">
        <f t="shared" si="88"/>
        <v>466152.1311,3384806.1444</v>
      </c>
      <c r="AV162">
        <f t="shared" si="89"/>
        <v>462.74</v>
      </c>
      <c r="AX162" t="str">
        <f t="shared" si="90"/>
        <v>pl 17665.6884359641,279 17665.6884359641,400 </v>
      </c>
      <c r="AY162" t="str">
        <f t="shared" si="91"/>
        <v>17665.6884359641,457.24</v>
      </c>
      <c r="AZ162" t="str">
        <f t="shared" si="92"/>
        <v>17665.6884359641,461.209</v>
      </c>
      <c r="BA162" t="str">
        <f t="shared" si="93"/>
        <v>17665.6884359641,462.74</v>
      </c>
      <c r="BB162" t="str">
        <f t="shared" si="94"/>
        <v>-text 17664.6884359641,337 3.5 90 457.240 </v>
      </c>
      <c r="BC162" t="str">
        <f t="shared" si="95"/>
        <v>-text 17664.6884359641,320 3.5 90 462.740 </v>
      </c>
      <c r="BD162" t="str">
        <f t="shared" si="96"/>
        <v>-text 17664.6884359641,306 3.5 90 461.209 </v>
      </c>
      <c r="BE162" t="str">
        <f t="shared" si="97"/>
        <v>-text 17664.6884359641,352 3.5 90 ZG35+331.377 </v>
      </c>
      <c r="BF162" t="str">
        <f t="shared" si="98"/>
        <v>-text 17664.6884359641,280 3.5 90 IP86 </v>
      </c>
      <c r="BG162" t="str">
        <f t="shared" si="99"/>
        <v>-TEXT 17666.6884359641,300 3.5 0 R=80</v>
      </c>
      <c r="BH162" t="str">
        <f t="shared" si="100"/>
        <v>-TEXT 17666.6884359641,295 3.5 0 α=32.28° </v>
      </c>
      <c r="BI162" t="str">
        <f t="shared" si="101"/>
        <v>-TEXT 17666.6884359641,290 3.5 0 T=23.15 </v>
      </c>
      <c r="BJ162" t="str">
        <f t="shared" si="102"/>
        <v>-TEXT 17666.6884359641,285 3.5 0 S=45.07 </v>
      </c>
    </row>
    <row r="163" spans="1:62">
      <c r="A163">
        <v>0</v>
      </c>
      <c r="B163">
        <v>162</v>
      </c>
      <c r="C163" t="s">
        <v>171</v>
      </c>
      <c r="D163">
        <v>466202.6279</v>
      </c>
      <c r="E163">
        <v>3384593.8424</v>
      </c>
      <c r="F163">
        <v>80</v>
      </c>
      <c r="G163">
        <f t="shared" si="103"/>
        <v>20.029</v>
      </c>
      <c r="H163">
        <f t="shared" si="104"/>
        <v>14.1270346749183</v>
      </c>
      <c r="I163">
        <f t="shared" si="105"/>
        <v>27.9657596705555</v>
      </c>
      <c r="J163">
        <f t="shared" si="106"/>
        <v>218.224806138767</v>
      </c>
      <c r="K163" s="40">
        <f t="shared" si="107"/>
        <v>35534.85900553</v>
      </c>
      <c r="L163" s="40">
        <f t="shared" si="108"/>
        <v>35548.8418853653</v>
      </c>
      <c r="M163" s="40">
        <f t="shared" si="109"/>
        <v>35562.8247652006</v>
      </c>
      <c r="N163">
        <v>461.168</v>
      </c>
      <c r="O163">
        <v>457.199</v>
      </c>
      <c r="P163">
        <v>0.001</v>
      </c>
      <c r="Q163" s="39">
        <f t="shared" si="115"/>
        <v>466199.358931375</v>
      </c>
      <c r="R163" s="39">
        <f t="shared" si="116"/>
        <v>3384607.58601498</v>
      </c>
      <c r="S163" s="39">
        <f t="shared" si="110"/>
        <v>466201.392276407</v>
      </c>
      <c r="T163" s="39">
        <f t="shared" si="111"/>
        <v>3384593.76975026</v>
      </c>
      <c r="U163" s="39">
        <f t="shared" si="112"/>
        <v>466200.992026729</v>
      </c>
      <c r="V163" s="39">
        <f t="shared" si="113"/>
        <v>3384579.81039988</v>
      </c>
      <c r="AI163" t="str">
        <f t="array" ref="AI163">IFERROR(INDEX($L$2:$L$805,SMALL(IF(ISNUMBER(FIND($AH$2,$C$2:$C$805)),ROW($2:$805)-1,4^8),ROW(A162)))&amp;"","")</f>
        <v>111700.983820236</v>
      </c>
      <c r="AJ163" t="str">
        <f t="array" ref="AJ163">IFERROR(INDEX($C$2:$C$805,SMALL(IF(ISNUMBER(FIND($AH$2,$C$2:$C$805)),ROW($2:$805)-1,4^8),ROW(B162)))&amp;"","")</f>
        <v>宝堂寺渡槽出</v>
      </c>
      <c r="AS163" t="str">
        <f>"-text"&amp;" "&amp;D163&amp;","&amp;E163&amp;" "&amp;"10"&amp;" "&amp;"0"&amp;" "&amp;C163</f>
        <v>-text 466202.6279,3384593.8424 10 0 IP87</v>
      </c>
      <c r="AT163" t="str">
        <f t="shared" si="88"/>
        <v>466202.6279,3384593.8424</v>
      </c>
      <c r="AV163">
        <f t="shared" si="89"/>
        <v>462.699</v>
      </c>
      <c r="AX163" t="str">
        <f t="shared" si="90"/>
        <v>pl 17774.4209426826,279 17774.4209426826,400 </v>
      </c>
      <c r="AY163" t="str">
        <f t="shared" si="91"/>
        <v>17774.4209426826,457.199</v>
      </c>
      <c r="AZ163" t="str">
        <f t="shared" si="92"/>
        <v>17774.4209426826,461.168</v>
      </c>
      <c r="BA163" t="str">
        <f t="shared" si="93"/>
        <v>17774.4209426826,462.699</v>
      </c>
      <c r="BB163" t="str">
        <f t="shared" si="94"/>
        <v>-text 17773.4209426826,337 3.5 90 457.199 </v>
      </c>
      <c r="BC163" t="str">
        <f t="shared" si="95"/>
        <v>-text 17773.4209426826,320 3.5 90 462.699 </v>
      </c>
      <c r="BD163" t="str">
        <f t="shared" si="96"/>
        <v>-text 17773.4209426826,306 3.5 90 461.168 </v>
      </c>
      <c r="BE163" t="str">
        <f t="shared" si="97"/>
        <v>-text 17773.4209426826,352 3.5 90 ZG35+548.842 </v>
      </c>
      <c r="BF163" t="str">
        <f t="shared" si="98"/>
        <v>-text 17773.4209426826,280 3.5 90 IP87 </v>
      </c>
      <c r="BG163" t="str">
        <f t="shared" si="99"/>
        <v>-TEXT 17775.4209426826,300 3.5 0 R=80</v>
      </c>
      <c r="BH163" t="str">
        <f t="shared" si="100"/>
        <v>-TEXT 17775.4209426826,295 3.5 0 α=20.03° </v>
      </c>
      <c r="BI163" t="str">
        <f t="shared" si="101"/>
        <v>-TEXT 17775.4209426826,290 3.5 0 T=14.13 </v>
      </c>
      <c r="BJ163" t="str">
        <f t="shared" si="102"/>
        <v>-TEXT 17775.4209426826,285 3.5 0 S=27.97 </v>
      </c>
    </row>
    <row r="164" spans="1:62">
      <c r="A164">
        <v>2</v>
      </c>
      <c r="B164">
        <v>163</v>
      </c>
      <c r="C164" t="str">
        <f>Sheet1!C152</f>
        <v>干湾渡槽进</v>
      </c>
      <c r="D164">
        <v>466196.3407</v>
      </c>
      <c r="E164">
        <v>3384539.9128</v>
      </c>
      <c r="G164">
        <f t="shared" si="103"/>
        <v>0</v>
      </c>
      <c r="H164">
        <f t="shared" si="104"/>
        <v>0</v>
      </c>
      <c r="I164">
        <f t="shared" si="105"/>
        <v>0</v>
      </c>
      <c r="J164">
        <f t="shared" si="106"/>
        <v>54.2948491110453</v>
      </c>
      <c r="K164" s="40">
        <f t="shared" si="107"/>
        <v>35602.9925796367</v>
      </c>
      <c r="L164" s="40">
        <f t="shared" si="108"/>
        <v>35602.9925796367</v>
      </c>
      <c r="M164" s="40">
        <f t="shared" si="109"/>
        <v>35602.9925796367</v>
      </c>
      <c r="N164">
        <v>461.037</v>
      </c>
      <c r="O164">
        <v>457.154</v>
      </c>
      <c r="P164">
        <v>0</v>
      </c>
      <c r="Q164" s="39">
        <f t="shared" si="115"/>
        <v>466196.3407</v>
      </c>
      <c r="R164" s="39">
        <f t="shared" si="116"/>
        <v>3384539.9128</v>
      </c>
      <c r="S164" s="39" t="str">
        <f t="shared" si="110"/>
        <v> </v>
      </c>
      <c r="T164" s="39" t="str">
        <f t="shared" si="111"/>
        <v> </v>
      </c>
      <c r="U164" s="39" t="str">
        <f t="shared" si="112"/>
        <v> </v>
      </c>
      <c r="V164" s="39" t="str">
        <f t="shared" si="113"/>
        <v> </v>
      </c>
      <c r="AI164" t="str">
        <f t="array" ref="AI164">IFERROR(INDEX($L$2:$L$805,SMALL(IF(ISNUMBER(FIND($AH$2,$C$2:$C$805)),ROW($2:$805)-1,4^8),ROW(A163)))&amp;"","")</f>
        <v>112782.127660941</v>
      </c>
      <c r="AJ164" t="str">
        <f t="array" ref="AJ164">IFERROR(INDEX($C$2:$C$805,SMALL(IF(ISNUMBER(FIND($AH$2,$C$2:$C$805)),ROW($2:$805)-1,4^8),ROW(B163)))&amp;"","")</f>
        <v>窑厂湾隧出</v>
      </c>
      <c r="AT164" t="str">
        <f t="shared" si="88"/>
        <v>466196.3407,3384539.9128</v>
      </c>
      <c r="AV164">
        <f t="shared" si="89"/>
        <v>461.754</v>
      </c>
      <c r="AX164" t="str">
        <f t="shared" si="90"/>
        <v>pl 17801.4962898183,279 17801.4962898183,400 </v>
      </c>
      <c r="AY164" t="str">
        <f t="shared" si="91"/>
        <v>17801.4962898183,457.154</v>
      </c>
      <c r="AZ164" t="str">
        <f t="shared" si="92"/>
        <v>17801.4962898183,461.037</v>
      </c>
      <c r="BA164" t="str">
        <f t="shared" si="93"/>
        <v>17801.4962898183,461.754</v>
      </c>
      <c r="BB164" t="str">
        <f t="shared" si="94"/>
        <v>-text 17800.4962898183,337 3.5 90 457.154 </v>
      </c>
      <c r="BC164" t="str">
        <f t="shared" si="95"/>
        <v>-text 17800.4962898183,320 3.5 90 461.754 </v>
      </c>
      <c r="BD164" t="str">
        <f t="shared" si="96"/>
        <v>-text 17800.4962898183,306 3.5 90 461.037 </v>
      </c>
      <c r="BE164" t="str">
        <f t="shared" si="97"/>
        <v>-text 17800.4962898183,352 3.5 90 ZG35+602.993 </v>
      </c>
      <c r="BF164" t="str">
        <f t="shared" si="98"/>
        <v>-text 17800.4962898183,280 3.5 90 干湾渡槽进 </v>
      </c>
      <c r="BG164" t="str">
        <f t="shared" si="99"/>
        <v/>
      </c>
      <c r="BH164" t="str">
        <f t="shared" si="100"/>
        <v> </v>
      </c>
      <c r="BI164" t="str">
        <f t="shared" si="101"/>
        <v> </v>
      </c>
      <c r="BJ164" t="str">
        <f t="shared" si="102"/>
        <v> </v>
      </c>
    </row>
    <row r="165" spans="1:62">
      <c r="A165">
        <v>2</v>
      </c>
      <c r="B165">
        <v>164</v>
      </c>
      <c r="C165" t="str">
        <f>Sheet1!C153</f>
        <v>干湾渡槽出</v>
      </c>
      <c r="D165">
        <v>466179.1419</v>
      </c>
      <c r="E165">
        <v>3384392.3895</v>
      </c>
      <c r="G165">
        <f t="shared" si="103"/>
        <v>0</v>
      </c>
      <c r="H165">
        <f t="shared" si="104"/>
        <v>0</v>
      </c>
      <c r="I165">
        <f t="shared" si="105"/>
        <v>0</v>
      </c>
      <c r="J165">
        <f t="shared" si="106"/>
        <v>148.522465520643</v>
      </c>
      <c r="K165" s="40">
        <f t="shared" si="107"/>
        <v>35751.5150451573</v>
      </c>
      <c r="L165" s="40">
        <f t="shared" si="108"/>
        <v>35751.5150451573</v>
      </c>
      <c r="M165" s="40">
        <f t="shared" si="109"/>
        <v>35751.5150451573</v>
      </c>
      <c r="N165">
        <v>460.969</v>
      </c>
      <c r="O165">
        <v>457.086</v>
      </c>
      <c r="P165">
        <v>0</v>
      </c>
      <c r="Q165" s="39">
        <f t="shared" si="115"/>
        <v>466179.1419</v>
      </c>
      <c r="R165" s="39">
        <f t="shared" si="116"/>
        <v>3384392.3895</v>
      </c>
      <c r="S165" s="39" t="str">
        <f t="shared" si="110"/>
        <v> </v>
      </c>
      <c r="T165" s="39" t="str">
        <f t="shared" si="111"/>
        <v> </v>
      </c>
      <c r="U165" s="39" t="str">
        <f t="shared" si="112"/>
        <v> </v>
      </c>
      <c r="V165" s="39" t="str">
        <f t="shared" si="113"/>
        <v> </v>
      </c>
      <c r="AI165" t="str">
        <f t="array" ref="AI165">IFERROR(INDEX($L$2:$L$805,SMALL(IF(ISNUMBER(FIND($AH$2,$C$2:$C$805)),ROW($2:$805)-1,4^8),ROW(A164)))&amp;"","")</f>
        <v>112791.930813551</v>
      </c>
      <c r="AJ165" t="str">
        <f t="array" ref="AJ165">IFERROR(INDEX($C$2:$C$805,SMALL(IF(ISNUMBER(FIND($AH$2,$C$2:$C$805)),ROW($2:$805)-1,4^8),ROW(B164)))&amp;"","")</f>
        <v>小袁家沟暗渠出</v>
      </c>
      <c r="AT165" t="str">
        <f t="shared" si="88"/>
        <v>466179.1419,3384392.3895</v>
      </c>
      <c r="AV165">
        <f t="shared" si="89"/>
        <v>461.686</v>
      </c>
      <c r="AX165" t="str">
        <f t="shared" si="90"/>
        <v>pl 17875.7575225787,279 17875.7575225787,400 </v>
      </c>
      <c r="AY165" t="str">
        <f t="shared" si="91"/>
        <v>17875.7575225787,457.086</v>
      </c>
      <c r="AZ165" t="str">
        <f t="shared" si="92"/>
        <v>17875.7575225787,460.969</v>
      </c>
      <c r="BA165" t="str">
        <f t="shared" si="93"/>
        <v>17875.7575225787,461.686</v>
      </c>
      <c r="BB165" t="str">
        <f t="shared" si="94"/>
        <v>-text 17874.7575225787,337 3.5 90 457.086 </v>
      </c>
      <c r="BC165" t="str">
        <f t="shared" si="95"/>
        <v>-text 17874.7575225787,320 3.5 90 461.686 </v>
      </c>
      <c r="BD165" t="str">
        <f t="shared" si="96"/>
        <v>-text 17874.7575225787,306 3.5 90 460.969 </v>
      </c>
      <c r="BE165" t="str">
        <f t="shared" si="97"/>
        <v>-text 17874.7575225787,352 3.5 90 ZG35+751.515 </v>
      </c>
      <c r="BF165" t="str">
        <f t="shared" si="98"/>
        <v>-text 17874.7575225787,280 3.5 90 干湾渡槽出 </v>
      </c>
      <c r="BG165" t="str">
        <f t="shared" si="99"/>
        <v/>
      </c>
      <c r="BH165" t="str">
        <f t="shared" si="100"/>
        <v> </v>
      </c>
      <c r="BI165" t="str">
        <f t="shared" si="101"/>
        <v> </v>
      </c>
      <c r="BJ165" t="str">
        <f t="shared" si="102"/>
        <v> </v>
      </c>
    </row>
    <row r="166" spans="1:62">
      <c r="A166">
        <v>0</v>
      </c>
      <c r="B166">
        <v>165</v>
      </c>
      <c r="C166" t="s">
        <v>174</v>
      </c>
      <c r="D166">
        <v>466175.3234</v>
      </c>
      <c r="E166">
        <v>3384359.6355</v>
      </c>
      <c r="F166">
        <v>30</v>
      </c>
      <c r="G166">
        <f t="shared" si="103"/>
        <v>50.386</v>
      </c>
      <c r="H166">
        <f t="shared" si="104"/>
        <v>14.112451916212</v>
      </c>
      <c r="I166">
        <f t="shared" si="105"/>
        <v>26.3820479072959</v>
      </c>
      <c r="J166">
        <f t="shared" si="106"/>
        <v>32.9758314264008</v>
      </c>
      <c r="K166" s="40">
        <f t="shared" si="107"/>
        <v>35770.3784246675</v>
      </c>
      <c r="L166" s="40">
        <f t="shared" si="108"/>
        <v>35783.5694486212</v>
      </c>
      <c r="M166" s="40">
        <f t="shared" si="109"/>
        <v>35796.7604725748</v>
      </c>
      <c r="N166">
        <v>461.027</v>
      </c>
      <c r="O166">
        <v>457.058</v>
      </c>
      <c r="P166">
        <v>0.002</v>
      </c>
      <c r="Q166" s="39">
        <f t="shared" si="115"/>
        <v>466176.957578588</v>
      </c>
      <c r="R166" s="39">
        <f t="shared" si="116"/>
        <v>3384373.65301616</v>
      </c>
      <c r="S166" s="39">
        <f t="shared" si="110"/>
        <v>466178.313289169</v>
      </c>
      <c r="T166" s="39">
        <f t="shared" si="111"/>
        <v>3384360.63843044</v>
      </c>
      <c r="U166" s="39">
        <f t="shared" si="112"/>
        <v>466185.07997598</v>
      </c>
      <c r="V166" s="39">
        <f t="shared" si="113"/>
        <v>3384349.43890624</v>
      </c>
      <c r="AI166" t="str">
        <f t="array" ref="AI166">IFERROR(INDEX($L$2:$L$805,SMALL(IF(ISNUMBER(FIND($AH$2,$C$2:$C$805)),ROW($2:$805)-1,4^8),ROW(A165)))&amp;"","")</f>
        <v>113285.924940718</v>
      </c>
      <c r="AJ166" t="str">
        <f t="array" ref="AJ166">IFERROR(INDEX($C$2:$C$805,SMALL(IF(ISNUMBER(FIND($AH$2,$C$2:$C$805)),ROW($2:$805)-1,4^8),ROW(B165)))&amp;"","")</f>
        <v>小袁家沟渡槽出</v>
      </c>
      <c r="AS166" t="str">
        <f>"-text"&amp;" "&amp;D166&amp;","&amp;E166&amp;" "&amp;"10"&amp;" "&amp;"0"&amp;" "&amp;C166</f>
        <v>-text 466175.3234,3384359.6355 10 0 IP88</v>
      </c>
      <c r="AT166" t="str">
        <f t="shared" si="88"/>
        <v>466175.3234,3384359.6355</v>
      </c>
      <c r="AV166">
        <f t="shared" si="89"/>
        <v>462.558</v>
      </c>
      <c r="AX166" t="str">
        <f t="shared" si="90"/>
        <v>pl 17891.7847243106,279 17891.7847243106,400 </v>
      </c>
      <c r="AY166" t="str">
        <f t="shared" si="91"/>
        <v>17891.7847243106,457.058</v>
      </c>
      <c r="AZ166" t="str">
        <f t="shared" si="92"/>
        <v>17891.7847243106,461.027</v>
      </c>
      <c r="BA166" t="str">
        <f t="shared" si="93"/>
        <v>17891.7847243106,462.558</v>
      </c>
      <c r="BB166" t="str">
        <f t="shared" si="94"/>
        <v>-text 17890.7847243106,337 3.5 90 457.058 </v>
      </c>
      <c r="BC166" t="str">
        <f t="shared" si="95"/>
        <v>-text 17890.7847243106,320 3.5 90 462.558 </v>
      </c>
      <c r="BD166" t="str">
        <f t="shared" si="96"/>
        <v>-text 17890.7847243106,306 3.5 90 461.027 </v>
      </c>
      <c r="BE166" t="str">
        <f t="shared" si="97"/>
        <v>-text 17890.7847243106,352 3.5 90 ZG35+783.569 </v>
      </c>
      <c r="BF166" t="str">
        <f t="shared" si="98"/>
        <v>-text 17890.7847243106,280 3.5 90 IP88 </v>
      </c>
      <c r="BG166" t="str">
        <f t="shared" si="99"/>
        <v>-TEXT 17892.7847243106,300 3.5 0 R=30</v>
      </c>
      <c r="BH166" t="str">
        <f t="shared" si="100"/>
        <v>-TEXT 17892.7847243106,295 3.5 0 α=50.39° </v>
      </c>
      <c r="BI166" t="str">
        <f t="shared" si="101"/>
        <v>-TEXT 17892.7847243106,290 3.5 0 T=14.11 </v>
      </c>
      <c r="BJ166" t="str">
        <f t="shared" si="102"/>
        <v>-TEXT 17892.7847243106,285 3.5 0 S=26.38 </v>
      </c>
    </row>
    <row r="167" spans="1:62">
      <c r="A167">
        <v>2</v>
      </c>
      <c r="B167">
        <v>166</v>
      </c>
      <c r="C167" t="str">
        <f>Sheet1!C155</f>
        <v>松树坪渡槽进</v>
      </c>
      <c r="D167">
        <v>466191.4211</v>
      </c>
      <c r="E167">
        <v>3384342.8118</v>
      </c>
      <c r="G167">
        <f t="shared" si="103"/>
        <v>0</v>
      </c>
      <c r="H167">
        <f t="shared" si="104"/>
        <v>0</v>
      </c>
      <c r="I167">
        <f t="shared" si="105"/>
        <v>0</v>
      </c>
      <c r="J167">
        <f t="shared" si="106"/>
        <v>23.2846049350577</v>
      </c>
      <c r="K167" s="40">
        <f t="shared" si="107"/>
        <v>35805.9326255937</v>
      </c>
      <c r="L167" s="40">
        <f t="shared" si="108"/>
        <v>35805.9326255937</v>
      </c>
      <c r="M167" s="40">
        <f t="shared" si="109"/>
        <v>35805.9326255937</v>
      </c>
      <c r="N167">
        <v>460.902</v>
      </c>
      <c r="O167">
        <v>457.019</v>
      </c>
      <c r="P167">
        <v>0</v>
      </c>
      <c r="Q167" s="39">
        <f t="shared" si="115"/>
        <v>466191.4211</v>
      </c>
      <c r="R167" s="39">
        <f t="shared" si="116"/>
        <v>3384342.8118</v>
      </c>
      <c r="S167" s="39" t="str">
        <f t="shared" si="110"/>
        <v> </v>
      </c>
      <c r="T167" s="39" t="str">
        <f t="shared" si="111"/>
        <v> </v>
      </c>
      <c r="U167" s="39" t="str">
        <f t="shared" si="112"/>
        <v> </v>
      </c>
      <c r="V167" s="39" t="str">
        <f t="shared" si="113"/>
        <v> </v>
      </c>
      <c r="AI167" t="str">
        <f t="array" ref="AI167">IFERROR(INDEX($L$2:$L$805,SMALL(IF(ISNUMBER(FIND($AH$2,$C$2:$C$805)),ROW($2:$805)-1,4^8),ROW(A166)))&amp;"","")</f>
        <v>113787.565011834</v>
      </c>
      <c r="AJ167" t="str">
        <f t="array" ref="AJ167">IFERROR(INDEX($C$2:$C$805,SMALL(IF(ISNUMBER(FIND($AH$2,$C$2:$C$805)),ROW($2:$805)-1,4^8),ROW(B166)))&amp;"","")</f>
        <v>七星桥隧出</v>
      </c>
      <c r="AT167" t="str">
        <f t="shared" si="88"/>
        <v>466191.4211,3384342.8118</v>
      </c>
      <c r="AV167">
        <f t="shared" si="89"/>
        <v>461.619</v>
      </c>
      <c r="AX167" t="str">
        <f t="shared" si="90"/>
        <v>pl 17902.9663127968,279 17902.9663127968,400 </v>
      </c>
      <c r="AY167" t="str">
        <f t="shared" si="91"/>
        <v>17902.9663127968,457.019</v>
      </c>
      <c r="AZ167" t="str">
        <f t="shared" si="92"/>
        <v>17902.9663127968,460.902</v>
      </c>
      <c r="BA167" t="str">
        <f t="shared" si="93"/>
        <v>17902.9663127968,461.619</v>
      </c>
      <c r="BB167" t="str">
        <f t="shared" si="94"/>
        <v>-text 17901.9663127968,337 3.5 90 457.019 </v>
      </c>
      <c r="BC167" t="str">
        <f t="shared" si="95"/>
        <v>-text 17901.9663127968,320 3.5 90 461.619 </v>
      </c>
      <c r="BD167" t="str">
        <f t="shared" si="96"/>
        <v>-text 17901.9663127968,306 3.5 90 460.902 </v>
      </c>
      <c r="BE167" t="str">
        <f t="shared" si="97"/>
        <v>-text 17901.9663127968,352 3.5 90 ZG35+805.933 </v>
      </c>
      <c r="BF167" t="str">
        <f t="shared" si="98"/>
        <v>-text 17901.9663127968,280 3.5 90 松树坪渡槽进 </v>
      </c>
      <c r="BG167" t="str">
        <f t="shared" si="99"/>
        <v/>
      </c>
      <c r="BH167" t="str">
        <f t="shared" si="100"/>
        <v> </v>
      </c>
      <c r="BI167" t="str">
        <f t="shared" si="101"/>
        <v> </v>
      </c>
      <c r="BJ167" t="str">
        <f t="shared" si="102"/>
        <v> </v>
      </c>
    </row>
    <row r="168" spans="1:62">
      <c r="A168">
        <v>2</v>
      </c>
      <c r="B168">
        <v>167</v>
      </c>
      <c r="C168" t="str">
        <f>Sheet1!C156</f>
        <v>松树坪渡槽出</v>
      </c>
      <c r="D168">
        <v>466383.7682</v>
      </c>
      <c r="E168">
        <v>3384141.7909</v>
      </c>
      <c r="G168">
        <f t="shared" si="103"/>
        <v>0</v>
      </c>
      <c r="H168">
        <f t="shared" si="104"/>
        <v>0</v>
      </c>
      <c r="I168">
        <f t="shared" si="105"/>
        <v>0</v>
      </c>
      <c r="J168">
        <f t="shared" si="106"/>
        <v>278.22079202529</v>
      </c>
      <c r="K168" s="40">
        <f t="shared" si="107"/>
        <v>36084.153417619</v>
      </c>
      <c r="L168" s="40">
        <f t="shared" si="108"/>
        <v>36084.153417619</v>
      </c>
      <c r="M168" s="40">
        <f t="shared" si="109"/>
        <v>36084.153417619</v>
      </c>
      <c r="N168">
        <v>460.775</v>
      </c>
      <c r="O168">
        <v>456.892</v>
      </c>
      <c r="P168">
        <v>0</v>
      </c>
      <c r="Q168" s="39">
        <f t="shared" si="115"/>
        <v>466383.7682</v>
      </c>
      <c r="R168" s="39">
        <f t="shared" si="116"/>
        <v>3384141.7909</v>
      </c>
      <c r="S168" s="39" t="str">
        <f t="shared" si="110"/>
        <v> </v>
      </c>
      <c r="T168" s="39" t="str">
        <f t="shared" si="111"/>
        <v> </v>
      </c>
      <c r="U168" s="39" t="str">
        <f t="shared" si="112"/>
        <v> </v>
      </c>
      <c r="V168" s="39" t="str">
        <f t="shared" si="113"/>
        <v> </v>
      </c>
      <c r="AI168" t="str">
        <f t="array" ref="AI168">IFERROR(INDEX($L$2:$L$805,SMALL(IF(ISNUMBER(FIND($AH$2,$C$2:$C$805)),ROW($2:$805)-1,4^8),ROW(A167)))&amp;"","")</f>
        <v>114099.729083732</v>
      </c>
      <c r="AJ168" t="str">
        <f t="array" ref="AJ168">IFERROR(INDEX($C$2:$C$805,SMALL(IF(ISNUMBER(FIND($AH$2,$C$2:$C$805)),ROW($2:$805)-1,4^8),ROW(B167)))&amp;"","")</f>
        <v>店子沟渡槽出</v>
      </c>
      <c r="AT168" t="str">
        <f t="shared" si="88"/>
        <v>466383.7682,3384141.7909</v>
      </c>
      <c r="AV168">
        <f t="shared" si="89"/>
        <v>461.492</v>
      </c>
      <c r="AX168" t="str">
        <f t="shared" si="90"/>
        <v>pl 18042.0767088095,279 18042.0767088095,400 </v>
      </c>
      <c r="AY168" t="str">
        <f t="shared" si="91"/>
        <v>18042.0767088095,456.892</v>
      </c>
      <c r="AZ168" t="str">
        <f t="shared" si="92"/>
        <v>18042.0767088095,460.775</v>
      </c>
      <c r="BA168" t="str">
        <f t="shared" si="93"/>
        <v>18042.0767088095,461.492</v>
      </c>
      <c r="BB168" t="str">
        <f t="shared" si="94"/>
        <v>-text 18041.0767088095,337 3.5 90 456.892 </v>
      </c>
      <c r="BC168" t="str">
        <f t="shared" si="95"/>
        <v>-text 18041.0767088095,320 3.5 90 461.492 </v>
      </c>
      <c r="BD168" t="str">
        <f t="shared" si="96"/>
        <v>-text 18041.0767088095,306 3.5 90 460.775 </v>
      </c>
      <c r="BE168" t="str">
        <f t="shared" si="97"/>
        <v>-text 18041.0767088095,352 3.5 90 ZG36+084.153 </v>
      </c>
      <c r="BF168" t="str">
        <f t="shared" si="98"/>
        <v>-text 18041.0767088095,280 3.5 90 松树坪渡槽出 </v>
      </c>
      <c r="BG168" t="str">
        <f t="shared" si="99"/>
        <v/>
      </c>
      <c r="BH168" t="str">
        <f t="shared" si="100"/>
        <v> </v>
      </c>
      <c r="BI168" t="str">
        <f t="shared" si="101"/>
        <v> </v>
      </c>
      <c r="BJ168" t="str">
        <f t="shared" si="102"/>
        <v> </v>
      </c>
    </row>
    <row r="169" spans="1:62">
      <c r="A169">
        <v>0</v>
      </c>
      <c r="B169">
        <v>168</v>
      </c>
      <c r="C169" t="s">
        <v>177</v>
      </c>
      <c r="D169">
        <v>466408.7468</v>
      </c>
      <c r="E169">
        <v>3384115.6859</v>
      </c>
      <c r="F169">
        <v>80</v>
      </c>
      <c r="G169">
        <f t="shared" si="103"/>
        <v>14.447</v>
      </c>
      <c r="H169">
        <f t="shared" si="104"/>
        <v>10.1396878482679</v>
      </c>
      <c r="I169">
        <f t="shared" si="105"/>
        <v>20.1718173628497</v>
      </c>
      <c r="J169">
        <f t="shared" si="106"/>
        <v>36.1303401999011</v>
      </c>
      <c r="K169" s="40">
        <f t="shared" si="107"/>
        <v>36110.1440699706</v>
      </c>
      <c r="L169" s="40">
        <f t="shared" si="108"/>
        <v>36120.229978652</v>
      </c>
      <c r="M169" s="40">
        <f t="shared" si="109"/>
        <v>36130.3158873334</v>
      </c>
      <c r="N169">
        <v>460.832</v>
      </c>
      <c r="O169">
        <v>456.863</v>
      </c>
      <c r="P169">
        <v>0.001</v>
      </c>
      <c r="Q169" s="39">
        <f t="shared" si="115"/>
        <v>466401.736757872</v>
      </c>
      <c r="R169" s="39">
        <f t="shared" si="116"/>
        <v>3384123.01205718</v>
      </c>
      <c r="S169" s="39">
        <f t="shared" si="110"/>
        <v>466409.149914381</v>
      </c>
      <c r="T169" s="39">
        <f t="shared" si="111"/>
        <v>3384116.18299706</v>
      </c>
      <c r="U169" s="39">
        <f t="shared" si="112"/>
        <v>466417.362900785</v>
      </c>
      <c r="V169" s="39">
        <f t="shared" si="113"/>
        <v>3384110.34024036</v>
      </c>
      <c r="AI169" t="str">
        <f t="array" ref="AI169">IFERROR(INDEX($L$2:$L$805,SMALL(IF(ISNUMBER(FIND($AH$2,$C$2:$C$805)),ROW($2:$805)-1,4^8),ROW(A168)))&amp;"","")</f>
        <v>114465.338439295</v>
      </c>
      <c r="AJ169" t="str">
        <f t="array" ref="AJ169">IFERROR(INDEX($C$2:$C$805,SMALL(IF(ISNUMBER(FIND($AH$2,$C$2:$C$805)),ROW($2:$805)-1,4^8),ROW(B168)))&amp;"","")</f>
        <v>瓦厂湾隧出</v>
      </c>
      <c r="AS169" t="str">
        <f>"-text"&amp;" "&amp;D169&amp;","&amp;E169&amp;" "&amp;"10"&amp;" "&amp;"0"&amp;" "&amp;C169</f>
        <v>-text 466408.7468,3384115.6859 10 0 IP89</v>
      </c>
      <c r="AT169" t="str">
        <f t="shared" si="88"/>
        <v>466408.7468,3384115.6859</v>
      </c>
      <c r="AV169">
        <f t="shared" si="89"/>
        <v>462.363</v>
      </c>
      <c r="AX169" t="str">
        <f t="shared" si="90"/>
        <v>pl 18060.114989326,279 18060.114989326,400 </v>
      </c>
      <c r="AY169" t="str">
        <f t="shared" si="91"/>
        <v>18060.114989326,456.863</v>
      </c>
      <c r="AZ169" t="str">
        <f t="shared" si="92"/>
        <v>18060.114989326,460.832</v>
      </c>
      <c r="BA169" t="str">
        <f t="shared" si="93"/>
        <v>18060.114989326,462.363</v>
      </c>
      <c r="BB169" t="str">
        <f t="shared" si="94"/>
        <v>-text 18059.114989326,337 3.5 90 456.863 </v>
      </c>
      <c r="BC169" t="str">
        <f t="shared" si="95"/>
        <v>-text 18059.114989326,320 3.5 90 462.363 </v>
      </c>
      <c r="BD169" t="str">
        <f t="shared" si="96"/>
        <v>-text 18059.114989326,306 3.5 90 460.832 </v>
      </c>
      <c r="BE169" t="str">
        <f t="shared" si="97"/>
        <v>-text 18059.114989326,352 3.5 90 ZG36+120.230 </v>
      </c>
      <c r="BF169" t="str">
        <f t="shared" si="98"/>
        <v>-text 18059.114989326,280 3.5 90 IP89 </v>
      </c>
      <c r="BG169" t="str">
        <f t="shared" si="99"/>
        <v>-TEXT 18061.114989326,300 3.5 0 R=80</v>
      </c>
      <c r="BH169" t="str">
        <f t="shared" si="100"/>
        <v>-TEXT 18061.114989326,295 3.5 0 α=14.45° </v>
      </c>
      <c r="BI169" t="str">
        <f t="shared" si="101"/>
        <v>-TEXT 18061.114989326,290 3.5 0 T=10.14 </v>
      </c>
      <c r="BJ169" t="str">
        <f t="shared" si="102"/>
        <v>-TEXT 18061.114989326,285 3.5 0 S=20.17 </v>
      </c>
    </row>
    <row r="170" spans="1:62">
      <c r="A170">
        <v>2</v>
      </c>
      <c r="B170">
        <v>169</v>
      </c>
      <c r="C170" t="str">
        <f>Sheet1!C158</f>
        <v>胡家渡槽进</v>
      </c>
      <c r="D170">
        <v>466426.0486</v>
      </c>
      <c r="E170">
        <v>3384104.9514</v>
      </c>
      <c r="G170">
        <f t="shared" si="103"/>
        <v>0</v>
      </c>
      <c r="H170">
        <f t="shared" si="104"/>
        <v>0</v>
      </c>
      <c r="I170">
        <f t="shared" si="105"/>
        <v>0</v>
      </c>
      <c r="J170">
        <f t="shared" si="106"/>
        <v>20.3612812338509</v>
      </c>
      <c r="K170" s="40">
        <f t="shared" si="107"/>
        <v>36140.537480719</v>
      </c>
      <c r="L170" s="40">
        <f t="shared" si="108"/>
        <v>36140.537480719</v>
      </c>
      <c r="M170" s="40">
        <f t="shared" si="109"/>
        <v>36140.537480719</v>
      </c>
      <c r="N170">
        <v>460.708</v>
      </c>
      <c r="O170">
        <v>456.825</v>
      </c>
      <c r="P170">
        <v>0</v>
      </c>
      <c r="Q170" s="39">
        <f t="shared" si="115"/>
        <v>466426.0486</v>
      </c>
      <c r="R170" s="39">
        <f t="shared" si="116"/>
        <v>3384104.9514</v>
      </c>
      <c r="S170" s="39" t="str">
        <f t="shared" si="110"/>
        <v> </v>
      </c>
      <c r="T170" s="39" t="str">
        <f t="shared" si="111"/>
        <v> </v>
      </c>
      <c r="U170" s="39" t="str">
        <f t="shared" si="112"/>
        <v> </v>
      </c>
      <c r="V170" s="39" t="str">
        <f t="shared" si="113"/>
        <v> </v>
      </c>
      <c r="AI170" t="str">
        <f t="array" ref="AI170">IFERROR(INDEX($L$2:$L$805,SMALL(IF(ISNUMBER(FIND($AH$2,$C$2:$C$805)),ROW($2:$805)-1,4^8),ROW(A169)))&amp;"","")</f>
        <v>114604.942168438</v>
      </c>
      <c r="AJ170" t="str">
        <f t="array" ref="AJ170">IFERROR(INDEX($C$2:$C$805,SMALL(IF(ISNUMBER(FIND($AH$2,$C$2:$C$805)),ROW($2:$805)-1,4^8),ROW(B169)))&amp;"","")</f>
        <v>桐油湾渡槽出</v>
      </c>
      <c r="AT170" t="str">
        <f t="shared" si="88"/>
        <v>466426.0486,3384104.9514</v>
      </c>
      <c r="AV170">
        <f t="shared" si="89"/>
        <v>461.425</v>
      </c>
      <c r="AX170" t="str">
        <f t="shared" si="90"/>
        <v>pl 18070.2687403595,279 18070.2687403595,400 </v>
      </c>
      <c r="AY170" t="str">
        <f t="shared" si="91"/>
        <v>18070.2687403595,456.825</v>
      </c>
      <c r="AZ170" t="str">
        <f t="shared" si="92"/>
        <v>18070.2687403595,460.708</v>
      </c>
      <c r="BA170" t="str">
        <f t="shared" si="93"/>
        <v>18070.2687403595,461.425</v>
      </c>
      <c r="BB170" t="str">
        <f t="shared" si="94"/>
        <v>-text 18069.2687403595,337 3.5 90 456.825 </v>
      </c>
      <c r="BC170" t="str">
        <f t="shared" si="95"/>
        <v>-text 18069.2687403595,320 3.5 90 461.425 </v>
      </c>
      <c r="BD170" t="str">
        <f t="shared" si="96"/>
        <v>-text 18069.2687403595,306 3.5 90 460.708 </v>
      </c>
      <c r="BE170" t="str">
        <f t="shared" si="97"/>
        <v>-text 18069.2687403595,352 3.5 90 ZG36+140.537 </v>
      </c>
      <c r="BF170" t="str">
        <f t="shared" si="98"/>
        <v>-text 18069.2687403595,280 3.5 90 胡家渡槽进 </v>
      </c>
      <c r="BG170" t="str">
        <f t="shared" si="99"/>
        <v/>
      </c>
      <c r="BH170" t="str">
        <f t="shared" si="100"/>
        <v> </v>
      </c>
      <c r="BI170" t="str">
        <f t="shared" si="101"/>
        <v> </v>
      </c>
      <c r="BJ170" t="str">
        <f t="shared" si="102"/>
        <v> </v>
      </c>
    </row>
    <row r="171" spans="1:62">
      <c r="A171">
        <v>2</v>
      </c>
      <c r="B171">
        <v>170</v>
      </c>
      <c r="C171" t="str">
        <f>Sheet1!C159</f>
        <v>胡家渡槽出</v>
      </c>
      <c r="D171">
        <v>466545.4593</v>
      </c>
      <c r="E171">
        <v>3384030.8661</v>
      </c>
      <c r="G171">
        <f t="shared" si="103"/>
        <v>0</v>
      </c>
      <c r="H171">
        <f t="shared" si="104"/>
        <v>0</v>
      </c>
      <c r="I171">
        <f t="shared" si="105"/>
        <v>0</v>
      </c>
      <c r="J171">
        <f t="shared" si="106"/>
        <v>140.525965396327</v>
      </c>
      <c r="K171" s="40">
        <f t="shared" si="107"/>
        <v>36281.0634461153</v>
      </c>
      <c r="L171" s="40">
        <f t="shared" si="108"/>
        <v>36281.0634461153</v>
      </c>
      <c r="M171" s="40">
        <f t="shared" si="109"/>
        <v>36281.0634461153</v>
      </c>
      <c r="N171">
        <v>460.644</v>
      </c>
      <c r="O171">
        <v>456.761</v>
      </c>
      <c r="P171">
        <v>0</v>
      </c>
      <c r="Q171" s="39">
        <f t="shared" si="115"/>
        <v>466545.4593</v>
      </c>
      <c r="R171" s="39">
        <f t="shared" si="116"/>
        <v>3384030.8661</v>
      </c>
      <c r="S171" s="39" t="str">
        <f t="shared" si="110"/>
        <v> </v>
      </c>
      <c r="T171" s="39" t="str">
        <f t="shared" si="111"/>
        <v> </v>
      </c>
      <c r="U171" s="39" t="str">
        <f t="shared" si="112"/>
        <v> </v>
      </c>
      <c r="V171" s="39" t="str">
        <f t="shared" si="113"/>
        <v> </v>
      </c>
      <c r="AI171" t="str">
        <f t="array" ref="AI171">IFERROR(INDEX($L$2:$L$805,SMALL(IF(ISNUMBER(FIND($AH$2,$C$2:$C$805)),ROW($2:$805)-1,4^8),ROW(A170)))&amp;"","")</f>
        <v>118367.97523833</v>
      </c>
      <c r="AJ171" t="str">
        <f t="array" ref="AJ171">IFERROR(INDEX($C$2:$C$805,SMALL(IF(ISNUMBER(FIND($AH$2,$C$2:$C$805)),ROW($2:$805)-1,4^8),ROW(B170)))&amp;"","")</f>
        <v>灵泉洞隧出</v>
      </c>
      <c r="AT171" t="str">
        <f t="shared" si="88"/>
        <v>466545.4593,3384030.8661</v>
      </c>
      <c r="AV171">
        <f t="shared" si="89"/>
        <v>461.361</v>
      </c>
      <c r="AX171" t="str">
        <f t="shared" si="90"/>
        <v>pl 18140.5317230577,279 18140.5317230577,400 </v>
      </c>
      <c r="AY171" t="str">
        <f t="shared" si="91"/>
        <v>18140.5317230577,456.761</v>
      </c>
      <c r="AZ171" t="str">
        <f t="shared" si="92"/>
        <v>18140.5317230577,460.644</v>
      </c>
      <c r="BA171" t="str">
        <f t="shared" si="93"/>
        <v>18140.5317230577,461.361</v>
      </c>
      <c r="BB171" t="str">
        <f t="shared" si="94"/>
        <v>-text 18139.5317230577,337 3.5 90 456.761 </v>
      </c>
      <c r="BC171" t="str">
        <f t="shared" si="95"/>
        <v>-text 18139.5317230577,320 3.5 90 461.361 </v>
      </c>
      <c r="BD171" t="str">
        <f t="shared" si="96"/>
        <v>-text 18139.5317230577,306 3.5 90 460.644 </v>
      </c>
      <c r="BE171" t="str">
        <f t="shared" si="97"/>
        <v>-text 18139.5317230577,352 3.5 90 ZG36+281.063 </v>
      </c>
      <c r="BF171" t="str">
        <f t="shared" si="98"/>
        <v>-text 18139.5317230577,280 3.5 90 胡家渡槽出 </v>
      </c>
      <c r="BG171" t="str">
        <f t="shared" si="99"/>
        <v/>
      </c>
      <c r="BH171" t="str">
        <f t="shared" si="100"/>
        <v> </v>
      </c>
      <c r="BI171" t="str">
        <f t="shared" si="101"/>
        <v> </v>
      </c>
      <c r="BJ171" t="str">
        <f t="shared" si="102"/>
        <v> </v>
      </c>
    </row>
    <row r="172" spans="1:62">
      <c r="A172">
        <v>0</v>
      </c>
      <c r="B172">
        <v>171</v>
      </c>
      <c r="C172" t="s">
        <v>180</v>
      </c>
      <c r="D172">
        <v>466597.8374</v>
      </c>
      <c r="E172">
        <v>3383998.3694</v>
      </c>
      <c r="F172">
        <v>80</v>
      </c>
      <c r="G172">
        <f t="shared" si="103"/>
        <v>17.286</v>
      </c>
      <c r="H172">
        <f t="shared" si="104"/>
        <v>12.160282019087</v>
      </c>
      <c r="I172">
        <f t="shared" si="105"/>
        <v>24.1358091599792</v>
      </c>
      <c r="J172">
        <f t="shared" si="106"/>
        <v>61.6400914219341</v>
      </c>
      <c r="K172" s="40">
        <f t="shared" si="107"/>
        <v>36330.5432555182</v>
      </c>
      <c r="L172" s="40">
        <f t="shared" si="108"/>
        <v>36342.6111600982</v>
      </c>
      <c r="M172" s="40">
        <f t="shared" si="109"/>
        <v>36354.6790646782</v>
      </c>
      <c r="N172">
        <v>460.696</v>
      </c>
      <c r="O172">
        <v>456.727</v>
      </c>
      <c r="P172">
        <v>0.001</v>
      </c>
      <c r="Q172" s="39">
        <f t="shared" si="115"/>
        <v>466587.504312347</v>
      </c>
      <c r="R172" s="39">
        <f t="shared" si="116"/>
        <v>3384004.78030932</v>
      </c>
      <c r="S172" s="39">
        <f t="shared" si="110"/>
        <v>466598.199014365</v>
      </c>
      <c r="T172" s="39">
        <f t="shared" si="111"/>
        <v>3383999.2141905</v>
      </c>
      <c r="U172" s="39">
        <f t="shared" si="112"/>
        <v>466609.60873204</v>
      </c>
      <c r="V172" s="39">
        <f t="shared" si="113"/>
        <v>3383995.31846559</v>
      </c>
      <c r="AI172" t="str">
        <f t="array" ref="AI172">IFERROR(INDEX($L$2:$L$805,SMALL(IF(ISNUMBER(FIND($AH$2,$C$2:$C$805)),ROW($2:$805)-1,4^8),ROW(A171)))&amp;"","")</f>
        <v>118715.94721279</v>
      </c>
      <c r="AJ172" t="str">
        <f t="array" ref="AJ172">IFERROR(INDEX($C$2:$C$805,SMALL(IF(ISNUMBER(FIND($AH$2,$C$2:$C$805)),ROW($2:$805)-1,4^8),ROW(B171)))&amp;"","")</f>
        <v>古柏树隧出</v>
      </c>
      <c r="AS172" t="str">
        <f>"-text"&amp;" "&amp;D172&amp;","&amp;E172&amp;" "&amp;"10"&amp;" "&amp;"0"&amp;" "&amp;C172</f>
        <v>-text 466597.8374,3383998.3694 10 0 IP90</v>
      </c>
      <c r="AT172" t="str">
        <f t="shared" si="88"/>
        <v>466597.8374,3383998.3694</v>
      </c>
      <c r="AV172">
        <f t="shared" si="89"/>
        <v>462.227</v>
      </c>
      <c r="AX172" t="str">
        <f t="shared" si="90"/>
        <v>pl 18171.3055800491,279 18171.3055800491,400 </v>
      </c>
      <c r="AY172" t="str">
        <f t="shared" si="91"/>
        <v>18171.3055800491,456.727</v>
      </c>
      <c r="AZ172" t="str">
        <f t="shared" si="92"/>
        <v>18171.3055800491,460.696</v>
      </c>
      <c r="BA172" t="str">
        <f t="shared" si="93"/>
        <v>18171.3055800491,462.227</v>
      </c>
      <c r="BB172" t="str">
        <f t="shared" si="94"/>
        <v>-text 18170.3055800491,337 3.5 90 456.727 </v>
      </c>
      <c r="BC172" t="str">
        <f t="shared" si="95"/>
        <v>-text 18170.3055800491,320 3.5 90 462.227 </v>
      </c>
      <c r="BD172" t="str">
        <f t="shared" si="96"/>
        <v>-text 18170.3055800491,306 3.5 90 460.696 </v>
      </c>
      <c r="BE172" t="str">
        <f t="shared" si="97"/>
        <v>-text 18170.3055800491,352 3.5 90 ZG36+342.611 </v>
      </c>
      <c r="BF172" t="str">
        <f t="shared" si="98"/>
        <v>-text 18170.3055800491,280 3.5 90 IP90 </v>
      </c>
      <c r="BG172" t="str">
        <f t="shared" si="99"/>
        <v>-TEXT 18172.3055800491,300 3.5 0 R=80</v>
      </c>
      <c r="BH172" t="str">
        <f t="shared" si="100"/>
        <v>-TEXT 18172.3055800491,295 3.5 0 α=17.29° </v>
      </c>
      <c r="BI172" t="str">
        <f t="shared" si="101"/>
        <v>-TEXT 18172.3055800491,290 3.5 0 T=12.16 </v>
      </c>
      <c r="BJ172" t="str">
        <f t="shared" si="102"/>
        <v>-TEXT 18172.3055800491,285 3.5 0 S=24.14 </v>
      </c>
    </row>
    <row r="173" spans="1:62">
      <c r="A173">
        <v>1</v>
      </c>
      <c r="B173">
        <v>172</v>
      </c>
      <c r="C173" t="str">
        <f>Sheet1!C161</f>
        <v>蔡家坟隧进</v>
      </c>
      <c r="D173">
        <v>466644.688</v>
      </c>
      <c r="E173">
        <v>3383986.2265</v>
      </c>
      <c r="G173">
        <f t="shared" si="103"/>
        <v>0</v>
      </c>
      <c r="H173">
        <f t="shared" si="104"/>
        <v>0</v>
      </c>
      <c r="I173">
        <f t="shared" si="105"/>
        <v>0</v>
      </c>
      <c r="J173">
        <f t="shared" si="106"/>
        <v>48.3986439973106</v>
      </c>
      <c r="K173" s="40">
        <f t="shared" si="107"/>
        <v>36390.9174266564</v>
      </c>
      <c r="L173" s="40">
        <f t="shared" si="108"/>
        <v>36390.9174266564</v>
      </c>
      <c r="M173" s="40">
        <f t="shared" si="109"/>
        <v>36390.9174266564</v>
      </c>
      <c r="N173">
        <v>460.591</v>
      </c>
      <c r="O173">
        <v>456.67</v>
      </c>
      <c r="P173">
        <v>0</v>
      </c>
      <c r="Q173" s="39">
        <f t="shared" si="115"/>
        <v>466644.688</v>
      </c>
      <c r="R173" s="39">
        <f t="shared" si="116"/>
        <v>3383986.2265</v>
      </c>
      <c r="S173" s="39" t="str">
        <f t="shared" si="110"/>
        <v> </v>
      </c>
      <c r="T173" s="39" t="str">
        <f t="shared" si="111"/>
        <v> </v>
      </c>
      <c r="U173" s="39" t="str">
        <f t="shared" si="112"/>
        <v> </v>
      </c>
      <c r="V173" s="39" t="str">
        <f t="shared" si="113"/>
        <v> </v>
      </c>
      <c r="AI173" t="str">
        <f t="array" ref="AI173">IFERROR(INDEX($L$2:$L$805,SMALL(IF(ISNUMBER(FIND($AH$2,$C$2:$C$805)),ROW($2:$805)-1,4^8),ROW(A172)))&amp;"","")</f>
        <v>118879.790064353</v>
      </c>
      <c r="AJ173" t="str">
        <f t="array" ref="AJ173">IFERROR(INDEX($C$2:$C$805,SMALL(IF(ISNUMBER(FIND($AH$2,$C$2:$C$805)),ROW($2:$805)-1,4^8),ROW(B172)))&amp;"","")</f>
        <v>复兴沟隧出</v>
      </c>
      <c r="AT173" t="str">
        <f t="shared" si="88"/>
        <v>466644.688,3383986.2265</v>
      </c>
      <c r="AV173">
        <f t="shared" si="89"/>
        <v>461.87</v>
      </c>
      <c r="AX173" t="str">
        <f t="shared" si="90"/>
        <v>pl 18195.4587133282,279 18195.4587133282,400 </v>
      </c>
      <c r="AY173" t="str">
        <f t="shared" si="91"/>
        <v>18195.4587133282,456.67</v>
      </c>
      <c r="AZ173" t="str">
        <f t="shared" si="92"/>
        <v>18195.4587133282,460.591</v>
      </c>
      <c r="BA173" t="str">
        <f t="shared" si="93"/>
        <v>18195.4587133282,461.87</v>
      </c>
      <c r="BB173" t="str">
        <f t="shared" si="94"/>
        <v>-text 18194.4587133282,337 3.5 90 456.670 </v>
      </c>
      <c r="BC173" t="str">
        <f t="shared" si="95"/>
        <v>-text 18194.4587133282,320 3.5 90 461.870 </v>
      </c>
      <c r="BD173" t="str">
        <f t="shared" si="96"/>
        <v>-text 18194.4587133282,306 3.5 90 460.591 </v>
      </c>
      <c r="BE173" t="str">
        <f t="shared" si="97"/>
        <v>-text 18194.4587133282,352 3.5 90 ZG36+390.917 </v>
      </c>
      <c r="BF173" t="str">
        <f t="shared" si="98"/>
        <v>-text 18194.4587133282,280 3.5 90 蔡家坟隧进 </v>
      </c>
      <c r="BG173" t="str">
        <f t="shared" si="99"/>
        <v/>
      </c>
      <c r="BH173" t="str">
        <f t="shared" si="100"/>
        <v> </v>
      </c>
      <c r="BI173" t="str">
        <f t="shared" si="101"/>
        <v> </v>
      </c>
      <c r="BJ173" t="str">
        <f t="shared" si="102"/>
        <v> </v>
      </c>
    </row>
    <row r="174" spans="1:62">
      <c r="A174">
        <v>1</v>
      </c>
      <c r="B174">
        <v>173</v>
      </c>
      <c r="C174" t="s">
        <v>182</v>
      </c>
      <c r="D174">
        <v>466781.3937</v>
      </c>
      <c r="E174">
        <v>3383950.7947</v>
      </c>
      <c r="F174">
        <v>80</v>
      </c>
      <c r="G174">
        <f t="shared" si="103"/>
        <v>43.954</v>
      </c>
      <c r="H174">
        <f t="shared" si="104"/>
        <v>32.2847478556071</v>
      </c>
      <c r="I174">
        <f t="shared" si="105"/>
        <v>61.371361553727</v>
      </c>
      <c r="J174">
        <f t="shared" si="106"/>
        <v>141.222734939247</v>
      </c>
      <c r="K174" s="40">
        <f t="shared" si="107"/>
        <v>36499.85541374</v>
      </c>
      <c r="L174" s="40">
        <f t="shared" si="108"/>
        <v>36530.5410945169</v>
      </c>
      <c r="M174" s="40">
        <f t="shared" si="109"/>
        <v>36561.2267752938</v>
      </c>
      <c r="N174">
        <v>460.533</v>
      </c>
      <c r="O174">
        <v>456.612</v>
      </c>
      <c r="P174">
        <v>0.004</v>
      </c>
      <c r="Q174" s="39">
        <f t="shared" si="115"/>
        <v>466750.141585694</v>
      </c>
      <c r="R174" s="39">
        <f t="shared" si="116"/>
        <v>3383958.89471824</v>
      </c>
      <c r="S174" s="39">
        <f t="shared" si="110"/>
        <v>466780.581245952</v>
      </c>
      <c r="T174" s="39">
        <f t="shared" si="111"/>
        <v>3383957.01062566</v>
      </c>
      <c r="U174" s="39">
        <f t="shared" si="112"/>
        <v>466809.514073431</v>
      </c>
      <c r="V174" s="39">
        <f t="shared" si="113"/>
        <v>3383966.65501343</v>
      </c>
      <c r="AI174" t="str">
        <f t="array" ref="AI174">IFERROR(INDEX($L$2:$L$805,SMALL(IF(ISNUMBER(FIND($AH$2,$C$2:$C$805)),ROW($2:$805)-1,4^8),ROW(A173)))&amp;"","")</f>
        <v>119152.454196965</v>
      </c>
      <c r="AJ174" t="str">
        <f t="array" ref="AJ174">IFERROR(INDEX($C$2:$C$805,SMALL(IF(ISNUMBER(FIND($AH$2,$C$2:$C$805)),ROW($2:$805)-1,4^8),ROW(B173)))&amp;"","")</f>
        <v>林家沟隧出</v>
      </c>
      <c r="AS174" t="str">
        <f>"-text"&amp;" "&amp;D174&amp;","&amp;E174&amp;" "&amp;"10"&amp;" "&amp;"0"&amp;" "&amp;C174</f>
        <v>-text 466781.3937,3383950.7947 10 0 IP91</v>
      </c>
      <c r="AT174" t="str">
        <f t="shared" si="88"/>
        <v>466781.3937,3383950.7947</v>
      </c>
      <c r="AV174">
        <f t="shared" si="89"/>
        <v>461.812</v>
      </c>
      <c r="AX174" t="str">
        <f t="shared" si="90"/>
        <v>pl 18265.2705472584,279 18265.2705472584,400 </v>
      </c>
      <c r="AY174" t="str">
        <f t="shared" si="91"/>
        <v>18265.2705472584,456.612</v>
      </c>
      <c r="AZ174" t="str">
        <f t="shared" si="92"/>
        <v>18265.2705472584,460.533</v>
      </c>
      <c r="BA174" t="str">
        <f t="shared" si="93"/>
        <v>18265.2705472584,461.812</v>
      </c>
      <c r="BB174" t="str">
        <f t="shared" si="94"/>
        <v>-text 18264.2705472584,337 3.5 90 456.612 </v>
      </c>
      <c r="BC174" t="str">
        <f t="shared" si="95"/>
        <v>-text 18264.2705472584,320 3.5 90 461.812 </v>
      </c>
      <c r="BD174" t="str">
        <f t="shared" si="96"/>
        <v>-text 18264.2705472584,306 3.5 90 460.533 </v>
      </c>
      <c r="BE174" t="str">
        <f t="shared" si="97"/>
        <v>-text 18264.2705472584,352 3.5 90 ZG36+530.541 </v>
      </c>
      <c r="BF174" t="str">
        <f t="shared" si="98"/>
        <v>-text 18264.2705472584,280 3.5 90 IP91 </v>
      </c>
      <c r="BG174" t="str">
        <f t="shared" si="99"/>
        <v>-TEXT 18266.2705472584,300 3.5 0 R=80</v>
      </c>
      <c r="BH174" t="str">
        <f t="shared" si="100"/>
        <v>-TEXT 18266.2705472584,295 3.5 0 α=43.95° </v>
      </c>
      <c r="BI174" t="str">
        <f t="shared" si="101"/>
        <v>-TEXT 18266.2705472584,290 3.5 0 T=32.28 </v>
      </c>
      <c r="BJ174" t="str">
        <f t="shared" si="102"/>
        <v>-TEXT 18266.2705472584,285 3.5 0 S=61.37 </v>
      </c>
    </row>
    <row r="175" spans="1:62">
      <c r="A175">
        <v>1</v>
      </c>
      <c r="B175">
        <v>174</v>
      </c>
      <c r="C175" t="str">
        <f>Sheet1!C163</f>
        <v>蔡家坟隧出</v>
      </c>
      <c r="D175">
        <v>466835.8231</v>
      </c>
      <c r="E175">
        <v>3383981.4937</v>
      </c>
      <c r="G175">
        <f t="shared" si="103"/>
        <v>0</v>
      </c>
      <c r="H175">
        <f t="shared" si="104"/>
        <v>0</v>
      </c>
      <c r="I175">
        <f t="shared" si="105"/>
        <v>0</v>
      </c>
      <c r="J175">
        <f t="shared" si="106"/>
        <v>62.4899046675342</v>
      </c>
      <c r="K175" s="40">
        <f t="shared" si="107"/>
        <v>36591.4319321057</v>
      </c>
      <c r="L175" s="40">
        <f t="shared" si="108"/>
        <v>36591.4319321057</v>
      </c>
      <c r="M175" s="40">
        <f t="shared" si="109"/>
        <v>36591.4319321057</v>
      </c>
      <c r="N175">
        <v>460.506</v>
      </c>
      <c r="O175">
        <v>456.585</v>
      </c>
      <c r="P175">
        <v>0</v>
      </c>
      <c r="Q175" s="39">
        <f t="shared" si="115"/>
        <v>466835.8231</v>
      </c>
      <c r="R175" s="39">
        <f t="shared" si="116"/>
        <v>3383981.4937</v>
      </c>
      <c r="S175" s="39" t="str">
        <f t="shared" si="110"/>
        <v> </v>
      </c>
      <c r="T175" s="39" t="str">
        <f t="shared" si="111"/>
        <v> </v>
      </c>
      <c r="U175" s="39" t="str">
        <f t="shared" si="112"/>
        <v> </v>
      </c>
      <c r="V175" s="39" t="str">
        <f t="shared" si="113"/>
        <v> </v>
      </c>
      <c r="AI175" t="str">
        <f t="array" ref="AI175">IFERROR(INDEX($L$2:$L$805,SMALL(IF(ISNUMBER(FIND($AH$2,$C$2:$C$805)),ROW($2:$805)-1,4^8),ROW(A174)))&amp;"","")</f>
        <v>119510.805987003</v>
      </c>
      <c r="AJ175" t="str">
        <f t="array" ref="AJ175">IFERROR(INDEX($C$2:$C$805,SMALL(IF(ISNUMBER(FIND($AH$2,$C$2:$C$805)),ROW($2:$805)-1,4^8),ROW(B174)))&amp;"","")</f>
        <v>复兴寺隧出</v>
      </c>
      <c r="AT175" t="str">
        <f t="shared" si="88"/>
        <v>466835.8231,3383981.4937</v>
      </c>
      <c r="AV175">
        <f t="shared" si="89"/>
        <v>461.785</v>
      </c>
      <c r="AX175" t="str">
        <f t="shared" si="90"/>
        <v>pl 18295.7159660528,279 18295.7159660528,400 </v>
      </c>
      <c r="AY175" t="str">
        <f t="shared" si="91"/>
        <v>18295.7159660528,456.585</v>
      </c>
      <c r="AZ175" t="str">
        <f t="shared" si="92"/>
        <v>18295.7159660528,460.506</v>
      </c>
      <c r="BA175" t="str">
        <f t="shared" si="93"/>
        <v>18295.7159660528,461.785</v>
      </c>
      <c r="BB175" t="str">
        <f t="shared" si="94"/>
        <v>-text 18294.7159660528,337 3.5 90 456.585 </v>
      </c>
      <c r="BC175" t="str">
        <f t="shared" si="95"/>
        <v>-text 18294.7159660528,320 3.5 90 461.785 </v>
      </c>
      <c r="BD175" t="str">
        <f t="shared" si="96"/>
        <v>-text 18294.7159660528,306 3.5 90 460.506 </v>
      </c>
      <c r="BE175" t="str">
        <f t="shared" si="97"/>
        <v>-text 18294.7159660528,352 3.5 90 ZG36+591.432 </v>
      </c>
      <c r="BF175" t="str">
        <f t="shared" si="98"/>
        <v>-text 18294.7159660528,280 3.5 90 蔡家坟隧出 </v>
      </c>
      <c r="BG175" t="str">
        <f t="shared" si="99"/>
        <v/>
      </c>
      <c r="BH175" t="str">
        <f t="shared" si="100"/>
        <v> </v>
      </c>
      <c r="BI175" t="str">
        <f t="shared" si="101"/>
        <v> </v>
      </c>
      <c r="BJ175" t="str">
        <f t="shared" si="102"/>
        <v> </v>
      </c>
    </row>
    <row r="176" spans="1:62">
      <c r="A176">
        <v>2</v>
      </c>
      <c r="B176">
        <v>175</v>
      </c>
      <c r="C176" t="str">
        <f>Sheet1!C164</f>
        <v>狮子山渡槽进</v>
      </c>
      <c r="D176">
        <v>466859.6521</v>
      </c>
      <c r="E176">
        <v>3383994.9336</v>
      </c>
      <c r="G176">
        <f t="shared" si="103"/>
        <v>0</v>
      </c>
      <c r="H176">
        <f t="shared" si="104"/>
        <v>0</v>
      </c>
      <c r="I176">
        <f t="shared" si="105"/>
        <v>0</v>
      </c>
      <c r="J176">
        <f t="shared" si="106"/>
        <v>27.3578535893142</v>
      </c>
      <c r="K176" s="40">
        <f t="shared" si="107"/>
        <v>36618.789785695</v>
      </c>
      <c r="L176" s="40">
        <f t="shared" si="108"/>
        <v>36618.789785695</v>
      </c>
      <c r="M176" s="40">
        <f t="shared" si="109"/>
        <v>36618.789785695</v>
      </c>
      <c r="N176">
        <v>460.433</v>
      </c>
      <c r="O176">
        <v>456.55</v>
      </c>
      <c r="P176">
        <v>0</v>
      </c>
      <c r="Q176" s="39">
        <f t="shared" si="115"/>
        <v>466859.6521</v>
      </c>
      <c r="R176" s="39">
        <f t="shared" si="116"/>
        <v>3383994.9336</v>
      </c>
      <c r="S176" s="39" t="str">
        <f t="shared" si="110"/>
        <v> </v>
      </c>
      <c r="T176" s="39" t="str">
        <f t="shared" si="111"/>
        <v> </v>
      </c>
      <c r="U176" s="39" t="str">
        <f t="shared" si="112"/>
        <v> </v>
      </c>
      <c r="V176" s="39" t="str">
        <f t="shared" si="113"/>
        <v> </v>
      </c>
      <c r="AI176" t="str">
        <f t="array" ref="AI176">IFERROR(INDEX($L$2:$L$805,SMALL(IF(ISNUMBER(FIND($AH$2,$C$2:$C$805)),ROW($2:$805)-1,4^8),ROW(A175)))&amp;"","")</f>
        <v>119874.937698093</v>
      </c>
      <c r="AJ176" t="str">
        <f t="array" ref="AJ176">IFERROR(INDEX($C$2:$C$805,SMALL(IF(ISNUMBER(FIND($AH$2,$C$2:$C$805)),ROW($2:$805)-1,4^8),ROW(B175)))&amp;"","")</f>
        <v>双碑沟隧出</v>
      </c>
      <c r="AT176" t="str">
        <f t="shared" si="88"/>
        <v>466859.6521,3383994.9336</v>
      </c>
      <c r="AV176">
        <f t="shared" si="89"/>
        <v>461.15</v>
      </c>
      <c r="AX176" t="str">
        <f t="shared" si="90"/>
        <v>pl 18309.3948928475,279 18309.3948928475,400 </v>
      </c>
      <c r="AY176" t="str">
        <f t="shared" si="91"/>
        <v>18309.3948928475,456.55</v>
      </c>
      <c r="AZ176" t="str">
        <f t="shared" si="92"/>
        <v>18309.3948928475,460.433</v>
      </c>
      <c r="BA176" t="str">
        <f t="shared" si="93"/>
        <v>18309.3948928475,461.15</v>
      </c>
      <c r="BB176" t="str">
        <f t="shared" si="94"/>
        <v>-text 18308.3948928475,337 3.5 90 456.550 </v>
      </c>
      <c r="BC176" t="str">
        <f t="shared" si="95"/>
        <v>-text 18308.3948928475,320 3.5 90 461.150 </v>
      </c>
      <c r="BD176" t="str">
        <f t="shared" si="96"/>
        <v>-text 18308.3948928475,306 3.5 90 460.433 </v>
      </c>
      <c r="BE176" t="str">
        <f t="shared" si="97"/>
        <v>-text 18308.3948928475,352 3.5 90 ZG36+618.790 </v>
      </c>
      <c r="BF176" t="str">
        <f t="shared" si="98"/>
        <v>-text 18308.3948928475,280 3.5 90 狮子山渡槽进 </v>
      </c>
      <c r="BG176" t="str">
        <f t="shared" si="99"/>
        <v/>
      </c>
      <c r="BH176" t="str">
        <f t="shared" si="100"/>
        <v> </v>
      </c>
      <c r="BI176" t="str">
        <f t="shared" si="101"/>
        <v> </v>
      </c>
      <c r="BJ176" t="str">
        <f t="shared" si="102"/>
        <v> </v>
      </c>
    </row>
    <row r="177" spans="1:62">
      <c r="A177">
        <v>2</v>
      </c>
      <c r="B177">
        <v>176</v>
      </c>
      <c r="C177" t="str">
        <f>Sheet1!C165</f>
        <v>狮子山渡槽出</v>
      </c>
      <c r="D177">
        <v>466986.7233</v>
      </c>
      <c r="E177">
        <v>3384066.6037</v>
      </c>
      <c r="G177">
        <f t="shared" si="103"/>
        <v>0</v>
      </c>
      <c r="H177">
        <f t="shared" si="104"/>
        <v>0</v>
      </c>
      <c r="I177">
        <f t="shared" si="105"/>
        <v>0</v>
      </c>
      <c r="J177">
        <f t="shared" si="106"/>
        <v>145.889317989414</v>
      </c>
      <c r="K177" s="40">
        <f t="shared" si="107"/>
        <v>36764.6791036844</v>
      </c>
      <c r="L177" s="40">
        <f t="shared" si="108"/>
        <v>36764.6791036844</v>
      </c>
      <c r="M177" s="40">
        <f t="shared" si="109"/>
        <v>36764.6791036844</v>
      </c>
      <c r="N177">
        <v>460.366</v>
      </c>
      <c r="O177">
        <v>456.483</v>
      </c>
      <c r="P177">
        <v>0</v>
      </c>
      <c r="Q177" s="39">
        <f t="shared" si="115"/>
        <v>466986.7233</v>
      </c>
      <c r="R177" s="39">
        <f t="shared" si="116"/>
        <v>3384066.6037</v>
      </c>
      <c r="S177" s="39" t="str">
        <f t="shared" si="110"/>
        <v> </v>
      </c>
      <c r="T177" s="39" t="str">
        <f t="shared" si="111"/>
        <v> </v>
      </c>
      <c r="U177" s="39" t="str">
        <f t="shared" si="112"/>
        <v> </v>
      </c>
      <c r="V177" s="39" t="str">
        <f t="shared" si="113"/>
        <v> </v>
      </c>
      <c r="AI177" t="str">
        <f t="array" ref="AI177">IFERROR(INDEX($L$2:$L$805,SMALL(IF(ISNUMBER(FIND($AH$2,$C$2:$C$805)),ROW($2:$805)-1,4^8),ROW(A176)))&amp;"","")</f>
        <v>120351.72949024</v>
      </c>
      <c r="AJ177" t="str">
        <f t="array" ref="AJ177">IFERROR(INDEX($C$2:$C$805,SMALL(IF(ISNUMBER(FIND($AH$2,$C$2:$C$805)),ROW($2:$805)-1,4^8),ROW(B176)))&amp;"","")</f>
        <v>何家大院隧出</v>
      </c>
      <c r="AT177" t="str">
        <f t="shared" si="88"/>
        <v>466986.7233,3384066.6037</v>
      </c>
      <c r="AV177">
        <f t="shared" si="89"/>
        <v>461.083</v>
      </c>
      <c r="AX177" t="str">
        <f t="shared" si="90"/>
        <v>pl 18382.3395518422,279 18382.3395518422,400 </v>
      </c>
      <c r="AY177" t="str">
        <f t="shared" si="91"/>
        <v>18382.3395518422,456.483</v>
      </c>
      <c r="AZ177" t="str">
        <f t="shared" si="92"/>
        <v>18382.3395518422,460.366</v>
      </c>
      <c r="BA177" t="str">
        <f t="shared" si="93"/>
        <v>18382.3395518422,461.083</v>
      </c>
      <c r="BB177" t="str">
        <f t="shared" si="94"/>
        <v>-text 18381.3395518422,337 3.5 90 456.483 </v>
      </c>
      <c r="BC177" t="str">
        <f t="shared" si="95"/>
        <v>-text 18381.3395518422,320 3.5 90 461.083 </v>
      </c>
      <c r="BD177" t="str">
        <f t="shared" si="96"/>
        <v>-text 18381.3395518422,306 3.5 90 460.366 </v>
      </c>
      <c r="BE177" t="str">
        <f t="shared" si="97"/>
        <v>-text 18381.3395518422,352 3.5 90 ZG36+764.679 </v>
      </c>
      <c r="BF177" t="str">
        <f t="shared" si="98"/>
        <v>-text 18381.3395518422,280 3.5 90 狮子山渡槽出 </v>
      </c>
      <c r="BG177" t="str">
        <f t="shared" si="99"/>
        <v/>
      </c>
      <c r="BH177" t="str">
        <f t="shared" si="100"/>
        <v> </v>
      </c>
      <c r="BI177" t="str">
        <f t="shared" si="101"/>
        <v> </v>
      </c>
      <c r="BJ177" t="str">
        <f t="shared" si="102"/>
        <v> </v>
      </c>
    </row>
    <row r="178" spans="1:62">
      <c r="A178">
        <v>1</v>
      </c>
      <c r="B178">
        <v>177</v>
      </c>
      <c r="C178" t="str">
        <f>Sheet1!C166</f>
        <v>狮子山隧进</v>
      </c>
      <c r="D178">
        <v>467035.6066</v>
      </c>
      <c r="E178">
        <v>3384094.1746</v>
      </c>
      <c r="G178">
        <f t="shared" si="103"/>
        <v>0</v>
      </c>
      <c r="H178">
        <f t="shared" si="104"/>
        <v>0</v>
      </c>
      <c r="I178">
        <f t="shared" si="105"/>
        <v>0</v>
      </c>
      <c r="J178">
        <f t="shared" si="106"/>
        <v>56.1224691697351</v>
      </c>
      <c r="K178" s="40">
        <f t="shared" si="107"/>
        <v>36820.8015728542</v>
      </c>
      <c r="L178" s="40">
        <f t="shared" si="108"/>
        <v>36820.8015728542</v>
      </c>
      <c r="M178" s="40">
        <f t="shared" si="109"/>
        <v>36820.8015728542</v>
      </c>
      <c r="N178">
        <v>460.324</v>
      </c>
      <c r="O178">
        <v>456.403</v>
      </c>
      <c r="P178">
        <v>0</v>
      </c>
      <c r="Q178" s="39">
        <f t="shared" si="115"/>
        <v>467035.6066</v>
      </c>
      <c r="R178" s="39">
        <f t="shared" si="116"/>
        <v>3384094.1746</v>
      </c>
      <c r="S178" s="39" t="str">
        <f t="shared" si="110"/>
        <v> </v>
      </c>
      <c r="T178" s="39" t="str">
        <f t="shared" si="111"/>
        <v> </v>
      </c>
      <c r="U178" s="39" t="str">
        <f t="shared" si="112"/>
        <v> </v>
      </c>
      <c r="V178" s="39" t="str">
        <f t="shared" si="113"/>
        <v> </v>
      </c>
      <c r="AI178" t="str">
        <f t="array" ref="AI178">IFERROR(INDEX($L$2:$L$805,SMALL(IF(ISNUMBER(FIND($AH$2,$C$2:$C$805)),ROW($2:$805)-1,4^8),ROW(A177)))&amp;"","")</f>
        <v>120781.971346995</v>
      </c>
      <c r="AJ178" t="str">
        <f t="array" ref="AJ178">IFERROR(INDEX($C$2:$C$805,SMALL(IF(ISNUMBER(FIND($AH$2,$C$2:$C$805)),ROW($2:$805)-1,4^8),ROW(B177)))&amp;"","")</f>
        <v>吕家沟隧出</v>
      </c>
      <c r="AT178" t="str">
        <f t="shared" si="88"/>
        <v>467035.6066,3384094.1746</v>
      </c>
      <c r="AV178">
        <f t="shared" si="89"/>
        <v>461.603</v>
      </c>
      <c r="AX178" t="str">
        <f t="shared" si="90"/>
        <v>pl 18410.4007864271,279 18410.4007864271,400 </v>
      </c>
      <c r="AY178" t="str">
        <f t="shared" si="91"/>
        <v>18410.4007864271,456.403</v>
      </c>
      <c r="AZ178" t="str">
        <f t="shared" si="92"/>
        <v>18410.4007864271,460.324</v>
      </c>
      <c r="BA178" t="str">
        <f t="shared" si="93"/>
        <v>18410.4007864271,461.603</v>
      </c>
      <c r="BB178" t="str">
        <f t="shared" si="94"/>
        <v>-text 18409.4007864271,337 3.5 90 456.403 </v>
      </c>
      <c r="BC178" t="str">
        <f t="shared" si="95"/>
        <v>-text 18409.4007864271,320 3.5 90 461.603 </v>
      </c>
      <c r="BD178" t="str">
        <f t="shared" si="96"/>
        <v>-text 18409.4007864271,306 3.5 90 460.324 </v>
      </c>
      <c r="BE178" t="str">
        <f t="shared" si="97"/>
        <v>-text 18409.4007864271,352 3.5 90 ZG36+820.802 </v>
      </c>
      <c r="BF178" t="str">
        <f t="shared" si="98"/>
        <v>-text 18409.4007864271,280 3.5 90 狮子山隧进 </v>
      </c>
      <c r="BG178" t="str">
        <f t="shared" si="99"/>
        <v/>
      </c>
      <c r="BH178" t="str">
        <f t="shared" si="100"/>
        <v> </v>
      </c>
      <c r="BI178" t="str">
        <f t="shared" si="101"/>
        <v> </v>
      </c>
      <c r="BJ178" t="str">
        <f t="shared" si="102"/>
        <v> </v>
      </c>
    </row>
    <row r="179" spans="1:62">
      <c r="A179">
        <v>1</v>
      </c>
      <c r="B179">
        <v>178</v>
      </c>
      <c r="C179" t="s">
        <v>187</v>
      </c>
      <c r="D179">
        <v>467086.1937</v>
      </c>
      <c r="E179">
        <v>3384122.7065</v>
      </c>
      <c r="F179">
        <v>80</v>
      </c>
      <c r="G179">
        <f t="shared" si="103"/>
        <v>16.904</v>
      </c>
      <c r="H179">
        <f t="shared" si="104"/>
        <v>11.8875710798145</v>
      </c>
      <c r="I179">
        <f t="shared" si="105"/>
        <v>23.6024365405697</v>
      </c>
      <c r="J179">
        <f t="shared" si="106"/>
        <v>58.0786019460745</v>
      </c>
      <c r="K179" s="40">
        <f t="shared" si="107"/>
        <v>36866.9926037204</v>
      </c>
      <c r="L179" s="40">
        <f t="shared" si="108"/>
        <v>36878.7938219907</v>
      </c>
      <c r="M179" s="40">
        <f t="shared" si="109"/>
        <v>36890.595040261</v>
      </c>
      <c r="N179">
        <v>460.3</v>
      </c>
      <c r="O179">
        <v>456.379</v>
      </c>
      <c r="P179">
        <v>0.002</v>
      </c>
      <c r="Q179" s="39">
        <f t="shared" si="115"/>
        <v>467075.839495064</v>
      </c>
      <c r="R179" s="39">
        <f t="shared" si="116"/>
        <v>3384116.86656967</v>
      </c>
      <c r="S179" s="39">
        <f t="shared" si="110"/>
        <v>467086.508076527</v>
      </c>
      <c r="T179" s="39">
        <f t="shared" si="111"/>
        <v>3384121.8863195</v>
      </c>
      <c r="U179" s="39">
        <f t="shared" si="112"/>
        <v>467097.798582375</v>
      </c>
      <c r="V179" s="39">
        <f t="shared" si="113"/>
        <v>3384125.28352372</v>
      </c>
      <c r="AI179" t="str">
        <f t="array" ref="AI179">IFERROR(INDEX($L$2:$L$805,SMALL(IF(ISNUMBER(FIND($AH$2,$C$2:$C$805)),ROW($2:$805)-1,4^8),ROW(A178)))&amp;"","")</f>
        <v>120876.992414388</v>
      </c>
      <c r="AJ179" t="str">
        <f t="array" ref="AJ179">IFERROR(INDEX($C$2:$C$805,SMALL(IF(ISNUMBER(FIND($AH$2,$C$2:$C$805)),ROW($2:$805)-1,4^8),ROW(B178)))&amp;"","")</f>
        <v>吕家沟渡槽出</v>
      </c>
      <c r="AS179" t="str">
        <f>"-text"&amp;" "&amp;D179&amp;","&amp;E179&amp;" "&amp;"10"&amp;" "&amp;"0"&amp;" "&amp;C179</f>
        <v>-text 467086.1937,3384122.7065 10 0 IP92</v>
      </c>
      <c r="AT179" t="str">
        <f t="shared" si="88"/>
        <v>467086.1937,3384122.7065</v>
      </c>
      <c r="AV179">
        <f t="shared" si="89"/>
        <v>461.579</v>
      </c>
      <c r="AX179" t="str">
        <f t="shared" si="90"/>
        <v>pl 18439.3969109954,279 18439.3969109954,400 </v>
      </c>
      <c r="AY179" t="str">
        <f t="shared" si="91"/>
        <v>18439.3969109954,456.379</v>
      </c>
      <c r="AZ179" t="str">
        <f t="shared" si="92"/>
        <v>18439.3969109954,460.3</v>
      </c>
      <c r="BA179" t="str">
        <f t="shared" si="93"/>
        <v>18439.3969109954,461.579</v>
      </c>
      <c r="BB179" t="str">
        <f t="shared" si="94"/>
        <v>-text 18438.3969109954,337 3.5 90 456.379 </v>
      </c>
      <c r="BC179" t="str">
        <f t="shared" si="95"/>
        <v>-text 18438.3969109954,320 3.5 90 461.579 </v>
      </c>
      <c r="BD179" t="str">
        <f t="shared" si="96"/>
        <v>-text 18438.3969109954,306 3.5 90 460.300 </v>
      </c>
      <c r="BE179" t="str">
        <f t="shared" si="97"/>
        <v>-text 18438.3969109954,352 3.5 90 ZG36+878.794 </v>
      </c>
      <c r="BF179" t="str">
        <f t="shared" si="98"/>
        <v>-text 18438.3969109954,280 3.5 90 IP92 </v>
      </c>
      <c r="BG179" t="str">
        <f t="shared" si="99"/>
        <v>-TEXT 18440.3969109954,300 3.5 0 R=80</v>
      </c>
      <c r="BH179" t="str">
        <f t="shared" si="100"/>
        <v>-TEXT 18440.3969109954,295 3.5 0 α=16.90° </v>
      </c>
      <c r="BI179" t="str">
        <f t="shared" si="101"/>
        <v>-TEXT 18440.3969109954,290 3.5 0 T=11.89 </v>
      </c>
      <c r="BJ179" t="str">
        <f t="shared" si="102"/>
        <v>-TEXT 18440.3969109954,285 3.5 0 S=23.60 </v>
      </c>
    </row>
    <row r="180" spans="1:62">
      <c r="A180">
        <v>1</v>
      </c>
      <c r="B180">
        <v>179</v>
      </c>
      <c r="C180" t="str">
        <f>Sheet1!C168</f>
        <v>狮子山隧出</v>
      </c>
      <c r="D180">
        <v>467196.0635</v>
      </c>
      <c r="E180">
        <v>3384147.1046</v>
      </c>
      <c r="G180">
        <f t="shared" si="103"/>
        <v>0</v>
      </c>
      <c r="H180">
        <f t="shared" si="104"/>
        <v>0</v>
      </c>
      <c r="I180">
        <f t="shared" si="105"/>
        <v>0</v>
      </c>
      <c r="J180">
        <f t="shared" si="106"/>
        <v>112.546169351353</v>
      </c>
      <c r="K180" s="40">
        <f t="shared" si="107"/>
        <v>36991.2536385325</v>
      </c>
      <c r="L180" s="40">
        <f t="shared" si="108"/>
        <v>36991.2536385325</v>
      </c>
      <c r="M180" s="40">
        <f t="shared" si="109"/>
        <v>36991.2536385325</v>
      </c>
      <c r="N180">
        <v>460.254</v>
      </c>
      <c r="O180">
        <v>456.333</v>
      </c>
      <c r="P180">
        <v>0</v>
      </c>
      <c r="Q180" s="39">
        <f t="shared" si="115"/>
        <v>467196.0635</v>
      </c>
      <c r="R180" s="39">
        <f t="shared" si="116"/>
        <v>3384147.1046</v>
      </c>
      <c r="S180" s="39" t="str">
        <f t="shared" si="110"/>
        <v> </v>
      </c>
      <c r="T180" s="39" t="str">
        <f t="shared" si="111"/>
        <v> </v>
      </c>
      <c r="U180" s="39" t="str">
        <f t="shared" si="112"/>
        <v> </v>
      </c>
      <c r="V180" s="39" t="str">
        <f t="shared" si="113"/>
        <v> </v>
      </c>
      <c r="AI180" t="str">
        <f t="array" ref="AI180">IFERROR(INDEX($L$2:$L$805,SMALL(IF(ISNUMBER(FIND($AH$2,$C$2:$C$805)),ROW($2:$805)-1,4^8),ROW(A179)))&amp;"","")</f>
        <v>121074.139610097</v>
      </c>
      <c r="AJ180" t="str">
        <f t="array" ref="AJ180">IFERROR(INDEX($C$2:$C$805,SMALL(IF(ISNUMBER(FIND($AH$2,$C$2:$C$805)),ROW($2:$805)-1,4^8),ROW(B179)))&amp;"","")</f>
        <v>杉木湾1#隧出</v>
      </c>
      <c r="AT180" t="str">
        <f t="shared" si="88"/>
        <v>467196.0635,3384147.1046</v>
      </c>
      <c r="AV180">
        <f t="shared" si="89"/>
        <v>461.533</v>
      </c>
      <c r="AX180" t="str">
        <f t="shared" si="90"/>
        <v>pl 18495.6268192663,279 18495.6268192663,400 </v>
      </c>
      <c r="AY180" t="str">
        <f t="shared" si="91"/>
        <v>18495.6268192663,456.333</v>
      </c>
      <c r="AZ180" t="str">
        <f t="shared" si="92"/>
        <v>18495.6268192663,460.254</v>
      </c>
      <c r="BA180" t="str">
        <f t="shared" si="93"/>
        <v>18495.6268192663,461.533</v>
      </c>
      <c r="BB180" t="str">
        <f t="shared" si="94"/>
        <v>-text 18494.6268192663,337 3.5 90 456.333 </v>
      </c>
      <c r="BC180" t="str">
        <f t="shared" si="95"/>
        <v>-text 18494.6268192663,320 3.5 90 461.533 </v>
      </c>
      <c r="BD180" t="str">
        <f t="shared" si="96"/>
        <v>-text 18494.6268192663,306 3.5 90 460.254 </v>
      </c>
      <c r="BE180" t="str">
        <f t="shared" si="97"/>
        <v>-text 18494.6268192663,352 3.5 90 ZG36+991.254 </v>
      </c>
      <c r="BF180" t="str">
        <f t="shared" si="98"/>
        <v>-text 18494.6268192663,280 3.5 90 狮子山隧出 </v>
      </c>
      <c r="BG180" t="str">
        <f t="shared" si="99"/>
        <v/>
      </c>
      <c r="BH180" t="str">
        <f t="shared" si="100"/>
        <v> </v>
      </c>
      <c r="BI180" t="str">
        <f t="shared" si="101"/>
        <v> </v>
      </c>
      <c r="BJ180" t="str">
        <f t="shared" si="102"/>
        <v> </v>
      </c>
    </row>
    <row r="181" spans="1:62">
      <c r="A181">
        <v>2</v>
      </c>
      <c r="B181">
        <v>180</v>
      </c>
      <c r="C181" t="str">
        <f>Sheet1!C169</f>
        <v>小沟渡槽进</v>
      </c>
      <c r="D181">
        <v>467240.017</v>
      </c>
      <c r="E181">
        <v>3384156.865</v>
      </c>
      <c r="G181">
        <f t="shared" si="103"/>
        <v>0</v>
      </c>
      <c r="H181">
        <f t="shared" si="104"/>
        <v>0</v>
      </c>
      <c r="I181">
        <f t="shared" si="105"/>
        <v>0</v>
      </c>
      <c r="J181">
        <f t="shared" si="106"/>
        <v>45.0241665154486</v>
      </c>
      <c r="K181" s="40">
        <f t="shared" si="107"/>
        <v>37036.277805048</v>
      </c>
      <c r="L181" s="40">
        <f t="shared" si="108"/>
        <v>37036.277805048</v>
      </c>
      <c r="M181" s="40">
        <f t="shared" si="109"/>
        <v>37036.277805048</v>
      </c>
      <c r="N181">
        <v>460.177</v>
      </c>
      <c r="O181">
        <v>456.294</v>
      </c>
      <c r="P181">
        <v>0</v>
      </c>
      <c r="Q181" s="39">
        <f t="shared" si="115"/>
        <v>467240.017</v>
      </c>
      <c r="R181" s="39">
        <f t="shared" si="116"/>
        <v>3384156.865</v>
      </c>
      <c r="S181" s="39" t="str">
        <f t="shared" si="110"/>
        <v> </v>
      </c>
      <c r="T181" s="39" t="str">
        <f t="shared" si="111"/>
        <v> </v>
      </c>
      <c r="U181" s="39" t="str">
        <f t="shared" si="112"/>
        <v> </v>
      </c>
      <c r="V181" s="39" t="str">
        <f t="shared" si="113"/>
        <v> </v>
      </c>
      <c r="AI181" t="str">
        <f t="array" ref="AI181">IFERROR(INDEX($L$2:$L$805,SMALL(IF(ISNUMBER(FIND($AH$2,$C$2:$C$805)),ROW($2:$805)-1,4^8),ROW(A180)))&amp;"","")</f>
        <v>121232.947552222</v>
      </c>
      <c r="AJ181" t="str">
        <f t="array" ref="AJ181">IFERROR(INDEX($C$2:$C$805,SMALL(IF(ISNUMBER(FIND($AH$2,$C$2:$C$805)),ROW($2:$805)-1,4^8),ROW(B180)))&amp;"","")</f>
        <v>杉木湾2#隧出</v>
      </c>
      <c r="AT181" t="str">
        <f t="shared" si="88"/>
        <v>467240.017,3384156.865</v>
      </c>
      <c r="AV181">
        <f t="shared" si="89"/>
        <v>460.894</v>
      </c>
      <c r="AX181" t="str">
        <f t="shared" si="90"/>
        <v>pl 18518.138902524,279 18518.138902524,400 </v>
      </c>
      <c r="AY181" t="str">
        <f t="shared" si="91"/>
        <v>18518.138902524,456.294</v>
      </c>
      <c r="AZ181" t="str">
        <f t="shared" si="92"/>
        <v>18518.138902524,460.177</v>
      </c>
      <c r="BA181" t="str">
        <f t="shared" si="93"/>
        <v>18518.138902524,460.894</v>
      </c>
      <c r="BB181" t="str">
        <f t="shared" si="94"/>
        <v>-text 18517.138902524,337 3.5 90 456.294 </v>
      </c>
      <c r="BC181" t="str">
        <f t="shared" si="95"/>
        <v>-text 18517.138902524,320 3.5 90 460.894 </v>
      </c>
      <c r="BD181" t="str">
        <f t="shared" si="96"/>
        <v>-text 18517.138902524,306 3.5 90 460.177 </v>
      </c>
      <c r="BE181" t="str">
        <f t="shared" si="97"/>
        <v>-text 18517.138902524,352 3.5 90 ZG37+036.278 </v>
      </c>
      <c r="BF181" t="str">
        <f t="shared" si="98"/>
        <v>-text 18517.138902524,280 3.5 90 小沟渡槽进 </v>
      </c>
      <c r="BG181" t="str">
        <f t="shared" si="99"/>
        <v/>
      </c>
      <c r="BH181" t="str">
        <f t="shared" si="100"/>
        <v> </v>
      </c>
      <c r="BI181" t="str">
        <f t="shared" si="101"/>
        <v> </v>
      </c>
      <c r="BJ181" t="str">
        <f t="shared" si="102"/>
        <v> </v>
      </c>
    </row>
    <row r="182" spans="1:62">
      <c r="A182">
        <v>2</v>
      </c>
      <c r="B182">
        <v>181</v>
      </c>
      <c r="C182" t="str">
        <f>Sheet1!C170</f>
        <v>小沟渡槽出</v>
      </c>
      <c r="D182">
        <v>467471.4516</v>
      </c>
      <c r="E182">
        <v>3384208.2583</v>
      </c>
      <c r="G182">
        <f t="shared" si="103"/>
        <v>0</v>
      </c>
      <c r="H182">
        <f t="shared" si="104"/>
        <v>0</v>
      </c>
      <c r="I182">
        <f t="shared" si="105"/>
        <v>0</v>
      </c>
      <c r="J182">
        <f t="shared" si="106"/>
        <v>237.072236590462</v>
      </c>
      <c r="K182" s="40">
        <f t="shared" si="107"/>
        <v>37273.3500416384</v>
      </c>
      <c r="L182" s="40">
        <f t="shared" si="108"/>
        <v>37273.3500416384</v>
      </c>
      <c r="M182" s="40">
        <f t="shared" si="109"/>
        <v>37273.3500416384</v>
      </c>
      <c r="N182">
        <v>460.069</v>
      </c>
      <c r="O182">
        <v>456.186</v>
      </c>
      <c r="P182">
        <v>0</v>
      </c>
      <c r="Q182" s="39">
        <f t="shared" si="115"/>
        <v>467471.4516</v>
      </c>
      <c r="R182" s="39">
        <f t="shared" si="116"/>
        <v>3384208.2583</v>
      </c>
      <c r="S182" s="39" t="str">
        <f t="shared" si="110"/>
        <v> </v>
      </c>
      <c r="T182" s="39" t="str">
        <f t="shared" si="111"/>
        <v> </v>
      </c>
      <c r="U182" s="39" t="str">
        <f t="shared" si="112"/>
        <v> </v>
      </c>
      <c r="V182" s="39" t="str">
        <f t="shared" si="113"/>
        <v> </v>
      </c>
      <c r="AI182" t="str">
        <f t="array" ref="AI182">IFERROR(INDEX($L$2:$L$805,SMALL(IF(ISNUMBER(FIND($AH$2,$C$2:$C$805)),ROW($2:$805)-1,4^8),ROW(A181)))&amp;"","")</f>
        <v>121535.75841022</v>
      </c>
      <c r="AJ182" t="str">
        <f t="array" ref="AJ182">IFERROR(INDEX($C$2:$C$805,SMALL(IF(ISNUMBER(FIND($AH$2,$C$2:$C$805)),ROW($2:$805)-1,4^8),ROW(B181)))&amp;"","")</f>
        <v>吴家坝渡槽出</v>
      </c>
      <c r="AT182" t="str">
        <f t="shared" si="88"/>
        <v>467471.4516,3384208.2583</v>
      </c>
      <c r="AV182">
        <f t="shared" si="89"/>
        <v>460.786</v>
      </c>
      <c r="AX182" t="str">
        <f t="shared" si="90"/>
        <v>pl 18636.6750208192,279 18636.6750208192,400 </v>
      </c>
      <c r="AY182" t="str">
        <f t="shared" si="91"/>
        <v>18636.6750208192,456.186</v>
      </c>
      <c r="AZ182" t="str">
        <f t="shared" si="92"/>
        <v>18636.6750208192,460.069</v>
      </c>
      <c r="BA182" t="str">
        <f t="shared" si="93"/>
        <v>18636.6750208192,460.786</v>
      </c>
      <c r="BB182" t="str">
        <f t="shared" si="94"/>
        <v>-text 18635.6750208192,337 3.5 90 456.186 </v>
      </c>
      <c r="BC182" t="str">
        <f t="shared" si="95"/>
        <v>-text 18635.6750208192,320 3.5 90 460.786 </v>
      </c>
      <c r="BD182" t="str">
        <f t="shared" si="96"/>
        <v>-text 18635.6750208192,306 3.5 90 460.069 </v>
      </c>
      <c r="BE182" t="str">
        <f t="shared" si="97"/>
        <v>-text 18635.6750208192,352 3.5 90 ZG37+273.350 </v>
      </c>
      <c r="BF182" t="str">
        <f t="shared" si="98"/>
        <v>-text 18635.6750208192,280 3.5 90 小沟渡槽出 </v>
      </c>
      <c r="BG182" t="str">
        <f t="shared" si="99"/>
        <v/>
      </c>
      <c r="BH182" t="str">
        <f t="shared" si="100"/>
        <v> </v>
      </c>
      <c r="BI182" t="str">
        <f t="shared" si="101"/>
        <v> </v>
      </c>
      <c r="BJ182" t="str">
        <f t="shared" si="102"/>
        <v> </v>
      </c>
    </row>
    <row r="183" spans="1:62">
      <c r="A183">
        <v>0</v>
      </c>
      <c r="B183">
        <v>182</v>
      </c>
      <c r="C183" t="s">
        <v>191</v>
      </c>
      <c r="D183">
        <v>467518.1556</v>
      </c>
      <c r="E183">
        <v>3384218.6296</v>
      </c>
      <c r="F183">
        <v>80</v>
      </c>
      <c r="G183">
        <f t="shared" si="103"/>
        <v>2.408</v>
      </c>
      <c r="H183">
        <f t="shared" si="104"/>
        <v>1.68134862515456</v>
      </c>
      <c r="I183">
        <f t="shared" si="105"/>
        <v>3.36220227104188</v>
      </c>
      <c r="J183">
        <f t="shared" si="106"/>
        <v>47.8416918565526</v>
      </c>
      <c r="K183" s="40">
        <f t="shared" si="107"/>
        <v>37319.5103848698</v>
      </c>
      <c r="L183" s="40">
        <f t="shared" si="108"/>
        <v>37321.1914860053</v>
      </c>
      <c r="M183" s="40">
        <f t="shared" si="109"/>
        <v>37322.8725871409</v>
      </c>
      <c r="N183">
        <v>460.124</v>
      </c>
      <c r="O183">
        <v>456.155</v>
      </c>
      <c r="P183">
        <v>0</v>
      </c>
      <c r="Q183" s="39">
        <f t="shared" si="115"/>
        <v>467516.514234422</v>
      </c>
      <c r="R183" s="39">
        <f t="shared" si="116"/>
        <v>3384218.26511099</v>
      </c>
      <c r="S183" s="39">
        <f t="shared" si="110"/>
        <v>467518.159066741</v>
      </c>
      <c r="T183" s="39">
        <f t="shared" si="111"/>
        <v>3384218.61227603</v>
      </c>
      <c r="U183" s="39">
        <f t="shared" si="112"/>
        <v>467519.81083101</v>
      </c>
      <c r="V183" s="39">
        <f t="shared" si="113"/>
        <v>3384218.92480079</v>
      </c>
      <c r="AI183" t="str">
        <f t="array" ref="AI183">IFERROR(INDEX($L$2:$L$805,SMALL(IF(ISNUMBER(FIND($AH$2,$C$2:$C$805)),ROW($2:$805)-1,4^8),ROW(A182)))&amp;"","")</f>
        <v>122235.546373686</v>
      </c>
      <c r="AJ183" t="str">
        <f t="array" ref="AJ183">IFERROR(INDEX($C$2:$C$805,SMALL(IF(ISNUMBER(FIND($AH$2,$C$2:$C$805)),ROW($2:$805)-1,4^8),ROW(B182)))&amp;"","")</f>
        <v>乌木厅1#隧出</v>
      </c>
      <c r="AS183" t="str">
        <f>"-text"&amp;" "&amp;D183&amp;","&amp;E183&amp;" "&amp;"10"&amp;" "&amp;"0"&amp;" "&amp;C183</f>
        <v>-text 467518.1556,3384218.6296 10 0 IP93</v>
      </c>
      <c r="AT183" t="str">
        <f t="shared" si="88"/>
        <v>467518.1556,3384218.6296</v>
      </c>
      <c r="AV183">
        <f t="shared" si="89"/>
        <v>461.655</v>
      </c>
      <c r="AX183" t="str">
        <f t="shared" si="90"/>
        <v>pl 18660.5957430027,279 18660.5957430027,400 </v>
      </c>
      <c r="AY183" t="str">
        <f t="shared" si="91"/>
        <v>18660.5957430027,456.155</v>
      </c>
      <c r="AZ183" t="str">
        <f t="shared" si="92"/>
        <v>18660.5957430027,460.124</v>
      </c>
      <c r="BA183" t="str">
        <f t="shared" si="93"/>
        <v>18660.5957430027,461.655</v>
      </c>
      <c r="BB183" t="str">
        <f t="shared" si="94"/>
        <v>-text 18659.5957430027,337 3.5 90 456.155 </v>
      </c>
      <c r="BC183" t="str">
        <f t="shared" si="95"/>
        <v>-text 18659.5957430027,320 3.5 90 461.655 </v>
      </c>
      <c r="BD183" t="str">
        <f t="shared" si="96"/>
        <v>-text 18659.5957430027,306 3.5 90 460.124 </v>
      </c>
      <c r="BE183" t="str">
        <f t="shared" si="97"/>
        <v>-text 18659.5957430027,352 3.5 90 ZG37+321.191 </v>
      </c>
      <c r="BF183" t="str">
        <f t="shared" si="98"/>
        <v>-text 18659.5957430027,280 3.5 90 IP93 </v>
      </c>
      <c r="BG183" t="str">
        <f t="shared" si="99"/>
        <v>-TEXT 18661.5957430027,300 3.5 0 R=80</v>
      </c>
      <c r="BH183" t="str">
        <f t="shared" si="100"/>
        <v>-TEXT 18661.5957430027,295 3.5 0 α=2.41° </v>
      </c>
      <c r="BI183" t="str">
        <f t="shared" si="101"/>
        <v>-TEXT 18661.5957430027,290 3.5 0 T=1.68 </v>
      </c>
      <c r="BJ183" t="str">
        <f t="shared" si="102"/>
        <v>-TEXT 18661.5957430027,285 3.5 0 S=3.36 </v>
      </c>
    </row>
    <row r="184" spans="1:62">
      <c r="A184">
        <v>1</v>
      </c>
      <c r="B184">
        <v>183</v>
      </c>
      <c r="C184" t="str">
        <f>Sheet1!C172</f>
        <v>大梁子隧进</v>
      </c>
      <c r="D184">
        <v>467548.1392</v>
      </c>
      <c r="E184">
        <v>3384223.977</v>
      </c>
      <c r="G184">
        <f t="shared" si="103"/>
        <v>0</v>
      </c>
      <c r="H184">
        <f t="shared" si="104"/>
        <v>0</v>
      </c>
      <c r="I184">
        <f t="shared" si="105"/>
        <v>0</v>
      </c>
      <c r="J184">
        <f t="shared" si="106"/>
        <v>30.4567062519422</v>
      </c>
      <c r="K184" s="40">
        <f t="shared" si="107"/>
        <v>37351.6479447677</v>
      </c>
      <c r="L184" s="40">
        <f t="shared" si="108"/>
        <v>37351.6479447677</v>
      </c>
      <c r="M184" s="40">
        <f t="shared" si="109"/>
        <v>37351.6479447677</v>
      </c>
      <c r="N184">
        <v>460.022</v>
      </c>
      <c r="O184">
        <v>456.102</v>
      </c>
      <c r="P184">
        <v>0</v>
      </c>
      <c r="Q184" s="39">
        <f t="shared" si="115"/>
        <v>467548.1392</v>
      </c>
      <c r="R184" s="39">
        <f t="shared" si="116"/>
        <v>3384223.977</v>
      </c>
      <c r="S184" s="39" t="str">
        <f t="shared" si="110"/>
        <v> </v>
      </c>
      <c r="T184" s="39" t="str">
        <f t="shared" si="111"/>
        <v> </v>
      </c>
      <c r="U184" s="39" t="str">
        <f t="shared" si="112"/>
        <v> </v>
      </c>
      <c r="V184" s="39" t="str">
        <f t="shared" si="113"/>
        <v> </v>
      </c>
      <c r="AI184" t="str">
        <f t="array" ref="AI184">IFERROR(INDEX($L$2:$L$805,SMALL(IF(ISNUMBER(FIND($AH$2,$C$2:$C$805)),ROW($2:$805)-1,4^8),ROW(A183)))&amp;"","")</f>
        <v>122437.903897345</v>
      </c>
      <c r="AJ184" t="str">
        <f t="array" ref="AJ184">IFERROR(INDEX($C$2:$C$805,SMALL(IF(ISNUMBER(FIND($AH$2,$C$2:$C$805)),ROW($2:$805)-1,4^8),ROW(B183)))&amp;"","")</f>
        <v>乌木厅2#隧出</v>
      </c>
      <c r="AT184" t="str">
        <f t="shared" si="88"/>
        <v>467548.1392,3384223.977</v>
      </c>
      <c r="AV184">
        <f t="shared" si="89"/>
        <v>461.302</v>
      </c>
      <c r="AX184" t="str">
        <f t="shared" si="90"/>
        <v>pl 18675.8239723838,279 18675.8239723838,400 </v>
      </c>
      <c r="AY184" t="str">
        <f t="shared" si="91"/>
        <v>18675.8239723838,456.102</v>
      </c>
      <c r="AZ184" t="str">
        <f t="shared" si="92"/>
        <v>18675.8239723838,460.022</v>
      </c>
      <c r="BA184" t="str">
        <f t="shared" si="93"/>
        <v>18675.8239723838,461.302</v>
      </c>
      <c r="BB184" t="str">
        <f t="shared" si="94"/>
        <v>-text 18674.8239723838,337 3.5 90 456.102 </v>
      </c>
      <c r="BC184" t="str">
        <f t="shared" si="95"/>
        <v>-text 18674.8239723838,320 3.5 90 461.302 </v>
      </c>
      <c r="BD184" t="str">
        <f t="shared" si="96"/>
        <v>-text 18674.8239723838,306 3.5 90 460.022 </v>
      </c>
      <c r="BE184" t="str">
        <f t="shared" si="97"/>
        <v>-text 18674.8239723838,352 3.5 90 ZG37+351.648 </v>
      </c>
      <c r="BF184" t="str">
        <f t="shared" si="98"/>
        <v>-text 18674.8239723838,280 3.5 90 大梁子隧进 </v>
      </c>
      <c r="BG184" t="str">
        <f t="shared" si="99"/>
        <v/>
      </c>
      <c r="BH184" t="str">
        <f t="shared" si="100"/>
        <v> </v>
      </c>
      <c r="BI184" t="str">
        <f t="shared" si="101"/>
        <v> </v>
      </c>
      <c r="BJ184" t="str">
        <f t="shared" si="102"/>
        <v> </v>
      </c>
    </row>
    <row r="185" spans="1:62">
      <c r="A185">
        <v>1</v>
      </c>
      <c r="B185">
        <v>184</v>
      </c>
      <c r="C185" t="str">
        <f>Sheet1!C173</f>
        <v>大梁子隧出</v>
      </c>
      <c r="D185">
        <v>467762.1714</v>
      </c>
      <c r="E185">
        <v>3384262.1481</v>
      </c>
      <c r="G185">
        <f t="shared" si="103"/>
        <v>0</v>
      </c>
      <c r="H185">
        <f t="shared" si="104"/>
        <v>0</v>
      </c>
      <c r="I185">
        <f t="shared" si="105"/>
        <v>0</v>
      </c>
      <c r="J185">
        <f t="shared" si="106"/>
        <v>217.409327104544</v>
      </c>
      <c r="K185" s="40">
        <f t="shared" si="107"/>
        <v>37569.0572718722</v>
      </c>
      <c r="L185" s="40">
        <f t="shared" si="108"/>
        <v>37569.0572718722</v>
      </c>
      <c r="M185" s="40">
        <f t="shared" si="109"/>
        <v>37569.0572718722</v>
      </c>
      <c r="N185">
        <v>459.936</v>
      </c>
      <c r="O185">
        <v>456.015</v>
      </c>
      <c r="P185">
        <v>0</v>
      </c>
      <c r="Q185" s="39">
        <f t="shared" si="115"/>
        <v>467762.1714</v>
      </c>
      <c r="R185" s="39">
        <f t="shared" si="116"/>
        <v>3384262.1481</v>
      </c>
      <c r="S185" s="39" t="str">
        <f t="shared" si="110"/>
        <v> </v>
      </c>
      <c r="T185" s="39" t="str">
        <f t="shared" si="111"/>
        <v> </v>
      </c>
      <c r="U185" s="39" t="str">
        <f t="shared" si="112"/>
        <v> </v>
      </c>
      <c r="V185" s="39" t="str">
        <f t="shared" si="113"/>
        <v> </v>
      </c>
      <c r="AI185" t="str">
        <f t="array" ref="AI185">IFERROR(INDEX($L$2:$L$805,SMALL(IF(ISNUMBER(FIND($AH$2,$C$2:$C$805)),ROW($2:$805)-1,4^8),ROW(A184)))&amp;"","")</f>
        <v>123055.285890703</v>
      </c>
      <c r="AJ185" t="str">
        <f t="array" ref="AJ185">IFERROR(INDEX($C$2:$C$805,SMALL(IF(ISNUMBER(FIND($AH$2,$C$2:$C$805)),ROW($2:$805)-1,4^8),ROW(B184)))&amp;"","")</f>
        <v>马尾坡渡槽出</v>
      </c>
      <c r="AT185" t="str">
        <f t="shared" si="88"/>
        <v>467762.1714,3384262.1481</v>
      </c>
      <c r="AV185">
        <f t="shared" si="89"/>
        <v>461.215</v>
      </c>
      <c r="AX185" t="str">
        <f t="shared" si="90"/>
        <v>pl 18784.5286359361,279 18784.5286359361,400 </v>
      </c>
      <c r="AY185" t="str">
        <f t="shared" si="91"/>
        <v>18784.5286359361,456.015</v>
      </c>
      <c r="AZ185" t="str">
        <f t="shared" si="92"/>
        <v>18784.5286359361,459.936</v>
      </c>
      <c r="BA185" t="str">
        <f t="shared" si="93"/>
        <v>18784.5286359361,461.215</v>
      </c>
      <c r="BB185" t="str">
        <f t="shared" si="94"/>
        <v>-text 18783.5286359361,337 3.5 90 456.015 </v>
      </c>
      <c r="BC185" t="str">
        <f t="shared" si="95"/>
        <v>-text 18783.5286359361,320 3.5 90 461.215 </v>
      </c>
      <c r="BD185" t="str">
        <f t="shared" si="96"/>
        <v>-text 18783.5286359361,306 3.5 90 459.936 </v>
      </c>
      <c r="BE185" t="str">
        <f t="shared" si="97"/>
        <v>-text 18783.5286359361,352 3.5 90 ZG37+569.057 </v>
      </c>
      <c r="BF185" t="str">
        <f t="shared" si="98"/>
        <v>-text 18783.5286359361,280 3.5 90 大梁子隧出 </v>
      </c>
      <c r="BG185" t="str">
        <f t="shared" si="99"/>
        <v/>
      </c>
      <c r="BH185" t="str">
        <f t="shared" si="100"/>
        <v> </v>
      </c>
      <c r="BI185" t="str">
        <f t="shared" si="101"/>
        <v> </v>
      </c>
      <c r="BJ185" t="str">
        <f t="shared" si="102"/>
        <v> </v>
      </c>
    </row>
    <row r="186" spans="1:62">
      <c r="A186">
        <v>0</v>
      </c>
      <c r="B186">
        <v>185</v>
      </c>
      <c r="C186" t="s">
        <v>194</v>
      </c>
      <c r="D186">
        <v>467824.7816</v>
      </c>
      <c r="E186">
        <v>3384273.3142</v>
      </c>
      <c r="F186">
        <v>80</v>
      </c>
      <c r="G186">
        <f t="shared" si="103"/>
        <v>7.305</v>
      </c>
      <c r="H186">
        <f t="shared" si="104"/>
        <v>5.10677162757963</v>
      </c>
      <c r="I186">
        <f t="shared" si="105"/>
        <v>10.1997041486549</v>
      </c>
      <c r="J186">
        <f t="shared" si="106"/>
        <v>63.5981047929114</v>
      </c>
      <c r="K186" s="40">
        <f t="shared" si="107"/>
        <v>37627.5486050375</v>
      </c>
      <c r="L186" s="40">
        <f t="shared" si="108"/>
        <v>37632.6484571119</v>
      </c>
      <c r="M186" s="40">
        <f t="shared" si="109"/>
        <v>37637.7483091862</v>
      </c>
      <c r="N186">
        <v>459.975</v>
      </c>
      <c r="O186">
        <v>456.006</v>
      </c>
      <c r="P186">
        <v>0</v>
      </c>
      <c r="Q186" s="39">
        <f t="shared" si="115"/>
        <v>467819.754154701</v>
      </c>
      <c r="R186" s="39">
        <f t="shared" si="116"/>
        <v>3384272.41758959</v>
      </c>
      <c r="S186" s="39">
        <f t="shared" si="110"/>
        <v>467824.799918648</v>
      </c>
      <c r="T186" s="39">
        <f t="shared" si="111"/>
        <v>3384273.15239918</v>
      </c>
      <c r="U186" s="39">
        <f t="shared" si="112"/>
        <v>467829.882245472</v>
      </c>
      <c r="V186" s="39">
        <f t="shared" si="113"/>
        <v>3384273.56426444</v>
      </c>
      <c r="AI186" t="str">
        <f t="array" ref="AI186">IFERROR(INDEX($L$2:$L$805,SMALL(IF(ISNUMBER(FIND($AH$2,$C$2:$C$805)),ROW($2:$805)-1,4^8),ROW(A185)))&amp;"","")</f>
        <v>123305.798116445</v>
      </c>
      <c r="AJ186" t="str">
        <f t="array" ref="AJ186">IFERROR(INDEX($C$2:$C$805,SMALL(IF(ISNUMBER(FIND($AH$2,$C$2:$C$805)),ROW($2:$805)-1,4^8),ROW(B185)))&amp;"","")</f>
        <v>蒋家湾隧出</v>
      </c>
      <c r="AS186" t="str">
        <f>"-text"&amp;" "&amp;D186&amp;","&amp;E186&amp;" "&amp;"10"&amp;" "&amp;"0"&amp;" "&amp;C186</f>
        <v>-text 467824.7816,3384273.3142 10 0 IP94</v>
      </c>
      <c r="AT186" t="str">
        <f t="shared" si="88"/>
        <v>467824.7816,3384273.3142</v>
      </c>
      <c r="AV186">
        <f t="shared" si="89"/>
        <v>461.506</v>
      </c>
      <c r="AX186" t="str">
        <f t="shared" si="90"/>
        <v>pl 18816.3242285559,279 18816.3242285559,400 </v>
      </c>
      <c r="AY186" t="str">
        <f t="shared" si="91"/>
        <v>18816.3242285559,456.006</v>
      </c>
      <c r="AZ186" t="str">
        <f t="shared" si="92"/>
        <v>18816.3242285559,459.975</v>
      </c>
      <c r="BA186" t="str">
        <f t="shared" si="93"/>
        <v>18816.3242285559,461.506</v>
      </c>
      <c r="BB186" t="str">
        <f t="shared" si="94"/>
        <v>-text 18815.3242285559,337 3.5 90 456.006 </v>
      </c>
      <c r="BC186" t="str">
        <f t="shared" si="95"/>
        <v>-text 18815.3242285559,320 3.5 90 461.506 </v>
      </c>
      <c r="BD186" t="str">
        <f t="shared" si="96"/>
        <v>-text 18815.3242285559,306 3.5 90 459.975 </v>
      </c>
      <c r="BE186" t="str">
        <f t="shared" si="97"/>
        <v>-text 18815.3242285559,352 3.5 90 ZG37+632.648 </v>
      </c>
      <c r="BF186" t="str">
        <f t="shared" si="98"/>
        <v>-text 18815.3242285559,280 3.5 90 IP94 </v>
      </c>
      <c r="BG186" t="str">
        <f t="shared" si="99"/>
        <v>-TEXT 18817.3242285559,300 3.5 0 R=80</v>
      </c>
      <c r="BH186" t="str">
        <f t="shared" si="100"/>
        <v>-TEXT 18817.3242285559,295 3.5 0 α=7.31° </v>
      </c>
      <c r="BI186" t="str">
        <f t="shared" si="101"/>
        <v>-TEXT 18817.3242285559,290 3.5 0 T=5.11 </v>
      </c>
      <c r="BJ186" t="str">
        <f t="shared" si="102"/>
        <v>-TEXT 18817.3242285559,285 3.5 0 S=10.20 </v>
      </c>
    </row>
    <row r="187" spans="1:62">
      <c r="A187">
        <v>1</v>
      </c>
      <c r="B187">
        <v>186</v>
      </c>
      <c r="C187" t="str">
        <f>Sheet1!C175</f>
        <v>长梁子隧进</v>
      </c>
      <c r="D187">
        <v>467905.1287</v>
      </c>
      <c r="E187">
        <v>3384277.2533</v>
      </c>
      <c r="G187">
        <f t="shared" si="103"/>
        <v>0</v>
      </c>
      <c r="H187">
        <f t="shared" si="104"/>
        <v>0</v>
      </c>
      <c r="I187">
        <f t="shared" si="105"/>
        <v>0</v>
      </c>
      <c r="J187">
        <f t="shared" si="106"/>
        <v>80.4436012820335</v>
      </c>
      <c r="K187" s="40">
        <f t="shared" si="107"/>
        <v>37713.0851388406</v>
      </c>
      <c r="L187" s="40">
        <f t="shared" si="108"/>
        <v>37713.0851388406</v>
      </c>
      <c r="M187" s="40">
        <f t="shared" si="109"/>
        <v>37713.0851388406</v>
      </c>
      <c r="N187">
        <v>459.864</v>
      </c>
      <c r="O187">
        <v>455.943</v>
      </c>
      <c r="P187">
        <v>0</v>
      </c>
      <c r="Q187" s="39">
        <f t="shared" si="115"/>
        <v>467905.1287</v>
      </c>
      <c r="R187" s="39">
        <f t="shared" si="116"/>
        <v>3384277.2533</v>
      </c>
      <c r="S187" s="39" t="str">
        <f t="shared" si="110"/>
        <v> </v>
      </c>
      <c r="T187" s="39" t="str">
        <f t="shared" si="111"/>
        <v> </v>
      </c>
      <c r="U187" s="39" t="str">
        <f t="shared" si="112"/>
        <v> </v>
      </c>
      <c r="V187" s="39" t="str">
        <f t="shared" si="113"/>
        <v> </v>
      </c>
      <c r="AI187" t="str">
        <f t="array" ref="AI187">IFERROR(INDEX($L$2:$L$805,SMALL(IF(ISNUMBER(FIND($AH$2,$C$2:$C$805)),ROW($2:$805)-1,4^8),ROW(A186)))&amp;"","")</f>
        <v/>
      </c>
      <c r="AJ187" t="str">
        <f t="array" ref="AJ187">IFERROR(INDEX($C$2:$C$805,SMALL(IF(ISNUMBER(FIND($AH$2,$C$2:$C$805)),ROW($2:$805)-1,4^8),ROW(B186)))&amp;"","")</f>
        <v/>
      </c>
      <c r="AT187" t="str">
        <f t="shared" si="88"/>
        <v>467905.1287,3384277.2533</v>
      </c>
      <c r="AV187">
        <f t="shared" si="89"/>
        <v>461.143</v>
      </c>
      <c r="AX187" t="str">
        <f t="shared" si="90"/>
        <v>pl 18856.5425694203,279 18856.5425694203,400 </v>
      </c>
      <c r="AY187" t="str">
        <f t="shared" si="91"/>
        <v>18856.5425694203,455.943</v>
      </c>
      <c r="AZ187" t="str">
        <f t="shared" si="92"/>
        <v>18856.5425694203,459.864</v>
      </c>
      <c r="BA187" t="str">
        <f t="shared" si="93"/>
        <v>18856.5425694203,461.143</v>
      </c>
      <c r="BB187" t="str">
        <f t="shared" si="94"/>
        <v>-text 18855.5425694203,337 3.5 90 455.943 </v>
      </c>
      <c r="BC187" t="str">
        <f t="shared" si="95"/>
        <v>-text 18855.5425694203,320 3.5 90 461.143 </v>
      </c>
      <c r="BD187" t="str">
        <f t="shared" si="96"/>
        <v>-text 18855.5425694203,306 3.5 90 459.864 </v>
      </c>
      <c r="BE187" t="str">
        <f t="shared" si="97"/>
        <v>-text 18855.5425694203,352 3.5 90 ZG37+713.085 </v>
      </c>
      <c r="BF187" t="str">
        <f t="shared" si="98"/>
        <v>-text 18855.5425694203,280 3.5 90 长梁子隧进 </v>
      </c>
      <c r="BG187" t="str">
        <f t="shared" si="99"/>
        <v/>
      </c>
      <c r="BH187" t="str">
        <f t="shared" si="100"/>
        <v> </v>
      </c>
      <c r="BI187" t="str">
        <f t="shared" si="101"/>
        <v> </v>
      </c>
      <c r="BJ187" t="str">
        <f t="shared" si="102"/>
        <v> </v>
      </c>
    </row>
    <row r="188" ht="12.6" customHeight="1" spans="1:62">
      <c r="A188">
        <v>1</v>
      </c>
      <c r="B188">
        <v>187</v>
      </c>
      <c r="C188" t="s">
        <v>196</v>
      </c>
      <c r="D188">
        <v>468314.332</v>
      </c>
      <c r="E188">
        <v>3384297.3149</v>
      </c>
      <c r="F188">
        <v>80</v>
      </c>
      <c r="G188">
        <f t="shared" si="103"/>
        <v>33.846</v>
      </c>
      <c r="H188">
        <f t="shared" si="104"/>
        <v>24.3409411397065</v>
      </c>
      <c r="I188">
        <f t="shared" si="105"/>
        <v>47.2579310904001</v>
      </c>
      <c r="J188">
        <f t="shared" si="106"/>
        <v>409.694774832985</v>
      </c>
      <c r="K188" s="40">
        <f t="shared" si="107"/>
        <v>38098.4389725339</v>
      </c>
      <c r="L188" s="40">
        <f t="shared" si="108"/>
        <v>38122.0679380791</v>
      </c>
      <c r="M188" s="40">
        <f t="shared" si="109"/>
        <v>38145.6969036243</v>
      </c>
      <c r="N188">
        <v>459.698</v>
      </c>
      <c r="O188">
        <v>455.777</v>
      </c>
      <c r="P188">
        <v>0.003</v>
      </c>
      <c r="Q188" s="39">
        <f t="shared" si="115"/>
        <v>468290.020258549</v>
      </c>
      <c r="R188" s="39">
        <f t="shared" si="116"/>
        <v>3384296.12299262</v>
      </c>
      <c r="S188" s="39">
        <f t="shared" si="110"/>
        <v>468313.448882357</v>
      </c>
      <c r="T188" s="39">
        <f t="shared" si="111"/>
        <v>3384293.80322628</v>
      </c>
      <c r="U188" s="39">
        <f t="shared" si="112"/>
        <v>468335.187754497</v>
      </c>
      <c r="V188" s="39">
        <f t="shared" si="113"/>
        <v>3384284.76424584</v>
      </c>
      <c r="AI188" t="str">
        <f t="array" ref="AI188">IFERROR(INDEX($L$2:$L$789,SMALL(IF(ISNUMBER(FIND($AH$2,$C$2:$C$789)),ROW($2:$789)-1,4^8),ROW(A187)))&amp;"","")</f>
        <v/>
      </c>
      <c r="AS188" t="str">
        <f>"-text"&amp;" "&amp;D188&amp;","&amp;E188&amp;" "&amp;"10"&amp;" "&amp;"0"&amp;" "&amp;C188</f>
        <v>-text 468314.332,3384297.3149 10 0 IP95</v>
      </c>
      <c r="AT188" t="str">
        <f t="shared" si="88"/>
        <v>468314.332,3384297.3149</v>
      </c>
      <c r="AV188">
        <f t="shared" si="89"/>
        <v>460.977</v>
      </c>
      <c r="AX188" t="str">
        <f t="shared" si="90"/>
        <v>pl 19061.0339690396,279 19061.0339690396,400 </v>
      </c>
      <c r="AY188" t="str">
        <f t="shared" si="91"/>
        <v>19061.0339690396,455.777</v>
      </c>
      <c r="AZ188" t="str">
        <f t="shared" si="92"/>
        <v>19061.0339690396,459.698</v>
      </c>
      <c r="BA188" t="str">
        <f t="shared" si="93"/>
        <v>19061.0339690396,460.977</v>
      </c>
      <c r="BB188" t="str">
        <f t="shared" si="94"/>
        <v>-text 19060.0339690396,337 3.5 90 455.777 </v>
      </c>
      <c r="BC188" t="str">
        <f t="shared" si="95"/>
        <v>-text 19060.0339690396,320 3.5 90 460.977 </v>
      </c>
      <c r="BD188" t="str">
        <f t="shared" si="96"/>
        <v>-text 19060.0339690396,306 3.5 90 459.698 </v>
      </c>
      <c r="BE188" t="str">
        <f t="shared" si="97"/>
        <v>-text 19060.0339690396,352 3.5 90 ZG38+122.068 </v>
      </c>
      <c r="BF188" t="str">
        <f t="shared" si="98"/>
        <v>-text 19060.0339690396,280 3.5 90 IP95 </v>
      </c>
      <c r="BG188" t="str">
        <f t="shared" si="99"/>
        <v>-TEXT 19062.0339690396,300 3.5 0 R=80</v>
      </c>
      <c r="BH188" t="str">
        <f t="shared" si="100"/>
        <v>-TEXT 19062.0339690396,295 3.5 0 α=33.85° </v>
      </c>
      <c r="BI188" t="str">
        <f t="shared" si="101"/>
        <v>-TEXT 19062.0339690396,290 3.5 0 T=24.34 </v>
      </c>
      <c r="BJ188" t="str">
        <f t="shared" si="102"/>
        <v>-TEXT 19062.0339690396,285 3.5 0 S=47.26 </v>
      </c>
    </row>
    <row r="189" spans="1:62">
      <c r="A189">
        <v>1</v>
      </c>
      <c r="B189">
        <v>188</v>
      </c>
      <c r="C189" t="str">
        <f>Sheet1!C177</f>
        <v>长梁子隧出</v>
      </c>
      <c r="D189">
        <v>468408.2689</v>
      </c>
      <c r="E189">
        <v>3384240.7852</v>
      </c>
      <c r="G189">
        <f t="shared" ref="G189:G252" si="117">ROUND(IF((2*SQRT((D188-D189)^2+(E188-E189)^2)*SQRT((D190-D189)^2+(E190-E189)^2))=0,0,180-ACOS(((D188-D189)^2+(E188-E189)^2+(D190-D189)^2+(E190-E189)^2-(D190-D188)^2-(E190-E188)^2)/(2*SQRT((D188-D189)^2+(E188-E189)^2)*SQRT((D190-D189)^2+(E190-E189)^2)))/PI()*180),3)</f>
        <v>0</v>
      </c>
      <c r="H189">
        <f t="shared" ref="H189:H252" si="118">F189*TAN(PI()/180*G189/2)</f>
        <v>0</v>
      </c>
      <c r="I189">
        <f t="shared" ref="I189:I252" si="119">F189*G189/180*PI()</f>
        <v>0</v>
      </c>
      <c r="J189">
        <f t="shared" ref="J189:J252" si="120">SQRT((D189-D188)^2+(E189-E188)^2)</f>
        <v>109.634612070003</v>
      </c>
      <c r="K189" s="40">
        <f t="shared" ref="K189:K252" si="121">L189-I189/2</f>
        <v>38230.9905745546</v>
      </c>
      <c r="L189" s="40">
        <f t="shared" ref="L189:L252" si="122">L188+J189-H189+I189/2+I188/2-H188</f>
        <v>38230.9905745546</v>
      </c>
      <c r="M189" s="40">
        <f t="shared" ref="M189:M252" si="123">K189+I189</f>
        <v>38230.9905745546</v>
      </c>
      <c r="N189">
        <v>459.653</v>
      </c>
      <c r="O189">
        <v>455.732</v>
      </c>
      <c r="P189">
        <v>0</v>
      </c>
      <c r="Q189" s="39">
        <f t="shared" ref="Q189:Q252" si="124">IF(G189=0,D189,D188+(D189-D188)/J189*(J189-H189))</f>
        <v>468408.2689</v>
      </c>
      <c r="R189" s="39">
        <f t="shared" ref="R189:R252" si="125">IF(G189=0,E189,E188+(E189-E188)/J189*(J189-H189))</f>
        <v>3384240.7852</v>
      </c>
      <c r="S189" s="39" t="str">
        <f t="shared" ref="S189:S252" si="126">IF(G189=0," ",(Q189+U189)/2+(D189-(Q189+U189)/2)/(H189*SIN(G189/360*PI()))*(F189-F189*COS(G189/360*PI())))</f>
        <v> </v>
      </c>
      <c r="T189" s="39" t="str">
        <f t="shared" ref="T189:T252" si="127">IF(G189=0," ",(R189+V189)/2+(E189-(R189+V189)/2)/(H189*SIN(G189/360*PI()))*(F189-F189*COS(G189/360*PI())))</f>
        <v> </v>
      </c>
      <c r="U189" s="39" t="str">
        <f t="shared" ref="U189:U252" si="128">IF(G189=0," ",D189+(D190-D189)/J190*H189)</f>
        <v> </v>
      </c>
      <c r="V189" s="39" t="str">
        <f t="shared" ref="V189:V252" si="129">IF(G189=0," ",E189+(E190-E189)/J190*H189)</f>
        <v> </v>
      </c>
      <c r="AI189" t="str">
        <f t="array" ref="AI189">IFERROR(INDEX($L$2:$L$789,SMALL(IF(ISNUMBER(FIND($AH$2,$C$2:$C$789)),ROW($2:$789)-1,4^8),ROW(A188)))&amp;"","")</f>
        <v/>
      </c>
      <c r="AT189" t="str">
        <f t="shared" si="88"/>
        <v>468408.2689,3384240.7852</v>
      </c>
      <c r="AV189">
        <f t="shared" si="89"/>
        <v>460.932</v>
      </c>
      <c r="AX189" t="str">
        <f t="shared" si="90"/>
        <v>pl 19115.4952872773,279 19115.4952872773,400 </v>
      </c>
      <c r="AY189" t="str">
        <f t="shared" si="91"/>
        <v>19115.4952872773,455.732</v>
      </c>
      <c r="AZ189" t="str">
        <f t="shared" si="92"/>
        <v>19115.4952872773,459.653</v>
      </c>
      <c r="BA189" t="str">
        <f t="shared" si="93"/>
        <v>19115.4952872773,460.932</v>
      </c>
      <c r="BB189" t="str">
        <f t="shared" si="94"/>
        <v>-text 19114.4952872773,337 3.5 90 455.732 </v>
      </c>
      <c r="BC189" t="str">
        <f t="shared" si="95"/>
        <v>-text 19114.4952872773,320 3.5 90 460.932 </v>
      </c>
      <c r="BD189" t="str">
        <f t="shared" si="96"/>
        <v>-text 19114.4952872773,306 3.5 90 459.653 </v>
      </c>
      <c r="BE189" t="str">
        <f t="shared" si="97"/>
        <v>-text 19114.4952872773,352 3.5 90 ZG38+230.991 </v>
      </c>
      <c r="BF189" t="str">
        <f t="shared" si="98"/>
        <v>-text 19114.4952872773,280 3.5 90 长梁子隧出 </v>
      </c>
      <c r="BG189" t="str">
        <f t="shared" si="99"/>
        <v/>
      </c>
      <c r="BH189" t="str">
        <f t="shared" si="100"/>
        <v> </v>
      </c>
      <c r="BI189" t="str">
        <f t="shared" si="101"/>
        <v> </v>
      </c>
      <c r="BJ189" t="str">
        <f t="shared" si="102"/>
        <v> </v>
      </c>
    </row>
    <row r="190" spans="1:62">
      <c r="A190">
        <v>2</v>
      </c>
      <c r="B190">
        <v>189</v>
      </c>
      <c r="C190" t="str">
        <f>Sheet1!C178</f>
        <v>大井湾渡槽进</v>
      </c>
      <c r="D190" s="39">
        <v>468442.1798</v>
      </c>
      <c r="E190" s="39">
        <v>3384220.3782</v>
      </c>
      <c r="G190">
        <f t="shared" si="117"/>
        <v>0</v>
      </c>
      <c r="H190">
        <f t="shared" si="118"/>
        <v>0</v>
      </c>
      <c r="I190">
        <f t="shared" si="119"/>
        <v>0</v>
      </c>
      <c r="J190">
        <f t="shared" si="120"/>
        <v>39.5777056913766</v>
      </c>
      <c r="K190" s="40">
        <f t="shared" si="121"/>
        <v>38270.568280246</v>
      </c>
      <c r="L190" s="40">
        <f t="shared" si="122"/>
        <v>38270.568280246</v>
      </c>
      <c r="M190" s="40">
        <f t="shared" si="123"/>
        <v>38270.568280246</v>
      </c>
      <c r="N190">
        <v>459.577</v>
      </c>
      <c r="O190">
        <v>455.694</v>
      </c>
      <c r="P190">
        <v>0</v>
      </c>
      <c r="Q190" s="39">
        <f t="shared" si="124"/>
        <v>468442.1798</v>
      </c>
      <c r="R190" s="39">
        <f t="shared" si="125"/>
        <v>3384220.3782</v>
      </c>
      <c r="S190" s="39" t="str">
        <f t="shared" si="126"/>
        <v> </v>
      </c>
      <c r="T190" s="39" t="str">
        <f t="shared" si="127"/>
        <v> </v>
      </c>
      <c r="U190" s="39" t="str">
        <f t="shared" si="128"/>
        <v> </v>
      </c>
      <c r="V190" s="39" t="str">
        <f t="shared" si="129"/>
        <v> </v>
      </c>
      <c r="AI190" t="str">
        <f t="array" ref="AI190">IFERROR(INDEX($L$2:$L$789,SMALL(IF(ISNUMBER(FIND($AH$2,$C$2:$C$789)),ROW($2:$789)-1,4^8),ROW(A189)))&amp;"","")</f>
        <v/>
      </c>
      <c r="AT190" t="str">
        <f t="shared" si="88"/>
        <v>468442.1798,3384220.3782</v>
      </c>
      <c r="AV190">
        <f t="shared" si="89"/>
        <v>460.294</v>
      </c>
      <c r="AX190" t="str">
        <f t="shared" si="90"/>
        <v>pl 19135.284140123,279 19135.284140123,400 </v>
      </c>
      <c r="AY190" t="str">
        <f t="shared" si="91"/>
        <v>19135.284140123,455.694</v>
      </c>
      <c r="AZ190" t="str">
        <f t="shared" si="92"/>
        <v>19135.284140123,459.577</v>
      </c>
      <c r="BA190" t="str">
        <f t="shared" si="93"/>
        <v>19135.284140123,460.294</v>
      </c>
      <c r="BB190" t="str">
        <f t="shared" si="94"/>
        <v>-text 19134.284140123,337 3.5 90 455.694 </v>
      </c>
      <c r="BC190" t="str">
        <f t="shared" si="95"/>
        <v>-text 19134.284140123,320 3.5 90 460.294 </v>
      </c>
      <c r="BD190" t="str">
        <f t="shared" si="96"/>
        <v>-text 19134.284140123,306 3.5 90 459.577 </v>
      </c>
      <c r="BE190" t="str">
        <f t="shared" si="97"/>
        <v>-text 19134.284140123,352 3.5 90 ZG38+270.568 </v>
      </c>
      <c r="BF190" t="str">
        <f t="shared" si="98"/>
        <v>-text 19134.284140123,280 3.5 90 大井湾渡槽进 </v>
      </c>
      <c r="BG190" t="str">
        <f t="shared" si="99"/>
        <v/>
      </c>
      <c r="BH190" t="str">
        <f t="shared" si="100"/>
        <v> </v>
      </c>
      <c r="BI190" t="str">
        <f t="shared" si="101"/>
        <v> </v>
      </c>
      <c r="BJ190" t="str">
        <f t="shared" si="102"/>
        <v> </v>
      </c>
    </row>
    <row r="191" spans="1:62">
      <c r="A191">
        <v>2</v>
      </c>
      <c r="B191">
        <v>190</v>
      </c>
      <c r="C191" t="str">
        <f>Sheet1!C179</f>
        <v>大井湾渡槽出</v>
      </c>
      <c r="D191" s="39">
        <v>468537.3348</v>
      </c>
      <c r="E191" s="39">
        <v>3384163.1155</v>
      </c>
      <c r="G191">
        <f t="shared" si="117"/>
        <v>0</v>
      </c>
      <c r="H191">
        <f t="shared" si="118"/>
        <v>0</v>
      </c>
      <c r="I191">
        <f t="shared" si="119"/>
        <v>0</v>
      </c>
      <c r="J191">
        <f t="shared" si="120"/>
        <v>111.056250775592</v>
      </c>
      <c r="K191" s="40">
        <f t="shared" si="121"/>
        <v>38381.6245310216</v>
      </c>
      <c r="L191" s="40">
        <f t="shared" si="122"/>
        <v>38381.6245310216</v>
      </c>
      <c r="M191" s="40">
        <f t="shared" si="123"/>
        <v>38381.6245310216</v>
      </c>
      <c r="N191">
        <v>459.527</v>
      </c>
      <c r="O191">
        <v>455.644</v>
      </c>
      <c r="P191">
        <v>0</v>
      </c>
      <c r="Q191" s="39">
        <f t="shared" si="124"/>
        <v>468537.3348</v>
      </c>
      <c r="R191" s="39">
        <f t="shared" si="125"/>
        <v>3384163.1155</v>
      </c>
      <c r="S191" s="39" t="str">
        <f t="shared" si="126"/>
        <v> </v>
      </c>
      <c r="T191" s="39" t="str">
        <f t="shared" si="127"/>
        <v> </v>
      </c>
      <c r="U191" s="39" t="str">
        <f t="shared" si="128"/>
        <v> </v>
      </c>
      <c r="V191" s="39" t="str">
        <f t="shared" si="129"/>
        <v> </v>
      </c>
      <c r="AI191" t="str">
        <f t="array" ref="AI191">IFERROR(INDEX($L$2:$L$789,SMALL(IF(ISNUMBER(FIND($AH$2,$C$2:$C$789)),ROW($2:$789)-1,4^8),ROW(A190)))&amp;"","")</f>
        <v/>
      </c>
      <c r="AT191" t="str">
        <f t="shared" si="88"/>
        <v>468537.3348,3384163.1155</v>
      </c>
      <c r="AV191">
        <f t="shared" si="89"/>
        <v>460.244</v>
      </c>
      <c r="AX191" t="str">
        <f t="shared" si="90"/>
        <v>pl 19190.8122655108,279 19190.8122655108,400 </v>
      </c>
      <c r="AY191" t="str">
        <f t="shared" si="91"/>
        <v>19190.8122655108,455.644</v>
      </c>
      <c r="AZ191" t="str">
        <f t="shared" si="92"/>
        <v>19190.8122655108,459.527</v>
      </c>
      <c r="BA191" t="str">
        <f t="shared" si="93"/>
        <v>19190.8122655108,460.244</v>
      </c>
      <c r="BB191" t="str">
        <f t="shared" si="94"/>
        <v>-text 19189.8122655108,337 3.5 90 455.644 </v>
      </c>
      <c r="BC191" t="str">
        <f t="shared" si="95"/>
        <v>-text 19189.8122655108,320 3.5 90 460.244 </v>
      </c>
      <c r="BD191" t="str">
        <f t="shared" si="96"/>
        <v>-text 19189.8122655108,306 3.5 90 459.527 </v>
      </c>
      <c r="BE191" t="str">
        <f t="shared" si="97"/>
        <v>-text 19189.8122655108,352 3.5 90 ZG38+381.625 </v>
      </c>
      <c r="BF191" t="str">
        <f t="shared" si="98"/>
        <v>-text 19189.8122655108,280 3.5 90 大井湾渡槽出 </v>
      </c>
      <c r="BG191" t="str">
        <f t="shared" si="99"/>
        <v/>
      </c>
      <c r="BH191" t="str">
        <f t="shared" si="100"/>
        <v> </v>
      </c>
      <c r="BI191" t="str">
        <f t="shared" si="101"/>
        <v> </v>
      </c>
      <c r="BJ191" t="str">
        <f t="shared" si="102"/>
        <v> </v>
      </c>
    </row>
    <row r="192" spans="1:62">
      <c r="A192">
        <v>1</v>
      </c>
      <c r="B192">
        <v>191</v>
      </c>
      <c r="C192" t="str">
        <f>Sheet1!C180</f>
        <v>高垭口隧进</v>
      </c>
      <c r="D192" s="39">
        <v>468572.0126</v>
      </c>
      <c r="E192" s="39">
        <v>3384142.247</v>
      </c>
      <c r="G192">
        <f t="shared" si="117"/>
        <v>0</v>
      </c>
      <c r="H192">
        <f t="shared" si="118"/>
        <v>0</v>
      </c>
      <c r="I192">
        <f t="shared" si="119"/>
        <v>0</v>
      </c>
      <c r="J192">
        <f t="shared" si="120"/>
        <v>40.4727575670938</v>
      </c>
      <c r="K192" s="40">
        <f t="shared" si="121"/>
        <v>38422.0972885887</v>
      </c>
      <c r="L192" s="40">
        <f t="shared" si="122"/>
        <v>38422.0972885887</v>
      </c>
      <c r="M192" s="40">
        <f t="shared" si="123"/>
        <v>38422.0972885887</v>
      </c>
      <c r="N192">
        <v>459.487</v>
      </c>
      <c r="O192">
        <v>455.566</v>
      </c>
      <c r="P192">
        <v>0</v>
      </c>
      <c r="Q192" s="39">
        <f t="shared" si="124"/>
        <v>468572.0126</v>
      </c>
      <c r="R192" s="39">
        <f t="shared" si="125"/>
        <v>3384142.247</v>
      </c>
      <c r="S192" s="39" t="str">
        <f t="shared" si="126"/>
        <v> </v>
      </c>
      <c r="T192" s="39" t="str">
        <f t="shared" si="127"/>
        <v> </v>
      </c>
      <c r="U192" s="39" t="str">
        <f t="shared" si="128"/>
        <v> </v>
      </c>
      <c r="V192" s="39" t="str">
        <f t="shared" si="129"/>
        <v> </v>
      </c>
      <c r="AI192" t="str">
        <f t="array" ref="AI192">IFERROR(INDEX($L$2:$L$789,SMALL(IF(ISNUMBER(FIND($AH$2,$C$2:$C$789)),ROW($2:$789)-1,4^8),ROW(A191)))&amp;"","")</f>
        <v/>
      </c>
      <c r="AT192" t="str">
        <f t="shared" ref="AT192:AT255" si="130">D192&amp;","&amp;E192</f>
        <v>468572.0126,3384142.247</v>
      </c>
      <c r="AV192">
        <f t="shared" ref="AV192:AV196" si="131">IF(A192=0,O192+5.5,IF(A192=1,O192+5.2,O192+4.6))</f>
        <v>460.766</v>
      </c>
      <c r="AX192" t="str">
        <f t="shared" ref="AX192:AX255" si="132">"pl "&amp;L192/2&amp;",279 "&amp;L192/2&amp;",400 "</f>
        <v>pl 19211.0486442943,279 19211.0486442943,400 </v>
      </c>
      <c r="AY192" t="str">
        <f t="shared" ref="AY192:AY255" si="133">L192/2&amp;","&amp;O192</f>
        <v>19211.0486442943,455.566</v>
      </c>
      <c r="AZ192" t="str">
        <f t="shared" ref="AZ192:AZ255" si="134">L192/2&amp;","&amp;N192</f>
        <v>19211.0486442943,459.487</v>
      </c>
      <c r="BA192" t="str">
        <f t="shared" ref="BA192:BA255" si="135">L192/2&amp;","&amp;AV192</f>
        <v>19211.0486442943,460.766</v>
      </c>
      <c r="BB192" t="str">
        <f t="shared" ref="BB192:BB255" si="136">"-text "&amp;L192/2-1&amp;",337 3.5 90 "&amp;FIXED(O192,3)&amp;" "</f>
        <v>-text 19210.0486442943,337 3.5 90 455.566 </v>
      </c>
      <c r="BC192" t="str">
        <f t="shared" ref="BC192:BC255" si="137">"-text "&amp;L192/2-1&amp;",320 3.5 90 "&amp;FIXED(AV192,3)&amp;" "</f>
        <v>-text 19210.0486442943,320 3.5 90 460.766 </v>
      </c>
      <c r="BD192" t="str">
        <f t="shared" ref="BD192:BD255" si="138">"-text "&amp;L192/2-1&amp;",306 3.5 90 "&amp;FIXED(N192,3)&amp;" "</f>
        <v>-text 19210.0486442943,306 3.5 90 459.487 </v>
      </c>
      <c r="BE192" t="str">
        <f t="shared" ref="BE192:BE255" si="139">"-text "&amp;L192/2-1&amp;",352 3.5 90 "&amp;"ZG"&amp;TEXT(L192,"0+000.000")&amp;" "</f>
        <v>-text 19210.0486442943,352 3.5 90 ZG38+422.097 </v>
      </c>
      <c r="BF192" t="str">
        <f t="shared" ref="BF192:BF255" si="140">"-text "&amp;L192/2-1&amp;",280 3.5 90 "&amp;C192&amp;" "</f>
        <v>-text 19210.0486442943,280 3.5 90 高垭口隧进 </v>
      </c>
      <c r="BG192" t="str">
        <f t="shared" ref="BG192:BG255" si="141">IF(G192&lt;0.01,"",("-TEXT "&amp;L192/2+1&amp;",300 3.5 0 "&amp;"R="&amp;FIXED(F192,0)))</f>
        <v/>
      </c>
      <c r="BH192" t="str">
        <f t="shared" ref="BH192:BH255" si="142">IF(G192&lt;0.01," ",("-TEXT "&amp;L192/2+1&amp;",295 3.5 0 "&amp;"α="&amp;FIXED(G192,2)&amp;"° "))</f>
        <v> </v>
      </c>
      <c r="BI192" t="str">
        <f t="shared" ref="BI192:BI255" si="143">IF(G192&lt;0.01," ",("-TEXT "&amp;L192/2+1&amp;",290 3.5 0 "&amp;"T="&amp;FIXED(H192,2)&amp;" "))</f>
        <v> </v>
      </c>
      <c r="BJ192" t="str">
        <f t="shared" ref="BJ192:BJ255" si="144">IF(G192&lt;0.01," ",("-TEXT "&amp;L192/2+1&amp;",285 3.5 0 "&amp;"S="&amp;FIXED(I192,2)&amp;" "))</f>
        <v> </v>
      </c>
    </row>
    <row r="193" spans="1:62">
      <c r="A193">
        <v>1</v>
      </c>
      <c r="B193">
        <v>192</v>
      </c>
      <c r="C193" t="s">
        <v>201</v>
      </c>
      <c r="D193" s="39">
        <v>468683.2018</v>
      </c>
      <c r="E193" s="39">
        <v>3384075.3353</v>
      </c>
      <c r="F193">
        <v>80</v>
      </c>
      <c r="G193">
        <f t="shared" si="117"/>
        <v>13.193</v>
      </c>
      <c r="H193">
        <f t="shared" si="118"/>
        <v>9.25136350390099</v>
      </c>
      <c r="I193">
        <f t="shared" si="119"/>
        <v>18.420903057249</v>
      </c>
      <c r="J193">
        <f t="shared" si="120"/>
        <v>129.76984932383</v>
      </c>
      <c r="K193" s="40">
        <f t="shared" si="121"/>
        <v>38542.6157744086</v>
      </c>
      <c r="L193" s="40">
        <f t="shared" si="122"/>
        <v>38551.8262259372</v>
      </c>
      <c r="M193" s="40">
        <f t="shared" si="123"/>
        <v>38561.0366774658</v>
      </c>
      <c r="N193">
        <v>459.435</v>
      </c>
      <c r="O193">
        <v>455.514</v>
      </c>
      <c r="P193">
        <v>0.001</v>
      </c>
      <c r="Q193" s="39">
        <f t="shared" si="124"/>
        <v>468675.275061144</v>
      </c>
      <c r="R193" s="39">
        <f t="shared" si="125"/>
        <v>3384080.10547167</v>
      </c>
      <c r="S193" s="39">
        <f t="shared" si="126"/>
        <v>468683.42240698</v>
      </c>
      <c r="T193" s="39">
        <f t="shared" si="127"/>
        <v>3384075.82067594</v>
      </c>
      <c r="U193" s="39">
        <f t="shared" si="128"/>
        <v>468692.008045843</v>
      </c>
      <c r="V193" s="39">
        <f t="shared" si="129"/>
        <v>3384072.5002055</v>
      </c>
      <c r="AI193" t="str">
        <f t="array" ref="AI193">IFERROR(INDEX($L$2:$L$789,SMALL(IF(ISNUMBER(FIND($AH$2,$C$2:$C$789)),ROW($2:$789)-1,4^8),ROW(A192)))&amp;"","")</f>
        <v/>
      </c>
      <c r="AS193" t="str">
        <f>"-text"&amp;" "&amp;D193&amp;","&amp;E193&amp;" "&amp;"10"&amp;" "&amp;"0"&amp;" "&amp;C193</f>
        <v>-text 468683.2018,3384075.3353 10 0 IP96</v>
      </c>
      <c r="AT193" t="str">
        <f t="shared" si="130"/>
        <v>468683.2018,3384075.3353</v>
      </c>
      <c r="AV193">
        <f t="shared" si="131"/>
        <v>460.714</v>
      </c>
      <c r="AX193" t="str">
        <f t="shared" si="132"/>
        <v>pl 19275.9131129686,279 19275.9131129686,400 </v>
      </c>
      <c r="AY193" t="str">
        <f t="shared" si="133"/>
        <v>19275.9131129686,455.514</v>
      </c>
      <c r="AZ193" t="str">
        <f t="shared" si="134"/>
        <v>19275.9131129686,459.435</v>
      </c>
      <c r="BA193" t="str">
        <f t="shared" si="135"/>
        <v>19275.9131129686,460.714</v>
      </c>
      <c r="BB193" t="str">
        <f t="shared" si="136"/>
        <v>-text 19274.9131129686,337 3.5 90 455.514 </v>
      </c>
      <c r="BC193" t="str">
        <f t="shared" si="137"/>
        <v>-text 19274.9131129686,320 3.5 90 460.714 </v>
      </c>
      <c r="BD193" t="str">
        <f t="shared" si="138"/>
        <v>-text 19274.9131129686,306 3.5 90 459.435 </v>
      </c>
      <c r="BE193" t="str">
        <f t="shared" si="139"/>
        <v>-text 19274.9131129686,352 3.5 90 ZG38+551.826 </v>
      </c>
      <c r="BF193" t="str">
        <f t="shared" si="140"/>
        <v>-text 19274.9131129686,280 3.5 90 IP96 </v>
      </c>
      <c r="BG193" t="str">
        <f t="shared" si="141"/>
        <v>-TEXT 19276.9131129686,300 3.5 0 R=80</v>
      </c>
      <c r="BH193" t="str">
        <f t="shared" si="142"/>
        <v>-TEXT 19276.9131129686,295 3.5 0 α=13.19° </v>
      </c>
      <c r="BI193" t="str">
        <f t="shared" si="143"/>
        <v>-TEXT 19276.9131129686,290 3.5 0 T=9.25 </v>
      </c>
      <c r="BJ193" t="str">
        <f t="shared" si="144"/>
        <v>-TEXT 19276.9131129686,285 3.5 0 S=18.42 </v>
      </c>
    </row>
    <row r="194" spans="1:62">
      <c r="A194">
        <v>1</v>
      </c>
      <c r="B194">
        <v>193</v>
      </c>
      <c r="C194" t="str">
        <f>Sheet1!C182</f>
        <v>高垭口隧出</v>
      </c>
      <c r="D194" s="39">
        <v>468912.2777</v>
      </c>
      <c r="E194" s="39">
        <v>3384001.5863</v>
      </c>
      <c r="G194">
        <f t="shared" si="117"/>
        <v>0</v>
      </c>
      <c r="H194">
        <f t="shared" si="118"/>
        <v>0</v>
      </c>
      <c r="I194">
        <f t="shared" si="119"/>
        <v>0</v>
      </c>
      <c r="J194">
        <f t="shared" si="120"/>
        <v>240.654696529663</v>
      </c>
      <c r="K194" s="40">
        <f t="shared" si="121"/>
        <v>38792.4400104916</v>
      </c>
      <c r="L194" s="40">
        <f t="shared" si="122"/>
        <v>38792.4400104916</v>
      </c>
      <c r="M194" s="40">
        <f t="shared" si="123"/>
        <v>38792.4400104916</v>
      </c>
      <c r="N194" s="41">
        <v>459.338</v>
      </c>
      <c r="O194" s="41">
        <v>455.417</v>
      </c>
      <c r="P194">
        <v>0</v>
      </c>
      <c r="Q194" s="39">
        <f t="shared" si="124"/>
        <v>468912.2777</v>
      </c>
      <c r="R194" s="39">
        <f t="shared" si="125"/>
        <v>3384001.5863</v>
      </c>
      <c r="S194" s="39" t="str">
        <f t="shared" si="126"/>
        <v> </v>
      </c>
      <c r="T194" s="39" t="str">
        <f t="shared" si="127"/>
        <v> </v>
      </c>
      <c r="U194" s="39" t="str">
        <f t="shared" si="128"/>
        <v> </v>
      </c>
      <c r="V194" s="39" t="str">
        <f t="shared" si="129"/>
        <v> </v>
      </c>
      <c r="AI194" t="str">
        <f t="array" ref="AI194">IFERROR(INDEX($L$2:$L$789,SMALL(IF(ISNUMBER(FIND($AH$2,$C$2:$C$789)),ROW($2:$789)-1,4^8),ROW(A193)))&amp;"","")</f>
        <v/>
      </c>
      <c r="AT194" t="str">
        <f t="shared" si="130"/>
        <v>468912.2777,3384001.5863</v>
      </c>
      <c r="AV194">
        <f t="shared" si="131"/>
        <v>460.617</v>
      </c>
      <c r="AX194" t="str">
        <f t="shared" si="132"/>
        <v>pl 19396.2200052458,279 19396.2200052458,400 </v>
      </c>
      <c r="AY194" t="str">
        <f t="shared" si="133"/>
        <v>19396.2200052458,455.417</v>
      </c>
      <c r="AZ194" t="str">
        <f t="shared" si="134"/>
        <v>19396.2200052458,459.338</v>
      </c>
      <c r="BA194" t="str">
        <f t="shared" si="135"/>
        <v>19396.2200052458,460.617</v>
      </c>
      <c r="BB194" t="str">
        <f t="shared" si="136"/>
        <v>-text 19395.2200052458,337 3.5 90 455.417 </v>
      </c>
      <c r="BC194" t="str">
        <f t="shared" si="137"/>
        <v>-text 19395.2200052458,320 3.5 90 460.617 </v>
      </c>
      <c r="BD194" t="str">
        <f t="shared" si="138"/>
        <v>-text 19395.2200052458,306 3.5 90 459.338 </v>
      </c>
      <c r="BE194" t="str">
        <f t="shared" si="139"/>
        <v>-text 19395.2200052458,352 3.5 90 ZG38+792.440 </v>
      </c>
      <c r="BF194" t="str">
        <f t="shared" si="140"/>
        <v>-text 19395.2200052458,280 3.5 90 高垭口隧出 </v>
      </c>
      <c r="BG194" t="str">
        <f t="shared" si="141"/>
        <v/>
      </c>
      <c r="BH194" t="str">
        <f t="shared" si="142"/>
        <v> </v>
      </c>
      <c r="BI194" t="str">
        <f t="shared" si="143"/>
        <v> </v>
      </c>
      <c r="BJ194" t="str">
        <f t="shared" si="144"/>
        <v> </v>
      </c>
    </row>
    <row r="195" s="37" customFormat="1" spans="1:62">
      <c r="A195" s="37">
        <v>0</v>
      </c>
      <c r="B195" s="37">
        <v>194</v>
      </c>
      <c r="C195" s="37" t="str">
        <f>Sheet1!C183</f>
        <v>踏水水库分水闸进</v>
      </c>
      <c r="D195" s="51">
        <v>468929.2611</v>
      </c>
      <c r="E195" s="51">
        <v>3383996.1186</v>
      </c>
      <c r="G195" s="37">
        <f t="shared" si="117"/>
        <v>0</v>
      </c>
      <c r="H195" s="37">
        <f t="shared" si="118"/>
        <v>0</v>
      </c>
      <c r="I195" s="37">
        <f t="shared" si="119"/>
        <v>0</v>
      </c>
      <c r="J195" s="37">
        <f t="shared" si="120"/>
        <v>17.8418502081492</v>
      </c>
      <c r="K195" s="52">
        <f t="shared" si="121"/>
        <v>38810.2818606998</v>
      </c>
      <c r="L195" s="52">
        <f t="shared" si="122"/>
        <v>38810.2818606998</v>
      </c>
      <c r="M195" s="52">
        <f t="shared" si="123"/>
        <v>38810.2818606998</v>
      </c>
      <c r="N195" s="53">
        <v>459.387</v>
      </c>
      <c r="O195" s="53">
        <v>455.418</v>
      </c>
      <c r="P195" s="37">
        <v>0</v>
      </c>
      <c r="Q195" s="51">
        <f t="shared" si="124"/>
        <v>468929.2611</v>
      </c>
      <c r="R195" s="51">
        <f t="shared" si="125"/>
        <v>3383996.1186</v>
      </c>
      <c r="S195" s="51" t="str">
        <f t="shared" si="126"/>
        <v> </v>
      </c>
      <c r="T195" s="51" t="str">
        <f t="shared" si="127"/>
        <v> </v>
      </c>
      <c r="U195" s="51" t="str">
        <f t="shared" si="128"/>
        <v> </v>
      </c>
      <c r="V195" s="51" t="str">
        <f t="shared" si="129"/>
        <v> </v>
      </c>
      <c r="AI195" s="37" t="str">
        <f t="array" ref="AI195">IFERROR(INDEX($L$2:$L$789,SMALL(IF(ISNUMBER(FIND($AH$2,$C$2:$C$789)),ROW($2:$789)-1,4^8),ROW(A194)))&amp;"","")</f>
        <v/>
      </c>
      <c r="AT195" s="37" t="str">
        <f t="shared" si="130"/>
        <v>468929.2611,3383996.1186</v>
      </c>
      <c r="AV195" s="37">
        <f t="shared" si="131"/>
        <v>460.918</v>
      </c>
      <c r="AX195" s="37" t="str">
        <f t="shared" si="132"/>
        <v>pl 19405.1409303499,279 19405.1409303499,400 </v>
      </c>
      <c r="AY195" s="37" t="str">
        <f t="shared" si="133"/>
        <v>19405.1409303499,455.418</v>
      </c>
      <c r="AZ195" s="37" t="str">
        <f t="shared" si="134"/>
        <v>19405.1409303499,459.387</v>
      </c>
      <c r="BA195" s="37" t="str">
        <f t="shared" si="135"/>
        <v>19405.1409303499,460.918</v>
      </c>
      <c r="BB195" s="37" t="str">
        <f t="shared" si="136"/>
        <v>-text 19404.1409303499,337 3.5 90 455.418 </v>
      </c>
      <c r="BC195" s="37" t="str">
        <f t="shared" si="137"/>
        <v>-text 19404.1409303499,320 3.5 90 460.918 </v>
      </c>
      <c r="BD195" s="37" t="str">
        <f t="shared" si="138"/>
        <v>-text 19404.1409303499,306 3.5 90 459.387 </v>
      </c>
      <c r="BE195" s="37" t="str">
        <f t="shared" si="139"/>
        <v>-text 19404.1409303499,352 3.5 90 ZG38+810.282 </v>
      </c>
      <c r="BF195" s="37" t="str">
        <f t="shared" si="140"/>
        <v>-text 19404.1409303499,280 3.5 90 踏水水库分水闸进 </v>
      </c>
      <c r="BG195" s="37" t="str">
        <f t="shared" si="141"/>
        <v/>
      </c>
      <c r="BH195" s="37" t="str">
        <f t="shared" si="142"/>
        <v> </v>
      </c>
      <c r="BI195" s="37" t="str">
        <f t="shared" si="143"/>
        <v> </v>
      </c>
      <c r="BJ195" s="37" t="str">
        <f t="shared" si="144"/>
        <v> </v>
      </c>
    </row>
    <row r="196" s="37" customFormat="1" spans="1:62">
      <c r="A196" s="37">
        <v>0</v>
      </c>
      <c r="B196" s="37">
        <v>195</v>
      </c>
      <c r="C196" s="37" t="str">
        <f>Sheet1!C184</f>
        <v>踏水水库分水闸出</v>
      </c>
      <c r="D196" s="51">
        <v>468929.2611</v>
      </c>
      <c r="E196" s="51">
        <v>3383996.1186</v>
      </c>
      <c r="G196" s="37">
        <f t="shared" si="117"/>
        <v>0</v>
      </c>
      <c r="H196" s="37">
        <f t="shared" si="118"/>
        <v>0</v>
      </c>
      <c r="I196" s="37">
        <f t="shared" si="119"/>
        <v>0</v>
      </c>
      <c r="J196" s="37">
        <f t="shared" si="120"/>
        <v>0</v>
      </c>
      <c r="K196" s="52">
        <f t="shared" si="121"/>
        <v>38810.2818606998</v>
      </c>
      <c r="L196" s="52">
        <f t="shared" si="122"/>
        <v>38810.2818606998</v>
      </c>
      <c r="M196" s="52">
        <f t="shared" si="123"/>
        <v>38810.2818606998</v>
      </c>
      <c r="N196" s="37">
        <v>459.357</v>
      </c>
      <c r="O196" s="37">
        <v>455.111</v>
      </c>
      <c r="P196" s="37">
        <v>0</v>
      </c>
      <c r="Q196" s="51">
        <f t="shared" si="124"/>
        <v>468929.2611</v>
      </c>
      <c r="R196" s="51">
        <f t="shared" si="125"/>
        <v>3383996.1186</v>
      </c>
      <c r="S196" s="51" t="str">
        <f t="shared" si="126"/>
        <v> </v>
      </c>
      <c r="T196" s="51" t="str">
        <f t="shared" si="127"/>
        <v> </v>
      </c>
      <c r="U196" s="51" t="str">
        <f t="shared" si="128"/>
        <v> </v>
      </c>
      <c r="V196" s="51" t="str">
        <f t="shared" si="129"/>
        <v> </v>
      </c>
      <c r="AI196" s="37" t="str">
        <f t="array" ref="AI196">IFERROR(INDEX($L$2:$L$789,SMALL(IF(ISNUMBER(FIND($AH$2,$C$2:$C$789)),ROW($2:$789)-1,4^8),ROW(A195)))&amp;"","")</f>
        <v/>
      </c>
      <c r="AT196" s="37" t="str">
        <f t="shared" si="130"/>
        <v>468929.2611,3383996.1186</v>
      </c>
      <c r="AV196" s="37">
        <f t="shared" si="131"/>
        <v>460.611</v>
      </c>
      <c r="AX196" s="37" t="str">
        <f t="shared" si="132"/>
        <v>pl 19405.1409303499,279 19405.1409303499,400 </v>
      </c>
      <c r="AY196" s="37" t="str">
        <f t="shared" si="133"/>
        <v>19405.1409303499,455.111</v>
      </c>
      <c r="AZ196" s="37" t="str">
        <f t="shared" si="134"/>
        <v>19405.1409303499,459.357</v>
      </c>
      <c r="BA196" s="37" t="str">
        <f t="shared" si="135"/>
        <v>19405.1409303499,460.611</v>
      </c>
      <c r="BB196" s="37" t="str">
        <f t="shared" si="136"/>
        <v>-text 19404.1409303499,337 3.5 90 455.111 </v>
      </c>
      <c r="BC196" s="37" t="str">
        <f t="shared" si="137"/>
        <v>-text 19404.1409303499,320 3.5 90 460.611 </v>
      </c>
      <c r="BD196" s="37" t="str">
        <f t="shared" si="138"/>
        <v>-text 19404.1409303499,306 3.5 90 459.357 </v>
      </c>
      <c r="BE196" s="37" t="str">
        <f t="shared" si="139"/>
        <v>-text 19404.1409303499,352 3.5 90 ZG38+810.282 </v>
      </c>
      <c r="BF196" s="37" t="str">
        <f t="shared" si="140"/>
        <v>-text 19404.1409303499,280 3.5 90 踏水水库分水闸出 </v>
      </c>
      <c r="BG196" s="37" t="str">
        <f t="shared" si="141"/>
        <v/>
      </c>
      <c r="BH196" s="37" t="str">
        <f t="shared" si="142"/>
        <v> </v>
      </c>
      <c r="BI196" s="37" t="str">
        <f t="shared" si="143"/>
        <v> </v>
      </c>
      <c r="BJ196" s="37" t="str">
        <f t="shared" si="144"/>
        <v> </v>
      </c>
    </row>
    <row r="197" spans="1:62">
      <c r="A197">
        <v>1</v>
      </c>
      <c r="B197">
        <v>196</v>
      </c>
      <c r="C197" t="str">
        <f>Sheet1!C185</f>
        <v>马桑梁子隧进</v>
      </c>
      <c r="D197" s="39">
        <v>469072.308</v>
      </c>
      <c r="E197" s="39">
        <v>3383950.0659</v>
      </c>
      <c r="G197">
        <f t="shared" si="117"/>
        <v>0</v>
      </c>
      <c r="H197">
        <f t="shared" si="118"/>
        <v>0</v>
      </c>
      <c r="I197">
        <f t="shared" si="119"/>
        <v>0</v>
      </c>
      <c r="J197">
        <f t="shared" si="120"/>
        <v>150.277299606217</v>
      </c>
      <c r="K197" s="40">
        <f t="shared" si="121"/>
        <v>38960.559160306</v>
      </c>
      <c r="L197" s="40">
        <f t="shared" si="122"/>
        <v>38960.559160306</v>
      </c>
      <c r="M197" s="40">
        <f t="shared" si="123"/>
        <v>38960.559160306</v>
      </c>
      <c r="N197">
        <v>459.326</v>
      </c>
      <c r="O197">
        <v>455.101</v>
      </c>
      <c r="P197">
        <v>0</v>
      </c>
      <c r="Q197" s="39">
        <f t="shared" si="124"/>
        <v>469072.308</v>
      </c>
      <c r="R197" s="39">
        <f t="shared" si="125"/>
        <v>3383950.0659</v>
      </c>
      <c r="S197" s="39" t="str">
        <f t="shared" si="126"/>
        <v> </v>
      </c>
      <c r="T197" s="39" t="str">
        <f t="shared" si="127"/>
        <v> </v>
      </c>
      <c r="U197" s="39" t="str">
        <f t="shared" si="128"/>
        <v> </v>
      </c>
      <c r="V197" s="39" t="str">
        <f t="shared" si="129"/>
        <v> </v>
      </c>
      <c r="AI197" t="str">
        <f t="array" ref="AI197">IFERROR(INDEX($L$2:$L$789,SMALL(IF(ISNUMBER(FIND($AH$2,$C$2:$C$789)),ROW($2:$789)-1,4^8),ROW(A196)))&amp;"","")</f>
        <v/>
      </c>
      <c r="AT197" t="str">
        <f t="shared" si="130"/>
        <v>469072.308,3383950.0659</v>
      </c>
      <c r="AV197">
        <f>IF(A197=0,O197+5.8,IF(A197=1,O197+5.5,O197+4.5))</f>
        <v>460.601</v>
      </c>
      <c r="AX197" t="str">
        <f t="shared" si="132"/>
        <v>pl 19480.279580153,279 19480.279580153,400 </v>
      </c>
      <c r="AY197" t="str">
        <f t="shared" si="133"/>
        <v>19480.279580153,455.101</v>
      </c>
      <c r="AZ197" t="str">
        <f t="shared" si="134"/>
        <v>19480.279580153,459.326</v>
      </c>
      <c r="BA197" t="str">
        <f t="shared" si="135"/>
        <v>19480.279580153,460.601</v>
      </c>
      <c r="BB197" t="str">
        <f t="shared" si="136"/>
        <v>-text 19479.279580153,337 3.5 90 455.101 </v>
      </c>
      <c r="BC197" t="str">
        <f t="shared" si="137"/>
        <v>-text 19479.279580153,320 3.5 90 460.601 </v>
      </c>
      <c r="BD197" t="str">
        <f t="shared" si="138"/>
        <v>-text 19479.279580153,306 3.5 90 459.326 </v>
      </c>
      <c r="BE197" t="str">
        <f t="shared" si="139"/>
        <v>-text 19479.279580153,352 3.5 90 ZG38+960.559 </v>
      </c>
      <c r="BF197" t="str">
        <f t="shared" si="140"/>
        <v>-text 19479.279580153,280 3.5 90 马桑梁子隧进 </v>
      </c>
      <c r="BG197" t="str">
        <f t="shared" si="141"/>
        <v/>
      </c>
      <c r="BH197" t="str">
        <f t="shared" si="142"/>
        <v> </v>
      </c>
      <c r="BI197" t="str">
        <f t="shared" si="143"/>
        <v> </v>
      </c>
      <c r="BJ197" t="str">
        <f t="shared" si="144"/>
        <v> </v>
      </c>
    </row>
    <row r="198" spans="1:62">
      <c r="A198">
        <v>1</v>
      </c>
      <c r="B198">
        <v>197</v>
      </c>
      <c r="C198" t="s">
        <v>206</v>
      </c>
      <c r="D198" s="39">
        <v>469205.893</v>
      </c>
      <c r="E198" s="39">
        <v>3383907.0594</v>
      </c>
      <c r="F198">
        <v>80</v>
      </c>
      <c r="G198">
        <f t="shared" si="117"/>
        <v>29.447</v>
      </c>
      <c r="H198">
        <f t="shared" si="118"/>
        <v>21.0226813745333</v>
      </c>
      <c r="I198">
        <f t="shared" si="119"/>
        <v>41.1157683867816</v>
      </c>
      <c r="J198">
        <f t="shared" si="120"/>
        <v>140.337134313095</v>
      </c>
      <c r="K198" s="40">
        <f t="shared" si="121"/>
        <v>39079.8736132445</v>
      </c>
      <c r="L198" s="40">
        <f t="shared" si="122"/>
        <v>39100.4314974379</v>
      </c>
      <c r="M198" s="40">
        <f t="shared" si="123"/>
        <v>39120.9893816313</v>
      </c>
      <c r="N198">
        <v>459.3</v>
      </c>
      <c r="O198">
        <v>455.075</v>
      </c>
      <c r="P198">
        <v>0.001</v>
      </c>
      <c r="Q198" s="39">
        <f t="shared" si="124"/>
        <v>469185.881796941</v>
      </c>
      <c r="R198" s="39">
        <f t="shared" si="125"/>
        <v>3383913.50182845</v>
      </c>
      <c r="S198" s="39">
        <f t="shared" si="126"/>
        <v>469206.04092756</v>
      </c>
      <c r="T198" s="39">
        <f t="shared" si="127"/>
        <v>3383909.77145509</v>
      </c>
      <c r="U198" s="39">
        <f t="shared" si="128"/>
        <v>469226.486198479</v>
      </c>
      <c r="V198" s="39">
        <f t="shared" si="129"/>
        <v>3383911.2870836</v>
      </c>
      <c r="AI198" t="str">
        <f t="array" ref="AI198">IFERROR(INDEX($L$2:$L$789,SMALL(IF(ISNUMBER(FIND($AH$2,$C$2:$C$789)),ROW($2:$789)-1,4^8),ROW(A197)))&amp;"","")</f>
        <v/>
      </c>
      <c r="AS198" t="str">
        <f>"-text"&amp;" "&amp;D198&amp;","&amp;E198&amp;" "&amp;"10"&amp;" "&amp;"0"&amp;" "&amp;C198</f>
        <v>-text 469205.893,3383907.0594 10 0 IP97</v>
      </c>
      <c r="AT198" t="str">
        <f t="shared" si="130"/>
        <v>469205.893,3383907.0594</v>
      </c>
      <c r="AV198">
        <f t="shared" ref="AV198:AV261" si="145">IF(A198=0,O198+5.8,IF(A198=1,O198+5.5,O198+4.5))</f>
        <v>460.575</v>
      </c>
      <c r="AX198" t="str">
        <f t="shared" si="132"/>
        <v>pl 19550.215748719,279 19550.215748719,400 </v>
      </c>
      <c r="AY198" t="str">
        <f t="shared" si="133"/>
        <v>19550.215748719,455.075</v>
      </c>
      <c r="AZ198" t="str">
        <f t="shared" si="134"/>
        <v>19550.215748719,459.3</v>
      </c>
      <c r="BA198" t="str">
        <f t="shared" si="135"/>
        <v>19550.215748719,460.575</v>
      </c>
      <c r="BB198" t="str">
        <f t="shared" si="136"/>
        <v>-text 19549.215748719,337 3.5 90 455.075 </v>
      </c>
      <c r="BC198" t="str">
        <f t="shared" si="137"/>
        <v>-text 19549.215748719,320 3.5 90 460.575 </v>
      </c>
      <c r="BD198" t="str">
        <f t="shared" si="138"/>
        <v>-text 19549.215748719,306 3.5 90 459.300 </v>
      </c>
      <c r="BE198" t="str">
        <f t="shared" si="139"/>
        <v>-text 19549.215748719,352 3.5 90 ZG39+100.431 </v>
      </c>
      <c r="BF198" t="str">
        <f t="shared" si="140"/>
        <v>-text 19549.215748719,280 3.5 90 IP97 </v>
      </c>
      <c r="BG198" t="str">
        <f t="shared" si="141"/>
        <v>-TEXT 19551.215748719,300 3.5 0 R=80</v>
      </c>
      <c r="BH198" t="str">
        <f t="shared" si="142"/>
        <v>-TEXT 19551.215748719,295 3.5 0 α=29.45° </v>
      </c>
      <c r="BI198" t="str">
        <f t="shared" si="143"/>
        <v>-TEXT 19551.215748719,290 3.5 0 T=21.02 </v>
      </c>
      <c r="BJ198" t="str">
        <f t="shared" si="144"/>
        <v>-TEXT 19551.215748719,285 3.5 0 S=41.12 </v>
      </c>
    </row>
    <row r="199" spans="1:62">
      <c r="A199">
        <v>1</v>
      </c>
      <c r="B199">
        <v>198</v>
      </c>
      <c r="C199" t="str">
        <f>Sheet1!C187</f>
        <v>马桑梁子隧出</v>
      </c>
      <c r="D199" s="39">
        <v>469238.4096</v>
      </c>
      <c r="E199" s="39">
        <v>3383913.7349</v>
      </c>
      <c r="G199">
        <f t="shared" si="117"/>
        <v>0</v>
      </c>
      <c r="H199">
        <f t="shared" si="118"/>
        <v>0</v>
      </c>
      <c r="I199">
        <f t="shared" si="119"/>
        <v>0</v>
      </c>
      <c r="J199">
        <f t="shared" si="120"/>
        <v>33.1947522330062</v>
      </c>
      <c r="K199" s="40">
        <f t="shared" si="121"/>
        <v>39133.1614524898</v>
      </c>
      <c r="L199" s="40">
        <f t="shared" si="122"/>
        <v>39133.1614524898</v>
      </c>
      <c r="M199" s="40">
        <f t="shared" si="123"/>
        <v>39133.1614524898</v>
      </c>
      <c r="N199">
        <v>459.294</v>
      </c>
      <c r="O199">
        <v>455.069</v>
      </c>
      <c r="P199">
        <v>0</v>
      </c>
      <c r="Q199" s="39">
        <f t="shared" si="124"/>
        <v>469238.4096</v>
      </c>
      <c r="R199" s="39">
        <f t="shared" si="125"/>
        <v>3383913.7349</v>
      </c>
      <c r="S199" s="39" t="str">
        <f t="shared" si="126"/>
        <v> </v>
      </c>
      <c r="T199" s="39" t="str">
        <f t="shared" si="127"/>
        <v> </v>
      </c>
      <c r="U199" s="39" t="str">
        <f t="shared" si="128"/>
        <v> </v>
      </c>
      <c r="V199" s="39" t="str">
        <f t="shared" si="129"/>
        <v> </v>
      </c>
      <c r="AI199" t="str">
        <f t="array" ref="AI199">IFERROR(INDEX($L$2:$L$789,SMALL(IF(ISNUMBER(FIND($AH$2,$C$2:$C$789)),ROW($2:$789)-1,4^8),ROW(A198)))&amp;"","")</f>
        <v/>
      </c>
      <c r="AT199" t="str">
        <f t="shared" si="130"/>
        <v>469238.4096,3383913.7349</v>
      </c>
      <c r="AV199">
        <f t="shared" si="145"/>
        <v>460.569</v>
      </c>
      <c r="AX199" t="str">
        <f t="shared" si="132"/>
        <v>pl 19566.5807262449,279 19566.5807262449,400 </v>
      </c>
      <c r="AY199" t="str">
        <f t="shared" si="133"/>
        <v>19566.5807262449,455.069</v>
      </c>
      <c r="AZ199" t="str">
        <f t="shared" si="134"/>
        <v>19566.5807262449,459.294</v>
      </c>
      <c r="BA199" t="str">
        <f t="shared" si="135"/>
        <v>19566.5807262449,460.569</v>
      </c>
      <c r="BB199" t="str">
        <f t="shared" si="136"/>
        <v>-text 19565.5807262449,337 3.5 90 455.069 </v>
      </c>
      <c r="BC199" t="str">
        <f t="shared" si="137"/>
        <v>-text 19565.5807262449,320 3.5 90 460.569 </v>
      </c>
      <c r="BD199" t="str">
        <f t="shared" si="138"/>
        <v>-text 19565.5807262449,306 3.5 90 459.294 </v>
      </c>
      <c r="BE199" t="str">
        <f t="shared" si="139"/>
        <v>-text 19565.5807262449,352 3.5 90 ZG39+133.161 </v>
      </c>
      <c r="BF199" t="str">
        <f t="shared" si="140"/>
        <v>-text 19565.5807262449,280 3.5 90 马桑梁子隧出 </v>
      </c>
      <c r="BG199" t="str">
        <f t="shared" si="141"/>
        <v/>
      </c>
      <c r="BH199" t="str">
        <f t="shared" si="142"/>
        <v> </v>
      </c>
      <c r="BI199" t="str">
        <f t="shared" si="143"/>
        <v> </v>
      </c>
      <c r="BJ199" t="str">
        <f t="shared" si="144"/>
        <v> </v>
      </c>
    </row>
    <row r="200" spans="1:62">
      <c r="A200">
        <v>2</v>
      </c>
      <c r="B200">
        <v>199</v>
      </c>
      <c r="C200" t="str">
        <f>Sheet1!C188</f>
        <v>双岔沟渡槽进</v>
      </c>
      <c r="D200" s="39">
        <v>469273.3353</v>
      </c>
      <c r="E200" s="39">
        <v>3383920.9049</v>
      </c>
      <c r="G200">
        <f t="shared" si="117"/>
        <v>0</v>
      </c>
      <c r="H200">
        <f t="shared" si="118"/>
        <v>0</v>
      </c>
      <c r="I200">
        <f t="shared" si="119"/>
        <v>0</v>
      </c>
      <c r="J200">
        <f t="shared" si="120"/>
        <v>35.6540799977559</v>
      </c>
      <c r="K200" s="40">
        <f t="shared" si="121"/>
        <v>39168.8155324876</v>
      </c>
      <c r="L200" s="40">
        <f t="shared" si="122"/>
        <v>39168.8155324876</v>
      </c>
      <c r="M200" s="40">
        <f t="shared" si="123"/>
        <v>39168.8155324876</v>
      </c>
      <c r="N200">
        <v>459.224</v>
      </c>
      <c r="O200">
        <v>455.47</v>
      </c>
      <c r="P200">
        <v>0</v>
      </c>
      <c r="Q200" s="39">
        <f t="shared" si="124"/>
        <v>469273.3353</v>
      </c>
      <c r="R200" s="39">
        <f t="shared" si="125"/>
        <v>3383920.9049</v>
      </c>
      <c r="S200" s="39" t="str">
        <f t="shared" si="126"/>
        <v> </v>
      </c>
      <c r="T200" s="39" t="str">
        <f t="shared" si="127"/>
        <v> </v>
      </c>
      <c r="U200" s="39" t="str">
        <f t="shared" si="128"/>
        <v> </v>
      </c>
      <c r="V200" s="39" t="str">
        <f t="shared" si="129"/>
        <v> </v>
      </c>
      <c r="AI200" t="str">
        <f t="array" ref="AI200">IFERROR(INDEX($L$2:$L$789,SMALL(IF(ISNUMBER(FIND($AH$2,$C$2:$C$789)),ROW($2:$789)-1,4^8),ROW(A199)))&amp;"","")</f>
        <v/>
      </c>
      <c r="AT200" t="str">
        <f t="shared" si="130"/>
        <v>469273.3353,3383920.9049</v>
      </c>
      <c r="AV200">
        <f t="shared" si="145"/>
        <v>459.97</v>
      </c>
      <c r="AX200" t="str">
        <f t="shared" si="132"/>
        <v>pl 19584.4077662438,279 19584.4077662438,400 </v>
      </c>
      <c r="AY200" t="str">
        <f t="shared" si="133"/>
        <v>19584.4077662438,455.47</v>
      </c>
      <c r="AZ200" t="str">
        <f t="shared" si="134"/>
        <v>19584.4077662438,459.224</v>
      </c>
      <c r="BA200" t="str">
        <f t="shared" si="135"/>
        <v>19584.4077662438,459.97</v>
      </c>
      <c r="BB200" t="str">
        <f t="shared" si="136"/>
        <v>-text 19583.4077662438,337 3.5 90 455.470 </v>
      </c>
      <c r="BC200" t="str">
        <f t="shared" si="137"/>
        <v>-text 19583.4077662438,320 3.5 90 459.970 </v>
      </c>
      <c r="BD200" t="str">
        <f t="shared" si="138"/>
        <v>-text 19583.4077662438,306 3.5 90 459.224 </v>
      </c>
      <c r="BE200" t="str">
        <f t="shared" si="139"/>
        <v>-text 19583.4077662438,352 3.5 90 ZG39+168.816 </v>
      </c>
      <c r="BF200" t="str">
        <f t="shared" si="140"/>
        <v>-text 19583.4077662438,280 3.5 90 双岔沟渡槽进 </v>
      </c>
      <c r="BG200" t="str">
        <f t="shared" si="141"/>
        <v/>
      </c>
      <c r="BH200" t="str">
        <f t="shared" si="142"/>
        <v> </v>
      </c>
      <c r="BI200" t="str">
        <f t="shared" si="143"/>
        <v> </v>
      </c>
      <c r="BJ200" t="str">
        <f t="shared" si="144"/>
        <v> </v>
      </c>
    </row>
    <row r="201" spans="1:62">
      <c r="A201">
        <v>2</v>
      </c>
      <c r="B201">
        <v>200</v>
      </c>
      <c r="C201" t="str">
        <f>Sheet1!C189</f>
        <v>双岔沟渡槽出</v>
      </c>
      <c r="D201" s="39">
        <v>469388.3215</v>
      </c>
      <c r="E201" s="39">
        <v>3383944.511</v>
      </c>
      <c r="G201">
        <f t="shared" si="117"/>
        <v>0</v>
      </c>
      <c r="H201">
        <f t="shared" si="118"/>
        <v>0</v>
      </c>
      <c r="I201">
        <f t="shared" si="119"/>
        <v>0</v>
      </c>
      <c r="J201">
        <f t="shared" si="120"/>
        <v>117.384301112452</v>
      </c>
      <c r="K201" s="40">
        <f t="shared" si="121"/>
        <v>39286.1998336</v>
      </c>
      <c r="L201" s="40">
        <f t="shared" si="122"/>
        <v>39286.1998336</v>
      </c>
      <c r="M201" s="40">
        <f t="shared" si="123"/>
        <v>39286.1998336</v>
      </c>
      <c r="N201">
        <v>459.185</v>
      </c>
      <c r="O201">
        <v>455.431</v>
      </c>
      <c r="P201">
        <v>0</v>
      </c>
      <c r="Q201" s="39">
        <f t="shared" si="124"/>
        <v>469388.3215</v>
      </c>
      <c r="R201" s="39">
        <f t="shared" si="125"/>
        <v>3383944.511</v>
      </c>
      <c r="S201" s="39" t="str">
        <f t="shared" si="126"/>
        <v> </v>
      </c>
      <c r="T201" s="39" t="str">
        <f t="shared" si="127"/>
        <v> </v>
      </c>
      <c r="U201" s="39" t="str">
        <f t="shared" si="128"/>
        <v> </v>
      </c>
      <c r="V201" s="39" t="str">
        <f t="shared" si="129"/>
        <v> </v>
      </c>
      <c r="AI201" t="str">
        <f t="array" ref="AI201">IFERROR(INDEX($L$2:$L$789,SMALL(IF(ISNUMBER(FIND($AH$2,$C$2:$C$789)),ROW($2:$789)-1,4^8),ROW(A200)))&amp;"","")</f>
        <v/>
      </c>
      <c r="AT201" t="str">
        <f t="shared" si="130"/>
        <v>469388.3215,3383944.511</v>
      </c>
      <c r="AV201">
        <f t="shared" si="145"/>
        <v>459.931</v>
      </c>
      <c r="AX201" t="str">
        <f t="shared" si="132"/>
        <v>pl 19643.0999168,279 19643.0999168,400 </v>
      </c>
      <c r="AY201" t="str">
        <f t="shared" si="133"/>
        <v>19643.0999168,455.431</v>
      </c>
      <c r="AZ201" t="str">
        <f t="shared" si="134"/>
        <v>19643.0999168,459.185</v>
      </c>
      <c r="BA201" t="str">
        <f t="shared" si="135"/>
        <v>19643.0999168,459.931</v>
      </c>
      <c r="BB201" t="str">
        <f t="shared" si="136"/>
        <v>-text 19642.0999168,337 3.5 90 455.431 </v>
      </c>
      <c r="BC201" t="str">
        <f t="shared" si="137"/>
        <v>-text 19642.0999168,320 3.5 90 459.931 </v>
      </c>
      <c r="BD201" t="str">
        <f t="shared" si="138"/>
        <v>-text 19642.0999168,306 3.5 90 459.185 </v>
      </c>
      <c r="BE201" t="str">
        <f t="shared" si="139"/>
        <v>-text 19642.0999168,352 3.5 90 ZG39+286.200 </v>
      </c>
      <c r="BF201" t="str">
        <f t="shared" si="140"/>
        <v>-text 19642.0999168,280 3.5 90 双岔沟渡槽出 </v>
      </c>
      <c r="BG201" t="str">
        <f t="shared" si="141"/>
        <v/>
      </c>
      <c r="BH201" t="str">
        <f t="shared" si="142"/>
        <v> </v>
      </c>
      <c r="BI201" t="str">
        <f t="shared" si="143"/>
        <v> </v>
      </c>
      <c r="BJ201" t="str">
        <f t="shared" si="144"/>
        <v> </v>
      </c>
    </row>
    <row r="202" spans="1:62">
      <c r="A202">
        <v>0</v>
      </c>
      <c r="B202">
        <v>201</v>
      </c>
      <c r="C202" t="s">
        <v>210</v>
      </c>
      <c r="D202" s="39">
        <v>469477.9764</v>
      </c>
      <c r="E202" s="39">
        <v>3383962.9166</v>
      </c>
      <c r="F202">
        <v>80</v>
      </c>
      <c r="G202">
        <f t="shared" si="117"/>
        <v>10.643</v>
      </c>
      <c r="H202">
        <f t="shared" si="118"/>
        <v>7.45165467674645</v>
      </c>
      <c r="I202">
        <f t="shared" si="119"/>
        <v>14.8604313831805</v>
      </c>
      <c r="J202">
        <f t="shared" si="120"/>
        <v>91.5246808536915</v>
      </c>
      <c r="K202" s="40">
        <f t="shared" si="121"/>
        <v>39370.272859777</v>
      </c>
      <c r="L202" s="40">
        <f t="shared" si="122"/>
        <v>39377.7030754685</v>
      </c>
      <c r="M202" s="40">
        <f t="shared" si="123"/>
        <v>39385.1332911601</v>
      </c>
      <c r="N202">
        <v>459.204</v>
      </c>
      <c r="O202">
        <v>454.958</v>
      </c>
      <c r="P202">
        <v>0</v>
      </c>
      <c r="Q202" s="39">
        <f t="shared" si="124"/>
        <v>469470.676977061</v>
      </c>
      <c r="R202" s="39">
        <f t="shared" si="125"/>
        <v>3383961.41807333</v>
      </c>
      <c r="S202" s="39">
        <f t="shared" si="126"/>
        <v>469478.014278937</v>
      </c>
      <c r="T202" s="39">
        <f t="shared" si="127"/>
        <v>3383962.57238719</v>
      </c>
      <c r="U202" s="39">
        <f t="shared" si="128"/>
        <v>469485.427012166</v>
      </c>
      <c r="V202" s="39">
        <f t="shared" si="129"/>
        <v>3383963.04124256</v>
      </c>
      <c r="AI202" t="str">
        <f t="array" ref="AI202">IFERROR(INDEX($L$2:$L$789,SMALL(IF(ISNUMBER(FIND($AH$2,$C$2:$C$789)),ROW($2:$789)-1,4^8),ROW(A201)))&amp;"","")</f>
        <v/>
      </c>
      <c r="AS202" t="str">
        <f>"-text"&amp;" "&amp;D202&amp;","&amp;E202&amp;" "&amp;"10"&amp;" "&amp;"0"&amp;" "&amp;C202</f>
        <v>-text 469477.9764,3383962.9166 10 0 IP98</v>
      </c>
      <c r="AT202" t="str">
        <f t="shared" si="130"/>
        <v>469477.9764,3383962.9166</v>
      </c>
      <c r="AV202">
        <f t="shared" si="145"/>
        <v>460.758</v>
      </c>
      <c r="AX202" t="str">
        <f t="shared" si="132"/>
        <v>pl 19688.8515377343,279 19688.8515377343,400 </v>
      </c>
      <c r="AY202" t="str">
        <f t="shared" si="133"/>
        <v>19688.8515377343,454.958</v>
      </c>
      <c r="AZ202" t="str">
        <f t="shared" si="134"/>
        <v>19688.8515377343,459.204</v>
      </c>
      <c r="BA202" t="str">
        <f t="shared" si="135"/>
        <v>19688.8515377343,460.758</v>
      </c>
      <c r="BB202" t="str">
        <f t="shared" si="136"/>
        <v>-text 19687.8515377343,337 3.5 90 454.958 </v>
      </c>
      <c r="BC202" t="str">
        <f t="shared" si="137"/>
        <v>-text 19687.8515377343,320 3.5 90 460.758 </v>
      </c>
      <c r="BD202" t="str">
        <f t="shared" si="138"/>
        <v>-text 19687.8515377343,306 3.5 90 459.204 </v>
      </c>
      <c r="BE202" t="str">
        <f t="shared" si="139"/>
        <v>-text 19687.8515377343,352 3.5 90 ZG39+377.703 </v>
      </c>
      <c r="BF202" t="str">
        <f t="shared" si="140"/>
        <v>-text 19687.8515377343,280 3.5 90 IP98 </v>
      </c>
      <c r="BG202" t="str">
        <f t="shared" si="141"/>
        <v>-TEXT 19689.8515377343,300 3.5 0 R=80</v>
      </c>
      <c r="BH202" t="str">
        <f t="shared" si="142"/>
        <v>-TEXT 19689.8515377343,295 3.5 0 α=10.64° </v>
      </c>
      <c r="BI202" t="str">
        <f t="shared" si="143"/>
        <v>-TEXT 19689.8515377343,290 3.5 0 T=7.45 </v>
      </c>
      <c r="BJ202" t="str">
        <f t="shared" si="144"/>
        <v>-TEXT 19689.8515377343,285 3.5 0 S=14.86 </v>
      </c>
    </row>
    <row r="203" spans="1:62">
      <c r="A203">
        <v>0</v>
      </c>
      <c r="B203">
        <v>202</v>
      </c>
      <c r="C203" t="s">
        <v>211</v>
      </c>
      <c r="D203" s="39">
        <v>469523.5734</v>
      </c>
      <c r="E203" s="39">
        <v>3383963.6794</v>
      </c>
      <c r="F203">
        <v>80</v>
      </c>
      <c r="G203">
        <f t="shared" si="117"/>
        <v>18.39</v>
      </c>
      <c r="H203">
        <f t="shared" si="118"/>
        <v>12.9500082962008</v>
      </c>
      <c r="I203">
        <f t="shared" si="119"/>
        <v>25.6772839553406</v>
      </c>
      <c r="J203">
        <f t="shared" si="120"/>
        <v>45.6033800593806</v>
      </c>
      <c r="K203" s="40">
        <f t="shared" si="121"/>
        <v>39410.3350082466</v>
      </c>
      <c r="L203" s="40">
        <f t="shared" si="122"/>
        <v>39423.1736502242</v>
      </c>
      <c r="M203" s="40">
        <f t="shared" si="123"/>
        <v>39436.0122922019</v>
      </c>
      <c r="N203">
        <v>459.194</v>
      </c>
      <c r="O203">
        <v>454.948</v>
      </c>
      <c r="P203">
        <v>0.001</v>
      </c>
      <c r="Q203" s="39">
        <f t="shared" si="124"/>
        <v>469510.625203452</v>
      </c>
      <c r="R203" s="39">
        <f t="shared" si="125"/>
        <v>3383963.46278741</v>
      </c>
      <c r="S203" s="39">
        <f t="shared" si="126"/>
        <v>469523.389823397</v>
      </c>
      <c r="T203" s="39">
        <f t="shared" si="127"/>
        <v>3383964.70445609</v>
      </c>
      <c r="U203" s="39">
        <f t="shared" si="128"/>
        <v>469535.792007975</v>
      </c>
      <c r="V203" s="39">
        <f t="shared" si="129"/>
        <v>3383967.96989345</v>
      </c>
      <c r="AI203" t="str">
        <f t="array" ref="AI203">IFERROR(INDEX($L$2:$L$789,SMALL(IF(ISNUMBER(FIND($AH$2,$C$2:$C$789)),ROW($2:$789)-1,4^8),ROW(A202)))&amp;"","")</f>
        <v/>
      </c>
      <c r="AS203" t="str">
        <f>"-text"&amp;" "&amp;D203&amp;","&amp;E203&amp;" "&amp;"10"&amp;" "&amp;"0"&amp;" "&amp;C203</f>
        <v>-text 469523.5734,3383963.6794 10 0 IP99</v>
      </c>
      <c r="AT203" t="str">
        <f t="shared" si="130"/>
        <v>469523.5734,3383963.6794</v>
      </c>
      <c r="AV203">
        <f t="shared" si="145"/>
        <v>460.748</v>
      </c>
      <c r="AX203" t="str">
        <f t="shared" si="132"/>
        <v>pl 19711.5868251121,279 19711.5868251121,400 </v>
      </c>
      <c r="AY203" t="str">
        <f t="shared" si="133"/>
        <v>19711.5868251121,454.948</v>
      </c>
      <c r="AZ203" t="str">
        <f t="shared" si="134"/>
        <v>19711.5868251121,459.194</v>
      </c>
      <c r="BA203" t="str">
        <f t="shared" si="135"/>
        <v>19711.5868251121,460.748</v>
      </c>
      <c r="BB203" t="str">
        <f t="shared" si="136"/>
        <v>-text 19710.5868251121,337 3.5 90 454.948 </v>
      </c>
      <c r="BC203" t="str">
        <f t="shared" si="137"/>
        <v>-text 19710.5868251121,320 3.5 90 460.748 </v>
      </c>
      <c r="BD203" t="str">
        <f t="shared" si="138"/>
        <v>-text 19710.5868251121,306 3.5 90 459.194 </v>
      </c>
      <c r="BE203" t="str">
        <f t="shared" si="139"/>
        <v>-text 19710.5868251121,352 3.5 90 ZG39+423.174 </v>
      </c>
      <c r="BF203" t="str">
        <f t="shared" si="140"/>
        <v>-text 19710.5868251121,280 3.5 90 IP99 </v>
      </c>
      <c r="BG203" t="str">
        <f t="shared" si="141"/>
        <v>-TEXT 19712.5868251121,300 3.5 0 R=80</v>
      </c>
      <c r="BH203" t="str">
        <f t="shared" si="142"/>
        <v>-TEXT 19712.5868251121,295 3.5 0 α=18.39° </v>
      </c>
      <c r="BI203" t="str">
        <f t="shared" si="143"/>
        <v>-TEXT 19712.5868251121,290 3.5 0 T=12.95 </v>
      </c>
      <c r="BJ203" t="str">
        <f t="shared" si="144"/>
        <v>-TEXT 19712.5868251121,285 3.5 0 S=25.68 </v>
      </c>
    </row>
    <row r="204" spans="1:62">
      <c r="A204">
        <v>0</v>
      </c>
      <c r="B204">
        <v>203</v>
      </c>
      <c r="C204" t="s">
        <v>212</v>
      </c>
      <c r="D204" s="39">
        <v>469577.0426</v>
      </c>
      <c r="E204" s="39">
        <v>3383982.4548</v>
      </c>
      <c r="F204">
        <v>80</v>
      </c>
      <c r="G204">
        <f t="shared" si="117"/>
        <v>16.331</v>
      </c>
      <c r="H204">
        <f t="shared" si="118"/>
        <v>11.4790089858849</v>
      </c>
      <c r="I204">
        <f t="shared" si="119"/>
        <v>22.8023776114555</v>
      </c>
      <c r="J204">
        <f t="shared" si="120"/>
        <v>56.669842013236</v>
      </c>
      <c r="K204" s="40">
        <f t="shared" si="121"/>
        <v>39468.2531169331</v>
      </c>
      <c r="L204" s="40">
        <f t="shared" si="122"/>
        <v>39479.6543057388</v>
      </c>
      <c r="M204" s="40">
        <f t="shared" si="123"/>
        <v>39491.0554945445</v>
      </c>
      <c r="N204">
        <v>459.183</v>
      </c>
      <c r="O204">
        <v>454.937</v>
      </c>
      <c r="P204">
        <v>0.001</v>
      </c>
      <c r="Q204" s="39">
        <f t="shared" si="124"/>
        <v>469566.211911128</v>
      </c>
      <c r="R204" s="39">
        <f t="shared" si="125"/>
        <v>3383978.65166631</v>
      </c>
      <c r="S204" s="39">
        <f t="shared" si="126"/>
        <v>469577.201506051</v>
      </c>
      <c r="T204" s="39">
        <f t="shared" si="127"/>
        <v>3383981.65101962</v>
      </c>
      <c r="U204" s="39">
        <f t="shared" si="128"/>
        <v>469588.505691077</v>
      </c>
      <c r="V204" s="39">
        <f t="shared" si="129"/>
        <v>3383983.05910974</v>
      </c>
      <c r="AI204" t="str">
        <f t="array" ref="AI204">IFERROR(INDEX($L$2:$L$789,SMALL(IF(ISNUMBER(FIND($AH$2,$C$2:$C$789)),ROW($2:$789)-1,4^8),ROW(A203)))&amp;"","")</f>
        <v/>
      </c>
      <c r="AS204" t="str">
        <f>"-text"&amp;" "&amp;D204&amp;","&amp;E204&amp;" "&amp;"10"&amp;" "&amp;"0"&amp;" "&amp;C204</f>
        <v>-text 469577.0426,3383982.4548 10 0 IP100</v>
      </c>
      <c r="AT204" t="str">
        <f t="shared" si="130"/>
        <v>469577.0426,3383982.4548</v>
      </c>
      <c r="AV204">
        <f t="shared" si="145"/>
        <v>460.737</v>
      </c>
      <c r="AX204" t="str">
        <f t="shared" si="132"/>
        <v>pl 19739.8271528694,279 19739.8271528694,400 </v>
      </c>
      <c r="AY204" t="str">
        <f t="shared" si="133"/>
        <v>19739.8271528694,454.937</v>
      </c>
      <c r="AZ204" t="str">
        <f t="shared" si="134"/>
        <v>19739.8271528694,459.183</v>
      </c>
      <c r="BA204" t="str">
        <f t="shared" si="135"/>
        <v>19739.8271528694,460.737</v>
      </c>
      <c r="BB204" t="str">
        <f t="shared" si="136"/>
        <v>-text 19738.8271528694,337 3.5 90 454.937 </v>
      </c>
      <c r="BC204" t="str">
        <f t="shared" si="137"/>
        <v>-text 19738.8271528694,320 3.5 90 460.737 </v>
      </c>
      <c r="BD204" t="str">
        <f t="shared" si="138"/>
        <v>-text 19738.8271528694,306 3.5 90 459.183 </v>
      </c>
      <c r="BE204" t="str">
        <f t="shared" si="139"/>
        <v>-text 19738.8271528694,352 3.5 90 ZG39+479.654 </v>
      </c>
      <c r="BF204" t="str">
        <f t="shared" si="140"/>
        <v>-text 19738.8271528694,280 3.5 90 IP100 </v>
      </c>
      <c r="BG204" t="str">
        <f t="shared" si="141"/>
        <v>-TEXT 19740.8271528694,300 3.5 0 R=80</v>
      </c>
      <c r="BH204" t="str">
        <f t="shared" si="142"/>
        <v>-TEXT 19740.8271528694,295 3.5 0 α=16.33° </v>
      </c>
      <c r="BI204" t="str">
        <f t="shared" si="143"/>
        <v>-TEXT 19740.8271528694,290 3.5 0 T=11.48 </v>
      </c>
      <c r="BJ204" t="str">
        <f t="shared" si="144"/>
        <v>-TEXT 19740.8271528694,285 3.5 0 S=22.80 </v>
      </c>
    </row>
    <row r="205" spans="1:62">
      <c r="A205">
        <v>0</v>
      </c>
      <c r="B205">
        <v>204</v>
      </c>
      <c r="C205" t="s">
        <v>213</v>
      </c>
      <c r="D205" s="39">
        <v>469659.14</v>
      </c>
      <c r="E205" s="39">
        <v>3383986.7828</v>
      </c>
      <c r="F205">
        <v>80</v>
      </c>
      <c r="G205">
        <f t="shared" si="117"/>
        <v>30.704</v>
      </c>
      <c r="H205">
        <f t="shared" si="118"/>
        <v>21.9635823575284</v>
      </c>
      <c r="I205">
        <f t="shared" si="119"/>
        <v>42.8708714825871</v>
      </c>
      <c r="J205">
        <f t="shared" si="120"/>
        <v>82.2114023160195</v>
      </c>
      <c r="K205" s="40">
        <f t="shared" si="121"/>
        <v>39539.8243055171</v>
      </c>
      <c r="L205" s="40">
        <f t="shared" si="122"/>
        <v>39561.2597412584</v>
      </c>
      <c r="M205" s="40">
        <f t="shared" si="123"/>
        <v>39582.6951769997</v>
      </c>
      <c r="N205">
        <v>459.167</v>
      </c>
      <c r="O205">
        <v>454.921</v>
      </c>
      <c r="P205">
        <v>0.001</v>
      </c>
      <c r="Q205" s="39">
        <f t="shared" si="124"/>
        <v>469637.206874479</v>
      </c>
      <c r="R205" s="39">
        <f t="shared" si="125"/>
        <v>3383985.62653236</v>
      </c>
      <c r="S205" s="39">
        <f t="shared" si="126"/>
        <v>469658.207109739</v>
      </c>
      <c r="T205" s="39">
        <f t="shared" si="127"/>
        <v>3383989.5921542</v>
      </c>
      <c r="U205" s="39">
        <f t="shared" si="128"/>
        <v>469677.408140122</v>
      </c>
      <c r="V205" s="39">
        <f t="shared" si="129"/>
        <v>3383998.97599509</v>
      </c>
      <c r="AI205" t="str">
        <f t="array" ref="AI205">IFERROR(INDEX($L$2:$L$789,SMALL(IF(ISNUMBER(FIND($AH$2,$C$2:$C$789)),ROW($2:$789)-1,4^8),ROW(A204)))&amp;"","")</f>
        <v/>
      </c>
      <c r="AS205" t="str">
        <f>"-text"&amp;" "&amp;D205&amp;","&amp;E205&amp;" "&amp;"10"&amp;" "&amp;"0"&amp;" "&amp;C205</f>
        <v>-text 469659.14,3383986.7828 10 0 IP101</v>
      </c>
      <c r="AT205" t="str">
        <f t="shared" si="130"/>
        <v>469659.14,3383986.7828</v>
      </c>
      <c r="AV205">
        <f t="shared" si="145"/>
        <v>460.721</v>
      </c>
      <c r="AX205" t="str">
        <f t="shared" si="132"/>
        <v>pl 19780.6298706292,279 19780.6298706292,400 </v>
      </c>
      <c r="AY205" t="str">
        <f t="shared" si="133"/>
        <v>19780.6298706292,454.921</v>
      </c>
      <c r="AZ205" t="str">
        <f t="shared" si="134"/>
        <v>19780.6298706292,459.167</v>
      </c>
      <c r="BA205" t="str">
        <f t="shared" si="135"/>
        <v>19780.6298706292,460.721</v>
      </c>
      <c r="BB205" t="str">
        <f t="shared" si="136"/>
        <v>-text 19779.6298706292,337 3.5 90 454.921 </v>
      </c>
      <c r="BC205" t="str">
        <f t="shared" si="137"/>
        <v>-text 19779.6298706292,320 3.5 90 460.721 </v>
      </c>
      <c r="BD205" t="str">
        <f t="shared" si="138"/>
        <v>-text 19779.6298706292,306 3.5 90 459.167 </v>
      </c>
      <c r="BE205" t="str">
        <f t="shared" si="139"/>
        <v>-text 19779.6298706292,352 3.5 90 ZG39+561.260 </v>
      </c>
      <c r="BF205" t="str">
        <f t="shared" si="140"/>
        <v>-text 19779.6298706292,280 3.5 90 IP101 </v>
      </c>
      <c r="BG205" t="str">
        <f t="shared" si="141"/>
        <v>-TEXT 19781.6298706292,300 3.5 0 R=80</v>
      </c>
      <c r="BH205" t="str">
        <f t="shared" si="142"/>
        <v>-TEXT 19781.6298706292,295 3.5 0 α=30.70° </v>
      </c>
      <c r="BI205" t="str">
        <f t="shared" si="143"/>
        <v>-TEXT 19781.6298706292,290 3.5 0 T=21.96 </v>
      </c>
      <c r="BJ205" t="str">
        <f t="shared" si="144"/>
        <v>-TEXT 19781.6298706292,285 3.5 0 S=42.87 </v>
      </c>
    </row>
    <row r="206" spans="1:62">
      <c r="A206">
        <v>1</v>
      </c>
      <c r="B206">
        <v>205</v>
      </c>
      <c r="C206" t="str">
        <f>Sheet1!C194</f>
        <v>高梁子隧进</v>
      </c>
      <c r="D206" s="39">
        <v>469693.0144</v>
      </c>
      <c r="E206" s="39">
        <v>3384009.3925</v>
      </c>
      <c r="G206">
        <f t="shared" si="117"/>
        <v>0</v>
      </c>
      <c r="H206">
        <f t="shared" si="118"/>
        <v>0</v>
      </c>
      <c r="I206">
        <f t="shared" si="119"/>
        <v>0</v>
      </c>
      <c r="J206">
        <f t="shared" si="120"/>
        <v>40.7268156064792</v>
      </c>
      <c r="K206" s="40">
        <f t="shared" si="121"/>
        <v>39601.4584102487</v>
      </c>
      <c r="L206" s="40">
        <f t="shared" si="122"/>
        <v>39601.4584102487</v>
      </c>
      <c r="M206" s="40">
        <f t="shared" si="123"/>
        <v>39601.4584102487</v>
      </c>
      <c r="N206">
        <v>459.155</v>
      </c>
      <c r="O206">
        <v>454.93</v>
      </c>
      <c r="P206">
        <v>0</v>
      </c>
      <c r="Q206" s="39">
        <f t="shared" si="124"/>
        <v>469693.0144</v>
      </c>
      <c r="R206" s="39">
        <f t="shared" si="125"/>
        <v>3384009.3925</v>
      </c>
      <c r="S206" s="39" t="str">
        <f t="shared" si="126"/>
        <v> </v>
      </c>
      <c r="T206" s="39" t="str">
        <f t="shared" si="127"/>
        <v> </v>
      </c>
      <c r="U206" s="39" t="str">
        <f t="shared" si="128"/>
        <v> </v>
      </c>
      <c r="V206" s="39" t="str">
        <f t="shared" si="129"/>
        <v> </v>
      </c>
      <c r="AI206" t="str">
        <f t="array" ref="AI206">IFERROR(INDEX($L$2:$L$789,SMALL(IF(ISNUMBER(FIND($AH$2,$C$2:$C$789)),ROW($2:$789)-1,4^8),ROW(A205)))&amp;"","")</f>
        <v/>
      </c>
      <c r="AT206" t="str">
        <f t="shared" si="130"/>
        <v>469693.0144,3384009.3925</v>
      </c>
      <c r="AV206">
        <f t="shared" si="145"/>
        <v>460.43</v>
      </c>
      <c r="AX206" t="str">
        <f t="shared" si="132"/>
        <v>pl 19800.7292051243,279 19800.7292051243,400 </v>
      </c>
      <c r="AY206" t="str">
        <f t="shared" si="133"/>
        <v>19800.7292051243,454.93</v>
      </c>
      <c r="AZ206" t="str">
        <f t="shared" si="134"/>
        <v>19800.7292051243,459.155</v>
      </c>
      <c r="BA206" t="str">
        <f t="shared" si="135"/>
        <v>19800.7292051243,460.43</v>
      </c>
      <c r="BB206" t="str">
        <f t="shared" si="136"/>
        <v>-text 19799.7292051243,337 3.5 90 454.930 </v>
      </c>
      <c r="BC206" t="str">
        <f t="shared" si="137"/>
        <v>-text 19799.7292051243,320 3.5 90 460.430 </v>
      </c>
      <c r="BD206" t="str">
        <f t="shared" si="138"/>
        <v>-text 19799.7292051243,306 3.5 90 459.155 </v>
      </c>
      <c r="BE206" t="str">
        <f t="shared" si="139"/>
        <v>-text 19799.7292051243,352 3.5 90 ZG39+601.458 </v>
      </c>
      <c r="BF206" t="str">
        <f t="shared" si="140"/>
        <v>-text 19799.7292051243,280 3.5 90 高梁子隧进 </v>
      </c>
      <c r="BG206" t="str">
        <f t="shared" si="141"/>
        <v/>
      </c>
      <c r="BH206" t="str">
        <f t="shared" si="142"/>
        <v> </v>
      </c>
      <c r="BI206" t="str">
        <f t="shared" si="143"/>
        <v> </v>
      </c>
      <c r="BJ206" t="str">
        <f t="shared" si="144"/>
        <v> </v>
      </c>
    </row>
    <row r="207" spans="1:62">
      <c r="A207">
        <v>1</v>
      </c>
      <c r="B207">
        <v>206</v>
      </c>
      <c r="C207" t="s">
        <v>215</v>
      </c>
      <c r="D207" s="39">
        <v>469802.2934</v>
      </c>
      <c r="E207" s="39">
        <v>3384082.3315</v>
      </c>
      <c r="F207">
        <v>80</v>
      </c>
      <c r="G207">
        <f t="shared" si="117"/>
        <v>34.996</v>
      </c>
      <c r="H207">
        <f t="shared" si="118"/>
        <v>25.2208330029257</v>
      </c>
      <c r="I207">
        <f t="shared" si="119"/>
        <v>48.8636340022349</v>
      </c>
      <c r="J207">
        <f t="shared" si="120"/>
        <v>131.384921364578</v>
      </c>
      <c r="K207" s="40">
        <f t="shared" si="121"/>
        <v>39707.6224986103</v>
      </c>
      <c r="L207" s="40">
        <f t="shared" si="122"/>
        <v>39732.0543156114</v>
      </c>
      <c r="M207" s="40">
        <f t="shared" si="123"/>
        <v>39756.4861326125</v>
      </c>
      <c r="N207">
        <v>459.13</v>
      </c>
      <c r="O207">
        <v>454.905</v>
      </c>
      <c r="P207">
        <v>0.002</v>
      </c>
      <c r="Q207" s="39">
        <f t="shared" si="124"/>
        <v>469781.316050536</v>
      </c>
      <c r="R207" s="39">
        <f t="shared" si="125"/>
        <v>3384068.33002769</v>
      </c>
      <c r="S207" s="39">
        <f t="shared" si="126"/>
        <v>469803.377799094</v>
      </c>
      <c r="T207" s="39">
        <f t="shared" si="127"/>
        <v>3384078.60462314</v>
      </c>
      <c r="U207" s="39">
        <f t="shared" si="128"/>
        <v>469827.507990012</v>
      </c>
      <c r="V207" s="39">
        <f t="shared" si="129"/>
        <v>3384081.77036908</v>
      </c>
      <c r="AI207" t="str">
        <f t="array" ref="AI207">IFERROR(INDEX($L$2:$L$789,SMALL(IF(ISNUMBER(FIND($AH$2,$C$2:$C$789)),ROW($2:$789)-1,4^8),ROW(A206)))&amp;"","")</f>
        <v/>
      </c>
      <c r="AS207" t="str">
        <f>"-text"&amp;" "&amp;D207&amp;","&amp;E207&amp;" "&amp;"10"&amp;" "&amp;"0"&amp;" "&amp;C207</f>
        <v>-text 469802.2934,3384082.3315 10 0 IP102</v>
      </c>
      <c r="AT207" t="str">
        <f t="shared" si="130"/>
        <v>469802.2934,3384082.3315</v>
      </c>
      <c r="AV207">
        <f t="shared" si="145"/>
        <v>460.405</v>
      </c>
      <c r="AX207" t="str">
        <f t="shared" si="132"/>
        <v>pl 19866.0271578057,279 19866.0271578057,400 </v>
      </c>
      <c r="AY207" t="str">
        <f t="shared" si="133"/>
        <v>19866.0271578057,454.905</v>
      </c>
      <c r="AZ207" t="str">
        <f t="shared" si="134"/>
        <v>19866.0271578057,459.13</v>
      </c>
      <c r="BA207" t="str">
        <f t="shared" si="135"/>
        <v>19866.0271578057,460.405</v>
      </c>
      <c r="BB207" t="str">
        <f t="shared" si="136"/>
        <v>-text 19865.0271578057,337 3.5 90 454.905 </v>
      </c>
      <c r="BC207" t="str">
        <f t="shared" si="137"/>
        <v>-text 19865.0271578057,320 3.5 90 460.405 </v>
      </c>
      <c r="BD207" t="str">
        <f t="shared" si="138"/>
        <v>-text 19865.0271578057,306 3.5 90 459.130 </v>
      </c>
      <c r="BE207" t="str">
        <f t="shared" si="139"/>
        <v>-text 19865.0271578057,352 3.5 90 ZG39+732.054 </v>
      </c>
      <c r="BF207" t="str">
        <f t="shared" si="140"/>
        <v>-text 19865.0271578057,280 3.5 90 IP102 </v>
      </c>
      <c r="BG207" t="str">
        <f t="shared" si="141"/>
        <v>-TEXT 19867.0271578057,300 3.5 0 R=80</v>
      </c>
      <c r="BH207" t="str">
        <f t="shared" si="142"/>
        <v>-TEXT 19867.0271578057,295 3.5 0 α=35.00° </v>
      </c>
      <c r="BI207" t="str">
        <f t="shared" si="143"/>
        <v>-TEXT 19867.0271578057,290 3.5 0 T=25.22 </v>
      </c>
      <c r="BJ207" t="str">
        <f t="shared" si="144"/>
        <v>-TEXT 19867.0271578057,285 3.5 0 S=48.86 </v>
      </c>
    </row>
    <row r="208" spans="1:62">
      <c r="A208">
        <v>1</v>
      </c>
      <c r="B208">
        <v>207</v>
      </c>
      <c r="C208" t="s">
        <v>216</v>
      </c>
      <c r="D208" s="39">
        <v>470156.7431</v>
      </c>
      <c r="E208" s="39">
        <v>3384074.4435</v>
      </c>
      <c r="F208">
        <v>80</v>
      </c>
      <c r="G208">
        <f t="shared" si="117"/>
        <v>16.821</v>
      </c>
      <c r="H208">
        <f t="shared" si="118"/>
        <v>11.8283530665355</v>
      </c>
      <c r="I208">
        <f t="shared" si="119"/>
        <v>23.4865466782373</v>
      </c>
      <c r="J208">
        <f t="shared" si="120"/>
        <v>354.537459761426</v>
      </c>
      <c r="K208" s="40">
        <f t="shared" si="121"/>
        <v>40073.9744063045</v>
      </c>
      <c r="L208" s="40">
        <f t="shared" si="122"/>
        <v>40085.7176796436</v>
      </c>
      <c r="M208" s="40">
        <f t="shared" si="123"/>
        <v>40097.4609529828</v>
      </c>
      <c r="N208">
        <v>459.065</v>
      </c>
      <c r="O208">
        <v>454.84</v>
      </c>
      <c r="P208">
        <v>0.001</v>
      </c>
      <c r="Q208" s="39">
        <f t="shared" si="124"/>
        <v>470144.917674843</v>
      </c>
      <c r="R208" s="39">
        <f t="shared" si="125"/>
        <v>3384074.70666556</v>
      </c>
      <c r="S208" s="39">
        <f t="shared" si="126"/>
        <v>470156.596780185</v>
      </c>
      <c r="T208" s="39">
        <f t="shared" si="127"/>
        <v>3384073.58618067</v>
      </c>
      <c r="U208" s="39">
        <f t="shared" si="128"/>
        <v>470167.986393077</v>
      </c>
      <c r="V208" s="39">
        <f t="shared" si="129"/>
        <v>3384070.76949714</v>
      </c>
      <c r="AI208" t="str">
        <f t="array" ref="AI208">IFERROR(INDEX($L$2:$L$789,SMALL(IF(ISNUMBER(FIND($AH$2,$C$2:$C$789)),ROW($2:$789)-1,4^8),ROW(A207)))&amp;"","")</f>
        <v/>
      </c>
      <c r="AS208" t="str">
        <f>"-text"&amp;" "&amp;D208&amp;","&amp;E208&amp;" "&amp;"10"&amp;" "&amp;"0"&amp;" "&amp;C208</f>
        <v>-text 470156.7431,3384074.4435 10 0 IP103</v>
      </c>
      <c r="AT208" t="str">
        <f t="shared" si="130"/>
        <v>470156.7431,3384074.4435</v>
      </c>
      <c r="AV208">
        <f t="shared" si="145"/>
        <v>460.34</v>
      </c>
      <c r="AX208" t="str">
        <f t="shared" si="132"/>
        <v>pl 20042.8588398218,279 20042.8588398218,400 </v>
      </c>
      <c r="AY208" t="str">
        <f t="shared" si="133"/>
        <v>20042.8588398218,454.84</v>
      </c>
      <c r="AZ208" t="str">
        <f t="shared" si="134"/>
        <v>20042.8588398218,459.065</v>
      </c>
      <c r="BA208" t="str">
        <f t="shared" si="135"/>
        <v>20042.8588398218,460.34</v>
      </c>
      <c r="BB208" t="str">
        <f t="shared" si="136"/>
        <v>-text 20041.8588398218,337 3.5 90 454.840 </v>
      </c>
      <c r="BC208" t="str">
        <f t="shared" si="137"/>
        <v>-text 20041.8588398218,320 3.5 90 460.340 </v>
      </c>
      <c r="BD208" t="str">
        <f t="shared" si="138"/>
        <v>-text 20041.8588398218,306 3.5 90 459.065 </v>
      </c>
      <c r="BE208" t="str">
        <f t="shared" si="139"/>
        <v>-text 20041.8588398218,352 3.5 90 ZG40+085.718 </v>
      </c>
      <c r="BF208" t="str">
        <f t="shared" si="140"/>
        <v>-text 20041.8588398218,280 3.5 90 IP103 </v>
      </c>
      <c r="BG208" t="str">
        <f t="shared" si="141"/>
        <v>-TEXT 20043.8588398218,300 3.5 0 R=80</v>
      </c>
      <c r="BH208" t="str">
        <f t="shared" si="142"/>
        <v>-TEXT 20043.8588398218,295 3.5 0 α=16.82° </v>
      </c>
      <c r="BI208" t="str">
        <f t="shared" si="143"/>
        <v>-TEXT 20043.8588398218,290 3.5 0 T=11.83 </v>
      </c>
      <c r="BJ208" t="str">
        <f t="shared" si="144"/>
        <v>-TEXT 20043.8588398218,285 3.5 0 S=23.49 </v>
      </c>
    </row>
    <row r="209" spans="1:62">
      <c r="A209">
        <v>1</v>
      </c>
      <c r="B209">
        <v>208</v>
      </c>
      <c r="C209" t="str">
        <f>Sheet1!C197</f>
        <v>高梁子隧出</v>
      </c>
      <c r="D209" s="39">
        <v>470240.6901</v>
      </c>
      <c r="E209" s="39">
        <v>3384047.0119</v>
      </c>
      <c r="G209">
        <f t="shared" si="117"/>
        <v>0</v>
      </c>
      <c r="H209">
        <f t="shared" si="118"/>
        <v>0</v>
      </c>
      <c r="I209">
        <f t="shared" si="119"/>
        <v>0</v>
      </c>
      <c r="J209">
        <f t="shared" si="120"/>
        <v>88.3152958867882</v>
      </c>
      <c r="K209" s="40">
        <f t="shared" si="121"/>
        <v>40173.947895803</v>
      </c>
      <c r="L209" s="40">
        <f t="shared" si="122"/>
        <v>40173.947895803</v>
      </c>
      <c r="M209" s="40">
        <f t="shared" si="123"/>
        <v>40173.947895803</v>
      </c>
      <c r="N209">
        <v>459.048</v>
      </c>
      <c r="O209">
        <v>454.823</v>
      </c>
      <c r="P209">
        <v>0</v>
      </c>
      <c r="Q209" s="39">
        <f t="shared" si="124"/>
        <v>470240.6901</v>
      </c>
      <c r="R209" s="39">
        <f t="shared" si="125"/>
        <v>3384047.0119</v>
      </c>
      <c r="S209" s="39" t="str">
        <f t="shared" si="126"/>
        <v> </v>
      </c>
      <c r="T209" s="39" t="str">
        <f t="shared" si="127"/>
        <v> </v>
      </c>
      <c r="U209" s="39" t="str">
        <f t="shared" si="128"/>
        <v> </v>
      </c>
      <c r="V209" s="39" t="str">
        <f t="shared" si="129"/>
        <v> </v>
      </c>
      <c r="AI209" t="str">
        <f t="array" ref="AI209">IFERROR(INDEX($L$2:$L$789,SMALL(IF(ISNUMBER(FIND($AH$2,$C$2:$C$789)),ROW($2:$789)-1,4^8),ROW(A208)))&amp;"","")</f>
        <v/>
      </c>
      <c r="AT209" t="str">
        <f t="shared" si="130"/>
        <v>470240.6901,3384047.0119</v>
      </c>
      <c r="AV209">
        <f t="shared" si="145"/>
        <v>460.323</v>
      </c>
      <c r="AX209" t="str">
        <f t="shared" si="132"/>
        <v>pl 20086.9739479015,279 20086.9739479015,400 </v>
      </c>
      <c r="AY209" t="str">
        <f t="shared" si="133"/>
        <v>20086.9739479015,454.823</v>
      </c>
      <c r="AZ209" t="str">
        <f t="shared" si="134"/>
        <v>20086.9739479015,459.048</v>
      </c>
      <c r="BA209" t="str">
        <f t="shared" si="135"/>
        <v>20086.9739479015,460.323</v>
      </c>
      <c r="BB209" t="str">
        <f t="shared" si="136"/>
        <v>-text 20085.9739479015,337 3.5 90 454.823 </v>
      </c>
      <c r="BC209" t="str">
        <f t="shared" si="137"/>
        <v>-text 20085.9739479015,320 3.5 90 460.323 </v>
      </c>
      <c r="BD209" t="str">
        <f t="shared" si="138"/>
        <v>-text 20085.9739479015,306 3.5 90 459.048 </v>
      </c>
      <c r="BE209" t="str">
        <f t="shared" si="139"/>
        <v>-text 20085.9739479015,352 3.5 90 ZG40+173.948 </v>
      </c>
      <c r="BF209" t="str">
        <f t="shared" si="140"/>
        <v>-text 20085.9739479015,280 3.5 90 高梁子隧出 </v>
      </c>
      <c r="BG209" t="str">
        <f t="shared" si="141"/>
        <v/>
      </c>
      <c r="BH209" t="str">
        <f t="shared" si="142"/>
        <v> </v>
      </c>
      <c r="BI209" t="str">
        <f t="shared" si="143"/>
        <v> </v>
      </c>
      <c r="BJ209" t="str">
        <f t="shared" si="144"/>
        <v> </v>
      </c>
    </row>
    <row r="210" spans="1:62">
      <c r="A210">
        <v>0</v>
      </c>
      <c r="B210">
        <v>209</v>
      </c>
      <c r="C210" t="s">
        <v>218</v>
      </c>
      <c r="D210" s="39">
        <v>470315.0975</v>
      </c>
      <c r="E210" s="39">
        <v>3384022.6977</v>
      </c>
      <c r="F210">
        <v>80</v>
      </c>
      <c r="G210">
        <f t="shared" si="117"/>
        <v>11.164</v>
      </c>
      <c r="H210">
        <f t="shared" si="118"/>
        <v>7.81869499669008</v>
      </c>
      <c r="I210">
        <f t="shared" si="119"/>
        <v>15.5878846154118</v>
      </c>
      <c r="J210">
        <f t="shared" si="120"/>
        <v>78.2792532947943</v>
      </c>
      <c r="K210" s="40">
        <f t="shared" si="121"/>
        <v>40244.4084541011</v>
      </c>
      <c r="L210" s="40">
        <f t="shared" si="122"/>
        <v>40252.2023964088</v>
      </c>
      <c r="M210" s="40">
        <f t="shared" si="123"/>
        <v>40259.9963387165</v>
      </c>
      <c r="N210">
        <v>459.037</v>
      </c>
      <c r="O210">
        <v>454.791</v>
      </c>
      <c r="P210">
        <v>0.001</v>
      </c>
      <c r="Q210" s="39">
        <f t="shared" si="124"/>
        <v>470307.665533781</v>
      </c>
      <c r="R210" s="39">
        <f t="shared" si="125"/>
        <v>3384025.12625298</v>
      </c>
      <c r="S210" s="39">
        <f t="shared" si="126"/>
        <v>470315.180089537</v>
      </c>
      <c r="T210" s="39">
        <f t="shared" si="127"/>
        <v>3384023.06980854</v>
      </c>
      <c r="U210" s="39">
        <f t="shared" si="128"/>
        <v>470322.85904109</v>
      </c>
      <c r="V210" s="39">
        <f t="shared" si="129"/>
        <v>3384021.7540521</v>
      </c>
      <c r="AI210" t="str">
        <f t="array" ref="AI210">IFERROR(INDEX($L$2:$L$789,SMALL(IF(ISNUMBER(FIND($AH$2,$C$2:$C$789)),ROW($2:$789)-1,4^8),ROW(A209)))&amp;"","")</f>
        <v/>
      </c>
      <c r="AS210" t="str">
        <f>"-text"&amp;" "&amp;D210&amp;","&amp;E210&amp;" "&amp;"10"&amp;" "&amp;"0"&amp;" "&amp;C210</f>
        <v>-text 470315.0975,3384022.6977 10 0 IP104</v>
      </c>
      <c r="AT210" t="str">
        <f t="shared" si="130"/>
        <v>470315.0975,3384022.6977</v>
      </c>
      <c r="AV210">
        <f t="shared" si="145"/>
        <v>460.591</v>
      </c>
      <c r="AX210" t="str">
        <f t="shared" si="132"/>
        <v>pl 20126.1011982044,279 20126.1011982044,400 </v>
      </c>
      <c r="AY210" t="str">
        <f t="shared" si="133"/>
        <v>20126.1011982044,454.791</v>
      </c>
      <c r="AZ210" t="str">
        <f t="shared" si="134"/>
        <v>20126.1011982044,459.037</v>
      </c>
      <c r="BA210" t="str">
        <f t="shared" si="135"/>
        <v>20126.1011982044,460.591</v>
      </c>
      <c r="BB210" t="str">
        <f t="shared" si="136"/>
        <v>-text 20125.1011982044,337 3.5 90 454.791 </v>
      </c>
      <c r="BC210" t="str">
        <f t="shared" si="137"/>
        <v>-text 20125.1011982044,320 3.5 90 460.591 </v>
      </c>
      <c r="BD210" t="str">
        <f t="shared" si="138"/>
        <v>-text 20125.1011982044,306 3.5 90 459.037 </v>
      </c>
      <c r="BE210" t="str">
        <f t="shared" si="139"/>
        <v>-text 20125.1011982044,352 3.5 90 ZG40+252.202 </v>
      </c>
      <c r="BF210" t="str">
        <f t="shared" si="140"/>
        <v>-text 20125.1011982044,280 3.5 90 IP104 </v>
      </c>
      <c r="BG210" t="str">
        <f t="shared" si="141"/>
        <v>-TEXT 20127.1011982044,300 3.5 0 R=80</v>
      </c>
      <c r="BH210" t="str">
        <f t="shared" si="142"/>
        <v>-TEXT 20127.1011982044,295 3.5 0 α=11.16° </v>
      </c>
      <c r="BI210" t="str">
        <f t="shared" si="143"/>
        <v>-TEXT 20127.1011982044,290 3.5 0 T=7.82 </v>
      </c>
      <c r="BJ210" t="str">
        <f t="shared" si="144"/>
        <v>-TEXT 20127.1011982044,285 3.5 0 S=15.59 </v>
      </c>
    </row>
    <row r="211" spans="1:62">
      <c r="A211">
        <v>2</v>
      </c>
      <c r="B211">
        <v>210</v>
      </c>
      <c r="C211" t="str">
        <f>Sheet1!C199</f>
        <v>大湾渡槽进</v>
      </c>
      <c r="D211" s="39">
        <v>470353.7996</v>
      </c>
      <c r="E211" s="39">
        <v>3384017.9923</v>
      </c>
      <c r="G211">
        <f t="shared" si="117"/>
        <v>0</v>
      </c>
      <c r="H211">
        <f t="shared" si="118"/>
        <v>0</v>
      </c>
      <c r="I211">
        <f t="shared" si="119"/>
        <v>0</v>
      </c>
      <c r="J211">
        <f t="shared" si="120"/>
        <v>38.9870918840173</v>
      </c>
      <c r="K211" s="40">
        <f t="shared" si="121"/>
        <v>40291.1647356038</v>
      </c>
      <c r="L211" s="40">
        <f t="shared" si="122"/>
        <v>40291.1647356038</v>
      </c>
      <c r="M211" s="40">
        <f t="shared" si="123"/>
        <v>40291.1647356038</v>
      </c>
      <c r="N211">
        <v>458.963</v>
      </c>
      <c r="O211">
        <v>455.209</v>
      </c>
      <c r="P211">
        <v>0</v>
      </c>
      <c r="Q211" s="39">
        <f t="shared" si="124"/>
        <v>470353.7996</v>
      </c>
      <c r="R211" s="39">
        <f t="shared" si="125"/>
        <v>3384017.9923</v>
      </c>
      <c r="S211" s="39" t="str">
        <f t="shared" si="126"/>
        <v> </v>
      </c>
      <c r="T211" s="39" t="str">
        <f t="shared" si="127"/>
        <v> </v>
      </c>
      <c r="U211" s="39" t="str">
        <f t="shared" si="128"/>
        <v> </v>
      </c>
      <c r="V211" s="39" t="str">
        <f t="shared" si="129"/>
        <v> </v>
      </c>
      <c r="AI211" t="str">
        <f t="array" ref="AI211">IFERROR(INDEX($L$2:$L$789,SMALL(IF(ISNUMBER(FIND($AH$2,$C$2:$C$789)),ROW($2:$789)-1,4^8),ROW(A210)))&amp;"","")</f>
        <v/>
      </c>
      <c r="AT211" t="str">
        <f t="shared" si="130"/>
        <v>470353.7996,3384017.9923</v>
      </c>
      <c r="AV211">
        <f t="shared" si="145"/>
        <v>459.709</v>
      </c>
      <c r="AX211" t="str">
        <f t="shared" si="132"/>
        <v>pl 20145.5823678019,279 20145.5823678019,400 </v>
      </c>
      <c r="AY211" t="str">
        <f t="shared" si="133"/>
        <v>20145.5823678019,455.209</v>
      </c>
      <c r="AZ211" t="str">
        <f t="shared" si="134"/>
        <v>20145.5823678019,458.963</v>
      </c>
      <c r="BA211" t="str">
        <f t="shared" si="135"/>
        <v>20145.5823678019,459.709</v>
      </c>
      <c r="BB211" t="str">
        <f t="shared" si="136"/>
        <v>-text 20144.5823678019,337 3.5 90 455.209 </v>
      </c>
      <c r="BC211" t="str">
        <f t="shared" si="137"/>
        <v>-text 20144.5823678019,320 3.5 90 459.709 </v>
      </c>
      <c r="BD211" t="str">
        <f t="shared" si="138"/>
        <v>-text 20144.5823678019,306 3.5 90 458.963 </v>
      </c>
      <c r="BE211" t="str">
        <f t="shared" si="139"/>
        <v>-text 20144.5823678019,352 3.5 90 ZG40+291.165 </v>
      </c>
      <c r="BF211" t="str">
        <f t="shared" si="140"/>
        <v>-text 20144.5823678019,280 3.5 90 大湾渡槽进 </v>
      </c>
      <c r="BG211" t="str">
        <f t="shared" si="141"/>
        <v/>
      </c>
      <c r="BH211" t="str">
        <f t="shared" si="142"/>
        <v> </v>
      </c>
      <c r="BI211" t="str">
        <f t="shared" si="143"/>
        <v> </v>
      </c>
      <c r="BJ211" t="str">
        <f t="shared" si="144"/>
        <v> </v>
      </c>
    </row>
    <row r="212" spans="1:62">
      <c r="A212">
        <v>2</v>
      </c>
      <c r="B212">
        <v>211</v>
      </c>
      <c r="C212" t="str">
        <f>Sheet1!C200</f>
        <v>大湾渡槽出</v>
      </c>
      <c r="D212" s="39">
        <v>470420.622</v>
      </c>
      <c r="E212" s="39">
        <v>3384009.8682</v>
      </c>
      <c r="G212">
        <f t="shared" si="117"/>
        <v>0</v>
      </c>
      <c r="H212">
        <f t="shared" si="118"/>
        <v>0</v>
      </c>
      <c r="I212">
        <f t="shared" si="119"/>
        <v>0</v>
      </c>
      <c r="J212">
        <f t="shared" si="120"/>
        <v>67.3144423030079</v>
      </c>
      <c r="K212" s="40">
        <f t="shared" si="121"/>
        <v>40358.4791779068</v>
      </c>
      <c r="L212" s="40">
        <f t="shared" si="122"/>
        <v>40358.4791779068</v>
      </c>
      <c r="M212" s="40">
        <f t="shared" si="123"/>
        <v>40358.4791779068</v>
      </c>
      <c r="N212">
        <v>458.941</v>
      </c>
      <c r="O212">
        <v>455.187</v>
      </c>
      <c r="P212">
        <v>0</v>
      </c>
      <c r="Q212" s="39">
        <f t="shared" si="124"/>
        <v>470420.622</v>
      </c>
      <c r="R212" s="39">
        <f t="shared" si="125"/>
        <v>3384009.8682</v>
      </c>
      <c r="S212" s="39" t="str">
        <f t="shared" si="126"/>
        <v> </v>
      </c>
      <c r="T212" s="39" t="str">
        <f t="shared" si="127"/>
        <v> </v>
      </c>
      <c r="U212" s="39" t="str">
        <f t="shared" si="128"/>
        <v> </v>
      </c>
      <c r="V212" s="39" t="str">
        <f t="shared" si="129"/>
        <v> </v>
      </c>
      <c r="AI212" t="str">
        <f t="array" ref="AI212">IFERROR(INDEX($L$2:$L$789,SMALL(IF(ISNUMBER(FIND($AH$2,$C$2:$C$789)),ROW($2:$789)-1,4^8),ROW(A211)))&amp;"","")</f>
        <v/>
      </c>
      <c r="AT212" t="str">
        <f t="shared" si="130"/>
        <v>470420.622,3384009.8682</v>
      </c>
      <c r="AV212">
        <f t="shared" si="145"/>
        <v>459.687</v>
      </c>
      <c r="AX212" t="str">
        <f t="shared" si="132"/>
        <v>pl 20179.2395889534,279 20179.2395889534,400 </v>
      </c>
      <c r="AY212" t="str">
        <f t="shared" si="133"/>
        <v>20179.2395889534,455.187</v>
      </c>
      <c r="AZ212" t="str">
        <f t="shared" si="134"/>
        <v>20179.2395889534,458.941</v>
      </c>
      <c r="BA212" t="str">
        <f t="shared" si="135"/>
        <v>20179.2395889534,459.687</v>
      </c>
      <c r="BB212" t="str">
        <f t="shared" si="136"/>
        <v>-text 20178.2395889534,337 3.5 90 455.187 </v>
      </c>
      <c r="BC212" t="str">
        <f t="shared" si="137"/>
        <v>-text 20178.2395889534,320 3.5 90 459.687 </v>
      </c>
      <c r="BD212" t="str">
        <f t="shared" si="138"/>
        <v>-text 20178.2395889534,306 3.5 90 458.941 </v>
      </c>
      <c r="BE212" t="str">
        <f t="shared" si="139"/>
        <v>-text 20178.2395889534,352 3.5 90 ZG40+358.479 </v>
      </c>
      <c r="BF212" t="str">
        <f t="shared" si="140"/>
        <v>-text 20178.2395889534,280 3.5 90 大湾渡槽出 </v>
      </c>
      <c r="BG212" t="str">
        <f t="shared" si="141"/>
        <v/>
      </c>
      <c r="BH212" t="str">
        <f t="shared" si="142"/>
        <v> </v>
      </c>
      <c r="BI212" t="str">
        <f t="shared" si="143"/>
        <v> </v>
      </c>
      <c r="BJ212" t="str">
        <f t="shared" si="144"/>
        <v> </v>
      </c>
    </row>
    <row r="213" spans="1:62">
      <c r="A213">
        <v>1</v>
      </c>
      <c r="B213">
        <v>212</v>
      </c>
      <c r="C213" t="str">
        <f>Sheet1!C201</f>
        <v>庙梁子隧进</v>
      </c>
      <c r="D213" s="39">
        <v>470472.9688</v>
      </c>
      <c r="E213" s="39">
        <v>3384003.5039</v>
      </c>
      <c r="G213">
        <f t="shared" si="117"/>
        <v>0</v>
      </c>
      <c r="H213">
        <f t="shared" si="118"/>
        <v>0</v>
      </c>
      <c r="I213">
        <f t="shared" si="119"/>
        <v>0</v>
      </c>
      <c r="J213">
        <f t="shared" si="120"/>
        <v>52.7322651204187</v>
      </c>
      <c r="K213" s="40">
        <f t="shared" si="121"/>
        <v>40411.2114430273</v>
      </c>
      <c r="L213" s="40">
        <f t="shared" si="122"/>
        <v>40411.2114430273</v>
      </c>
      <c r="M213" s="40">
        <f t="shared" si="123"/>
        <v>40411.2114430273</v>
      </c>
      <c r="N213">
        <v>458.963</v>
      </c>
      <c r="O213">
        <v>454.738</v>
      </c>
      <c r="P213">
        <v>0</v>
      </c>
      <c r="Q213" s="39">
        <f t="shared" si="124"/>
        <v>470472.9688</v>
      </c>
      <c r="R213" s="39">
        <f t="shared" si="125"/>
        <v>3384003.5039</v>
      </c>
      <c r="S213" s="39" t="str">
        <f t="shared" si="126"/>
        <v> </v>
      </c>
      <c r="T213" s="39" t="str">
        <f t="shared" si="127"/>
        <v> </v>
      </c>
      <c r="U213" s="39" t="str">
        <f t="shared" si="128"/>
        <v> </v>
      </c>
      <c r="V213" s="39" t="str">
        <f t="shared" si="129"/>
        <v> </v>
      </c>
      <c r="AI213" t="str">
        <f t="array" ref="AI213">IFERROR(INDEX($L$2:$L$789,SMALL(IF(ISNUMBER(FIND($AH$2,$C$2:$C$789)),ROW($2:$789)-1,4^8),ROW(A212)))&amp;"","")</f>
        <v/>
      </c>
      <c r="AT213" t="str">
        <f t="shared" si="130"/>
        <v>470472.9688,3384003.5039</v>
      </c>
      <c r="AV213">
        <f t="shared" si="145"/>
        <v>460.238</v>
      </c>
      <c r="AX213" t="str">
        <f t="shared" si="132"/>
        <v>pl 20205.6057215136,279 20205.6057215136,400 </v>
      </c>
      <c r="AY213" t="str">
        <f t="shared" si="133"/>
        <v>20205.6057215136,454.738</v>
      </c>
      <c r="AZ213" t="str">
        <f t="shared" si="134"/>
        <v>20205.6057215136,458.963</v>
      </c>
      <c r="BA213" t="str">
        <f t="shared" si="135"/>
        <v>20205.6057215136,460.238</v>
      </c>
      <c r="BB213" t="str">
        <f t="shared" si="136"/>
        <v>-text 20204.6057215136,337 3.5 90 454.738 </v>
      </c>
      <c r="BC213" t="str">
        <f t="shared" si="137"/>
        <v>-text 20204.6057215136,320 3.5 90 460.238 </v>
      </c>
      <c r="BD213" t="str">
        <f t="shared" si="138"/>
        <v>-text 20204.6057215136,306 3.5 90 458.963 </v>
      </c>
      <c r="BE213" t="str">
        <f t="shared" si="139"/>
        <v>-text 20204.6057215136,352 3.5 90 ZG40+411.211 </v>
      </c>
      <c r="BF213" t="str">
        <f t="shared" si="140"/>
        <v>-text 20204.6057215136,280 3.5 90 庙梁子隧进 </v>
      </c>
      <c r="BG213" t="str">
        <f t="shared" si="141"/>
        <v/>
      </c>
      <c r="BH213" t="str">
        <f t="shared" si="142"/>
        <v> </v>
      </c>
      <c r="BI213" t="str">
        <f t="shared" si="143"/>
        <v> </v>
      </c>
      <c r="BJ213" t="str">
        <f t="shared" si="144"/>
        <v> </v>
      </c>
    </row>
    <row r="214" spans="1:62">
      <c r="A214">
        <v>1</v>
      </c>
      <c r="B214">
        <v>213</v>
      </c>
      <c r="C214" t="s">
        <v>222</v>
      </c>
      <c r="D214" s="39">
        <v>470551.3653</v>
      </c>
      <c r="E214" s="39">
        <v>3383993.9726</v>
      </c>
      <c r="F214">
        <v>80</v>
      </c>
      <c r="G214">
        <f t="shared" si="117"/>
        <v>17.909</v>
      </c>
      <c r="H214">
        <f t="shared" si="118"/>
        <v>12.6056397277837</v>
      </c>
      <c r="I214">
        <f t="shared" si="119"/>
        <v>25.0056812591732</v>
      </c>
      <c r="J214">
        <f t="shared" si="120"/>
        <v>78.9737734437411</v>
      </c>
      <c r="K214" s="40">
        <f t="shared" si="121"/>
        <v>40477.5795767432</v>
      </c>
      <c r="L214" s="40">
        <f t="shared" si="122"/>
        <v>40490.0824173728</v>
      </c>
      <c r="M214" s="40">
        <f t="shared" si="123"/>
        <v>40502.5852580024</v>
      </c>
      <c r="N214">
        <v>458.948</v>
      </c>
      <c r="O214">
        <v>454.723</v>
      </c>
      <c r="P214">
        <v>0.001</v>
      </c>
      <c r="Q214" s="39">
        <f t="shared" si="124"/>
        <v>470538.851803534</v>
      </c>
      <c r="R214" s="39">
        <f t="shared" si="125"/>
        <v>3383995.49396752</v>
      </c>
      <c r="S214" s="39">
        <f t="shared" si="126"/>
        <v>470551.095103569</v>
      </c>
      <c r="T214" s="39">
        <f t="shared" si="127"/>
        <v>3383993.02322679</v>
      </c>
      <c r="U214" s="39">
        <f t="shared" si="128"/>
        <v>470562.80459691</v>
      </c>
      <c r="V214" s="39">
        <f t="shared" si="129"/>
        <v>3383988.67688105</v>
      </c>
      <c r="AI214" t="str">
        <f t="array" ref="AI214">IFERROR(INDEX($L$2:$L$789,SMALL(IF(ISNUMBER(FIND($AH$2,$C$2:$C$789)),ROW($2:$789)-1,4^8),ROW(A213)))&amp;"","")</f>
        <v/>
      </c>
      <c r="AS214" t="str">
        <f>"-text"&amp;" "&amp;D214&amp;","&amp;E214&amp;" "&amp;"10"&amp;" "&amp;"0"&amp;" "&amp;C214</f>
        <v>-text 470551.3653,3383993.9726 10 0 IP105</v>
      </c>
      <c r="AT214" t="str">
        <f t="shared" si="130"/>
        <v>470551.3653,3383993.9726</v>
      </c>
      <c r="AV214">
        <f t="shared" si="145"/>
        <v>460.223</v>
      </c>
      <c r="AX214" t="str">
        <f t="shared" si="132"/>
        <v>pl 20245.0412086864,279 20245.0412086864,400 </v>
      </c>
      <c r="AY214" t="str">
        <f t="shared" si="133"/>
        <v>20245.0412086864,454.723</v>
      </c>
      <c r="AZ214" t="str">
        <f t="shared" si="134"/>
        <v>20245.0412086864,458.948</v>
      </c>
      <c r="BA214" t="str">
        <f t="shared" si="135"/>
        <v>20245.0412086864,460.223</v>
      </c>
      <c r="BB214" t="str">
        <f t="shared" si="136"/>
        <v>-text 20244.0412086864,337 3.5 90 454.723 </v>
      </c>
      <c r="BC214" t="str">
        <f t="shared" si="137"/>
        <v>-text 20244.0412086864,320 3.5 90 460.223 </v>
      </c>
      <c r="BD214" t="str">
        <f t="shared" si="138"/>
        <v>-text 20244.0412086864,306 3.5 90 458.948 </v>
      </c>
      <c r="BE214" t="str">
        <f t="shared" si="139"/>
        <v>-text 20244.0412086864,352 3.5 90 ZG40+490.082 </v>
      </c>
      <c r="BF214" t="str">
        <f t="shared" si="140"/>
        <v>-text 20244.0412086864,280 3.5 90 IP105 </v>
      </c>
      <c r="BG214" t="str">
        <f t="shared" si="141"/>
        <v>-TEXT 20246.0412086864,300 3.5 0 R=80</v>
      </c>
      <c r="BH214" t="str">
        <f t="shared" si="142"/>
        <v>-TEXT 20246.0412086864,295 3.5 0 α=17.91° </v>
      </c>
      <c r="BI214" t="str">
        <f t="shared" si="143"/>
        <v>-TEXT 20246.0412086864,290 3.5 0 T=12.61 </v>
      </c>
      <c r="BJ214" t="str">
        <f t="shared" si="144"/>
        <v>-TEXT 20246.0412086864,285 3.5 0 S=25.01 </v>
      </c>
    </row>
    <row r="215" spans="1:62">
      <c r="A215">
        <v>1</v>
      </c>
      <c r="B215">
        <v>214</v>
      </c>
      <c r="C215" t="s">
        <v>223</v>
      </c>
      <c r="D215" s="39">
        <v>471365.2555</v>
      </c>
      <c r="E215" s="39">
        <v>3383617.1895</v>
      </c>
      <c r="F215">
        <v>80</v>
      </c>
      <c r="G215">
        <f t="shared" si="117"/>
        <v>16.017</v>
      </c>
      <c r="H215">
        <f t="shared" si="118"/>
        <v>11.2553696857408</v>
      </c>
      <c r="I215">
        <f t="shared" si="119"/>
        <v>22.3639509033545</v>
      </c>
      <c r="J215">
        <f t="shared" si="120"/>
        <v>896.87388305256</v>
      </c>
      <c r="K215" s="40">
        <f t="shared" si="121"/>
        <v>41375.5981316414</v>
      </c>
      <c r="L215" s="40">
        <f t="shared" si="122"/>
        <v>41386.7801070931</v>
      </c>
      <c r="M215" s="40">
        <f t="shared" si="123"/>
        <v>41397.9620825448</v>
      </c>
      <c r="N215">
        <v>458.785</v>
      </c>
      <c r="O215">
        <v>454.56</v>
      </c>
      <c r="P215">
        <v>0.001</v>
      </c>
      <c r="Q215" s="39">
        <f t="shared" si="124"/>
        <v>471355.041538753</v>
      </c>
      <c r="R215" s="39">
        <f t="shared" si="125"/>
        <v>3383621.91796089</v>
      </c>
      <c r="S215" s="39">
        <f t="shared" si="126"/>
        <v>471364.828130952</v>
      </c>
      <c r="T215" s="39">
        <f t="shared" si="127"/>
        <v>3383616.52761293</v>
      </c>
      <c r="U215" s="39">
        <f t="shared" si="128"/>
        <v>471373.768320964</v>
      </c>
      <c r="V215" s="39">
        <f t="shared" si="129"/>
        <v>3383609.82640106</v>
      </c>
      <c r="AI215" t="str">
        <f t="array" ref="AI215">IFERROR(INDEX($L$2:$L$789,SMALL(IF(ISNUMBER(FIND($AH$2,$C$2:$C$789)),ROW($2:$789)-1,4^8),ROW(A214)))&amp;"","")</f>
        <v/>
      </c>
      <c r="AS215" t="str">
        <f>"-text"&amp;" "&amp;D215&amp;","&amp;E215&amp;" "&amp;"10"&amp;" "&amp;"0"&amp;" "&amp;C215</f>
        <v>-text 471365.2555,3383617.1895 10 0 IP106</v>
      </c>
      <c r="AT215" t="str">
        <f t="shared" si="130"/>
        <v>471365.2555,3383617.1895</v>
      </c>
      <c r="AV215">
        <f t="shared" si="145"/>
        <v>460.06</v>
      </c>
      <c r="AX215" t="str">
        <f t="shared" si="132"/>
        <v>pl 20693.3900535466,279 20693.3900535466,400 </v>
      </c>
      <c r="AY215" t="str">
        <f t="shared" si="133"/>
        <v>20693.3900535466,454.56</v>
      </c>
      <c r="AZ215" t="str">
        <f t="shared" si="134"/>
        <v>20693.3900535466,458.785</v>
      </c>
      <c r="BA215" t="str">
        <f t="shared" si="135"/>
        <v>20693.3900535466,460.06</v>
      </c>
      <c r="BB215" t="str">
        <f t="shared" si="136"/>
        <v>-text 20692.3900535466,337 3.5 90 454.560 </v>
      </c>
      <c r="BC215" t="str">
        <f t="shared" si="137"/>
        <v>-text 20692.3900535466,320 3.5 90 460.060 </v>
      </c>
      <c r="BD215" t="str">
        <f t="shared" si="138"/>
        <v>-text 20692.3900535466,306 3.5 90 458.785 </v>
      </c>
      <c r="BE215" t="str">
        <f t="shared" si="139"/>
        <v>-text 20692.3900535466,352 3.5 90 ZG41+386.780 </v>
      </c>
      <c r="BF215" t="str">
        <f t="shared" si="140"/>
        <v>-text 20692.3900535466,280 3.5 90 IP106 </v>
      </c>
      <c r="BG215" t="str">
        <f t="shared" si="141"/>
        <v>-TEXT 20694.3900535466,300 3.5 0 R=80</v>
      </c>
      <c r="BH215" t="str">
        <f t="shared" si="142"/>
        <v>-TEXT 20694.3900535466,295 3.5 0 α=16.02° </v>
      </c>
      <c r="BI215" t="str">
        <f t="shared" si="143"/>
        <v>-TEXT 20694.3900535466,290 3.5 0 T=11.26 </v>
      </c>
      <c r="BJ215" t="str">
        <f t="shared" si="144"/>
        <v>-TEXT 20694.3900535466,285 3.5 0 S=22.36 </v>
      </c>
    </row>
    <row r="216" spans="1:62">
      <c r="A216">
        <v>1</v>
      </c>
      <c r="B216">
        <v>215</v>
      </c>
      <c r="C216" t="s">
        <v>224</v>
      </c>
      <c r="D216" s="39">
        <v>471560.7823</v>
      </c>
      <c r="E216" s="39">
        <v>3383448.0701</v>
      </c>
      <c r="F216">
        <v>80</v>
      </c>
      <c r="G216">
        <f t="shared" si="117"/>
        <v>8.541</v>
      </c>
      <c r="H216">
        <f t="shared" si="118"/>
        <v>5.9738091753301</v>
      </c>
      <c r="I216">
        <f t="shared" si="119"/>
        <v>11.9254857130269</v>
      </c>
      <c r="J216">
        <f t="shared" si="120"/>
        <v>258.519053407108</v>
      </c>
      <c r="K216" s="40">
        <f t="shared" si="121"/>
        <v>41639.2519570908</v>
      </c>
      <c r="L216" s="40">
        <f t="shared" si="122"/>
        <v>41645.2146999473</v>
      </c>
      <c r="M216" s="40">
        <f t="shared" si="123"/>
        <v>41651.1774428038</v>
      </c>
      <c r="N216">
        <v>458.737</v>
      </c>
      <c r="O216">
        <v>454.512</v>
      </c>
      <c r="P216">
        <v>0</v>
      </c>
      <c r="Q216" s="39">
        <f t="shared" si="124"/>
        <v>471556.26410385</v>
      </c>
      <c r="R216" s="39">
        <f t="shared" si="125"/>
        <v>3383451.97807897</v>
      </c>
      <c r="S216" s="39">
        <f t="shared" si="126"/>
        <v>471560.624459538</v>
      </c>
      <c r="T216" s="39">
        <f t="shared" si="127"/>
        <v>3383447.91296465</v>
      </c>
      <c r="U216" s="39">
        <f t="shared" si="128"/>
        <v>471564.670010759</v>
      </c>
      <c r="V216" s="39">
        <f t="shared" si="129"/>
        <v>3383443.53445218</v>
      </c>
      <c r="AI216" t="str">
        <f t="array" ref="AI216">IFERROR(INDEX($L$2:$L$789,SMALL(IF(ISNUMBER(FIND($AH$2,$C$2:$C$789)),ROW($2:$789)-1,4^8),ROW(A215)))&amp;"","")</f>
        <v/>
      </c>
      <c r="AS216" t="str">
        <f>"-text"&amp;" "&amp;D216&amp;","&amp;E216&amp;" "&amp;"10"&amp;" "&amp;"0"&amp;" "&amp;C216</f>
        <v>-text 471560.7823,3383448.0701 10 0 IP107</v>
      </c>
      <c r="AT216" t="str">
        <f t="shared" si="130"/>
        <v>471560.7823,3383448.0701</v>
      </c>
      <c r="AV216">
        <f t="shared" si="145"/>
        <v>460.012</v>
      </c>
      <c r="AX216" t="str">
        <f t="shared" si="132"/>
        <v>pl 20822.6073499737,279 20822.6073499737,400 </v>
      </c>
      <c r="AY216" t="str">
        <f t="shared" si="133"/>
        <v>20822.6073499737,454.512</v>
      </c>
      <c r="AZ216" t="str">
        <f t="shared" si="134"/>
        <v>20822.6073499737,458.737</v>
      </c>
      <c r="BA216" t="str">
        <f t="shared" si="135"/>
        <v>20822.6073499737,460.012</v>
      </c>
      <c r="BB216" t="str">
        <f t="shared" si="136"/>
        <v>-text 20821.6073499737,337 3.5 90 454.512 </v>
      </c>
      <c r="BC216" t="str">
        <f t="shared" si="137"/>
        <v>-text 20821.6073499737,320 3.5 90 460.012 </v>
      </c>
      <c r="BD216" t="str">
        <f t="shared" si="138"/>
        <v>-text 20821.6073499737,306 3.5 90 458.737 </v>
      </c>
      <c r="BE216" t="str">
        <f t="shared" si="139"/>
        <v>-text 20821.6073499737,352 3.5 90 ZG41+645.215 </v>
      </c>
      <c r="BF216" t="str">
        <f t="shared" si="140"/>
        <v>-text 20821.6073499737,280 3.5 90 IP107 </v>
      </c>
      <c r="BG216" t="str">
        <f t="shared" si="141"/>
        <v>-TEXT 20823.6073499737,300 3.5 0 R=80</v>
      </c>
      <c r="BH216" t="str">
        <f t="shared" si="142"/>
        <v>-TEXT 20823.6073499737,295 3.5 0 α=8.54° </v>
      </c>
      <c r="BI216" t="str">
        <f t="shared" si="143"/>
        <v>-TEXT 20823.6073499737,290 3.5 0 T=5.97 </v>
      </c>
      <c r="BJ216" t="str">
        <f t="shared" si="144"/>
        <v>-TEXT 20823.6073499737,285 3.5 0 S=11.93 </v>
      </c>
    </row>
    <row r="217" spans="1:62">
      <c r="A217">
        <v>1</v>
      </c>
      <c r="B217">
        <v>216</v>
      </c>
      <c r="C217" t="str">
        <f>Sheet1!C205</f>
        <v>庙梁子隧出</v>
      </c>
      <c r="D217" s="39">
        <v>471679.5136</v>
      </c>
      <c r="E217" s="39">
        <v>3383309.5507</v>
      </c>
      <c r="G217">
        <f t="shared" si="117"/>
        <v>0</v>
      </c>
      <c r="H217">
        <f t="shared" si="118"/>
        <v>0</v>
      </c>
      <c r="I217">
        <f t="shared" si="119"/>
        <v>0</v>
      </c>
      <c r="J217">
        <f t="shared" si="120"/>
        <v>182.441074805198</v>
      </c>
      <c r="K217" s="40">
        <f t="shared" si="121"/>
        <v>41827.6447084337</v>
      </c>
      <c r="L217" s="40">
        <f t="shared" si="122"/>
        <v>41827.6447084337</v>
      </c>
      <c r="M217" s="40">
        <f t="shared" si="123"/>
        <v>41827.6447084337</v>
      </c>
      <c r="N217">
        <v>458.704</v>
      </c>
      <c r="O217">
        <v>454.479</v>
      </c>
      <c r="P217">
        <v>0</v>
      </c>
      <c r="Q217" s="39">
        <f t="shared" si="124"/>
        <v>471679.5136</v>
      </c>
      <c r="R217" s="39">
        <f t="shared" si="125"/>
        <v>3383309.5507</v>
      </c>
      <c r="S217" s="39" t="str">
        <f t="shared" si="126"/>
        <v> </v>
      </c>
      <c r="T217" s="39" t="str">
        <f t="shared" si="127"/>
        <v> </v>
      </c>
      <c r="U217" s="39" t="str">
        <f t="shared" si="128"/>
        <v> </v>
      </c>
      <c r="V217" s="39" t="str">
        <f t="shared" si="129"/>
        <v> </v>
      </c>
      <c r="AI217" t="str">
        <f t="array" ref="AI217">IFERROR(INDEX($L$2:$L$789,SMALL(IF(ISNUMBER(FIND($AH$2,$C$2:$C$789)),ROW($2:$789)-1,4^8),ROW(A216)))&amp;"","")</f>
        <v/>
      </c>
      <c r="AT217" t="str">
        <f t="shared" si="130"/>
        <v>471679.5136,3383309.5507</v>
      </c>
      <c r="AV217">
        <f t="shared" si="145"/>
        <v>459.979</v>
      </c>
      <c r="AX217" t="str">
        <f t="shared" si="132"/>
        <v>pl 20913.8223542169,279 20913.8223542169,400 </v>
      </c>
      <c r="AY217" t="str">
        <f t="shared" si="133"/>
        <v>20913.8223542169,454.479</v>
      </c>
      <c r="AZ217" t="str">
        <f t="shared" si="134"/>
        <v>20913.8223542169,458.704</v>
      </c>
      <c r="BA217" t="str">
        <f t="shared" si="135"/>
        <v>20913.8223542169,459.979</v>
      </c>
      <c r="BB217" t="str">
        <f t="shared" si="136"/>
        <v>-text 20912.8223542169,337 3.5 90 454.479 </v>
      </c>
      <c r="BC217" t="str">
        <f t="shared" si="137"/>
        <v>-text 20912.8223542169,320 3.5 90 459.979 </v>
      </c>
      <c r="BD217" t="str">
        <f t="shared" si="138"/>
        <v>-text 20912.8223542169,306 3.5 90 458.704 </v>
      </c>
      <c r="BE217" t="str">
        <f t="shared" si="139"/>
        <v>-text 20912.8223542169,352 3.5 90 ZG41+827.645 </v>
      </c>
      <c r="BF217" t="str">
        <f t="shared" si="140"/>
        <v>-text 20912.8223542169,280 3.5 90 庙梁子隧出 </v>
      </c>
      <c r="BG217" t="str">
        <f t="shared" si="141"/>
        <v/>
      </c>
      <c r="BH217" t="str">
        <f t="shared" si="142"/>
        <v> </v>
      </c>
      <c r="BI217" t="str">
        <f t="shared" si="143"/>
        <v> </v>
      </c>
      <c r="BJ217" t="str">
        <f t="shared" si="144"/>
        <v> </v>
      </c>
    </row>
    <row r="218" spans="1:62">
      <c r="A218">
        <v>0</v>
      </c>
      <c r="B218">
        <v>217</v>
      </c>
      <c r="C218" t="s">
        <v>226</v>
      </c>
      <c r="D218" s="39">
        <v>471702.9624</v>
      </c>
      <c r="E218" s="39">
        <v>3383282.1939</v>
      </c>
      <c r="F218">
        <v>40</v>
      </c>
      <c r="G218">
        <f t="shared" si="117"/>
        <v>35.514</v>
      </c>
      <c r="H218">
        <f t="shared" si="118"/>
        <v>12.8094888221901</v>
      </c>
      <c r="I218">
        <f t="shared" si="119"/>
        <v>24.7934492221307</v>
      </c>
      <c r="J218">
        <f t="shared" si="120"/>
        <v>36.0311077777333</v>
      </c>
      <c r="K218" s="40">
        <f t="shared" si="121"/>
        <v>41850.8663273893</v>
      </c>
      <c r="L218" s="40">
        <f t="shared" si="122"/>
        <v>41863.2630520003</v>
      </c>
      <c r="M218" s="40">
        <f t="shared" si="123"/>
        <v>41875.6597766114</v>
      </c>
      <c r="N218">
        <v>458.7</v>
      </c>
      <c r="O218">
        <v>454.454</v>
      </c>
      <c r="P218">
        <v>0.001</v>
      </c>
      <c r="Q218" s="39">
        <f t="shared" si="124"/>
        <v>471694.626071754</v>
      </c>
      <c r="R218" s="39">
        <f t="shared" si="125"/>
        <v>3383291.91956889</v>
      </c>
      <c r="S218" s="39">
        <f t="shared" si="126"/>
        <v>471704.012120569</v>
      </c>
      <c r="T218" s="39">
        <f t="shared" si="127"/>
        <v>3383283.89741342</v>
      </c>
      <c r="U218" s="39">
        <f t="shared" si="128"/>
        <v>471715.397590094</v>
      </c>
      <c r="V218" s="39">
        <f t="shared" si="129"/>
        <v>3383279.11996909</v>
      </c>
      <c r="AI218" t="str">
        <f t="array" ref="AI218">IFERROR(INDEX($L$2:$L$789,SMALL(IF(ISNUMBER(FIND($AH$2,$C$2:$C$789)),ROW($2:$789)-1,4^8),ROW(A217)))&amp;"","")</f>
        <v/>
      </c>
      <c r="AS218" t="str">
        <f>"-text"&amp;" "&amp;D218&amp;","&amp;E218&amp;" "&amp;"10"&amp;" "&amp;"0"&amp;" "&amp;C218</f>
        <v>-text 471702.9624,3383282.1939 10 0 IP108</v>
      </c>
      <c r="AT218" t="str">
        <f t="shared" si="130"/>
        <v>471702.9624,3383282.1939</v>
      </c>
      <c r="AV218">
        <f t="shared" si="145"/>
        <v>460.254</v>
      </c>
      <c r="AX218" t="str">
        <f t="shared" si="132"/>
        <v>pl 20931.6315260002,279 20931.6315260002,400 </v>
      </c>
      <c r="AY218" t="str">
        <f t="shared" si="133"/>
        <v>20931.6315260002,454.454</v>
      </c>
      <c r="AZ218" t="str">
        <f t="shared" si="134"/>
        <v>20931.6315260002,458.7</v>
      </c>
      <c r="BA218" t="str">
        <f t="shared" si="135"/>
        <v>20931.6315260002,460.254</v>
      </c>
      <c r="BB218" t="str">
        <f t="shared" si="136"/>
        <v>-text 20930.6315260002,337 3.5 90 454.454 </v>
      </c>
      <c r="BC218" t="str">
        <f t="shared" si="137"/>
        <v>-text 20930.6315260002,320 3.5 90 460.254 </v>
      </c>
      <c r="BD218" t="str">
        <f t="shared" si="138"/>
        <v>-text 20930.6315260002,306 3.5 90 458.700 </v>
      </c>
      <c r="BE218" t="str">
        <f t="shared" si="139"/>
        <v>-text 20930.6315260002,352 3.5 90 ZG41+863.263 </v>
      </c>
      <c r="BF218" t="str">
        <f t="shared" si="140"/>
        <v>-text 20930.6315260002,280 3.5 90 IP108 </v>
      </c>
      <c r="BG218" t="str">
        <f t="shared" si="141"/>
        <v>-TEXT 20932.6315260002,300 3.5 0 R=40</v>
      </c>
      <c r="BH218" t="str">
        <f t="shared" si="142"/>
        <v>-TEXT 20932.6315260002,295 3.5 0 α=35.51° </v>
      </c>
      <c r="BI218" t="str">
        <f t="shared" si="143"/>
        <v>-TEXT 20932.6315260002,290 3.5 0 T=12.81 </v>
      </c>
      <c r="BJ218" t="str">
        <f t="shared" si="144"/>
        <v>-TEXT 20932.6315260002,285 3.5 0 S=24.79 </v>
      </c>
    </row>
    <row r="219" spans="1:62">
      <c r="A219">
        <v>0</v>
      </c>
      <c r="B219">
        <v>218</v>
      </c>
      <c r="C219" t="s">
        <v>227</v>
      </c>
      <c r="D219" s="39">
        <v>471741.1329</v>
      </c>
      <c r="E219" s="39">
        <v>3383272.7583</v>
      </c>
      <c r="F219">
        <v>40</v>
      </c>
      <c r="G219">
        <f t="shared" si="117"/>
        <v>54.422</v>
      </c>
      <c r="H219">
        <f t="shared" si="118"/>
        <v>20.5669163957756</v>
      </c>
      <c r="I219">
        <f t="shared" si="119"/>
        <v>37.9937234208142</v>
      </c>
      <c r="J219">
        <f t="shared" si="120"/>
        <v>39.3194305351688</v>
      </c>
      <c r="K219" s="40">
        <f t="shared" si="121"/>
        <v>41881.6028019286</v>
      </c>
      <c r="L219" s="40">
        <f t="shared" si="122"/>
        <v>41900.599663639</v>
      </c>
      <c r="M219" s="40">
        <f t="shared" si="123"/>
        <v>41919.5965253494</v>
      </c>
      <c r="N219">
        <v>458.691</v>
      </c>
      <c r="O219">
        <v>454.445</v>
      </c>
      <c r="P219">
        <v>0.002</v>
      </c>
      <c r="Q219" s="39">
        <f t="shared" si="124"/>
        <v>471721.166957676</v>
      </c>
      <c r="R219" s="39">
        <f t="shared" si="125"/>
        <v>3383277.69380374</v>
      </c>
      <c r="S219" s="39">
        <f t="shared" si="126"/>
        <v>471737.860927356</v>
      </c>
      <c r="T219" s="39">
        <f t="shared" si="127"/>
        <v>3383269.00702246</v>
      </c>
      <c r="U219" s="39">
        <f t="shared" si="128"/>
        <v>471748.735179333</v>
      </c>
      <c r="V219" s="39">
        <f t="shared" si="129"/>
        <v>3383253.64800437</v>
      </c>
      <c r="AI219" t="str">
        <f t="array" ref="AI219">IFERROR(INDEX($L$2:$L$789,SMALL(IF(ISNUMBER(FIND($AH$2,$C$2:$C$789)),ROW($2:$789)-1,4^8),ROW(A218)))&amp;"","")</f>
        <v/>
      </c>
      <c r="AS219" t="str">
        <f>"-text"&amp;" "&amp;D219&amp;","&amp;E219&amp;" "&amp;"10"&amp;" "&amp;"0"&amp;" "&amp;C219</f>
        <v>-text 471741.1329,3383272.7583 10 0 IP109</v>
      </c>
      <c r="AT219" t="str">
        <f t="shared" si="130"/>
        <v>471741.1329,3383272.7583</v>
      </c>
      <c r="AV219">
        <f t="shared" si="145"/>
        <v>460.245</v>
      </c>
      <c r="AX219" t="str">
        <f t="shared" si="132"/>
        <v>pl 20950.2998318195,279 20950.2998318195,400 </v>
      </c>
      <c r="AY219" t="str">
        <f t="shared" si="133"/>
        <v>20950.2998318195,454.445</v>
      </c>
      <c r="AZ219" t="str">
        <f t="shared" si="134"/>
        <v>20950.2998318195,458.691</v>
      </c>
      <c r="BA219" t="str">
        <f t="shared" si="135"/>
        <v>20950.2998318195,460.245</v>
      </c>
      <c r="BB219" t="str">
        <f t="shared" si="136"/>
        <v>-text 20949.2998318195,337 3.5 90 454.445 </v>
      </c>
      <c r="BC219" t="str">
        <f t="shared" si="137"/>
        <v>-text 20949.2998318195,320 3.5 90 460.245 </v>
      </c>
      <c r="BD219" t="str">
        <f t="shared" si="138"/>
        <v>-text 20949.2998318195,306 3.5 90 458.691 </v>
      </c>
      <c r="BE219" t="str">
        <f t="shared" si="139"/>
        <v>-text 20949.2998318195,352 3.5 90 ZG41+900.600 </v>
      </c>
      <c r="BF219" t="str">
        <f t="shared" si="140"/>
        <v>-text 20949.2998318195,280 3.5 90 IP109 </v>
      </c>
      <c r="BG219" t="str">
        <f t="shared" si="141"/>
        <v>-TEXT 20951.2998318195,300 3.5 0 R=40</v>
      </c>
      <c r="BH219" t="str">
        <f t="shared" si="142"/>
        <v>-TEXT 20951.2998318195,295 3.5 0 α=54.42° </v>
      </c>
      <c r="BI219" t="str">
        <f t="shared" si="143"/>
        <v>-TEXT 20951.2998318195,290 3.5 0 T=20.57 </v>
      </c>
      <c r="BJ219" t="str">
        <f t="shared" si="144"/>
        <v>-TEXT 20951.2998318195,285 3.5 0 S=37.99 </v>
      </c>
    </row>
    <row r="220" spans="1:62">
      <c r="A220">
        <v>1</v>
      </c>
      <c r="B220">
        <v>219</v>
      </c>
      <c r="C220" t="str">
        <f>Sheet1!C208</f>
        <v>小梁子隧进</v>
      </c>
      <c r="D220" s="39">
        <v>471779.9048</v>
      </c>
      <c r="E220" s="39">
        <v>3383175.2951</v>
      </c>
      <c r="G220">
        <f t="shared" si="117"/>
        <v>0</v>
      </c>
      <c r="H220">
        <f t="shared" si="118"/>
        <v>0</v>
      </c>
      <c r="I220">
        <f t="shared" si="119"/>
        <v>0</v>
      </c>
      <c r="J220">
        <f t="shared" si="120"/>
        <v>104.892018684841</v>
      </c>
      <c r="K220" s="40">
        <f t="shared" si="121"/>
        <v>42003.9216276385</v>
      </c>
      <c r="L220" s="40">
        <f t="shared" si="122"/>
        <v>42003.9216276385</v>
      </c>
      <c r="M220" s="40">
        <f t="shared" si="123"/>
        <v>42003.9216276385</v>
      </c>
      <c r="N220">
        <v>458.668</v>
      </c>
      <c r="O220">
        <v>454.443</v>
      </c>
      <c r="P220">
        <v>0</v>
      </c>
      <c r="Q220" s="39">
        <f t="shared" si="124"/>
        <v>471779.9048</v>
      </c>
      <c r="R220" s="39">
        <f t="shared" si="125"/>
        <v>3383175.2951</v>
      </c>
      <c r="S220" s="39" t="str">
        <f t="shared" si="126"/>
        <v> </v>
      </c>
      <c r="T220" s="39" t="str">
        <f t="shared" si="127"/>
        <v> </v>
      </c>
      <c r="U220" s="39" t="str">
        <f t="shared" si="128"/>
        <v> </v>
      </c>
      <c r="V220" s="39" t="str">
        <f t="shared" si="129"/>
        <v> </v>
      </c>
      <c r="AI220" t="str">
        <f t="array" ref="AI220">IFERROR(INDEX($L$2:$L$789,SMALL(IF(ISNUMBER(FIND($AH$2,$C$2:$C$789)),ROW($2:$789)-1,4^8),ROW(A219)))&amp;"","")</f>
        <v/>
      </c>
      <c r="AT220" t="str">
        <f t="shared" si="130"/>
        <v>471779.9048,3383175.2951</v>
      </c>
      <c r="AV220">
        <f t="shared" si="145"/>
        <v>459.943</v>
      </c>
      <c r="AX220" t="str">
        <f t="shared" si="132"/>
        <v>pl 21001.9608138192,279 21001.9608138192,400 </v>
      </c>
      <c r="AY220" t="str">
        <f t="shared" si="133"/>
        <v>21001.9608138192,454.443</v>
      </c>
      <c r="AZ220" t="str">
        <f t="shared" si="134"/>
        <v>21001.9608138192,458.668</v>
      </c>
      <c r="BA220" t="str">
        <f t="shared" si="135"/>
        <v>21001.9608138192,459.943</v>
      </c>
      <c r="BB220" t="str">
        <f t="shared" si="136"/>
        <v>-text 21000.9608138192,337 3.5 90 454.443 </v>
      </c>
      <c r="BC220" t="str">
        <f t="shared" si="137"/>
        <v>-text 21000.9608138192,320 3.5 90 459.943 </v>
      </c>
      <c r="BD220" t="str">
        <f t="shared" si="138"/>
        <v>-text 21000.9608138192,306 3.5 90 458.668 </v>
      </c>
      <c r="BE220" t="str">
        <f t="shared" si="139"/>
        <v>-text 21000.9608138192,352 3.5 90 ZG42+003.922 </v>
      </c>
      <c r="BF220" t="str">
        <f t="shared" si="140"/>
        <v>-text 21000.9608138192,280 3.5 90 小梁子隧进 </v>
      </c>
      <c r="BG220" t="str">
        <f t="shared" si="141"/>
        <v/>
      </c>
      <c r="BH220" t="str">
        <f t="shared" si="142"/>
        <v> </v>
      </c>
      <c r="BI220" t="str">
        <f t="shared" si="143"/>
        <v> </v>
      </c>
      <c r="BJ220" t="str">
        <f t="shared" si="144"/>
        <v> </v>
      </c>
    </row>
    <row r="221" spans="1:62">
      <c r="A221">
        <v>1</v>
      </c>
      <c r="B221">
        <v>220</v>
      </c>
      <c r="C221" t="str">
        <f>Sheet1!C209</f>
        <v>小梁子隧出</v>
      </c>
      <c r="D221" s="39">
        <v>471819.2636</v>
      </c>
      <c r="E221" s="39">
        <v>3383076.3565</v>
      </c>
      <c r="G221">
        <f t="shared" si="117"/>
        <v>0</v>
      </c>
      <c r="H221">
        <f t="shared" si="118"/>
        <v>0</v>
      </c>
      <c r="I221">
        <f t="shared" si="119"/>
        <v>0</v>
      </c>
      <c r="J221">
        <f t="shared" si="120"/>
        <v>106.47986526756</v>
      </c>
      <c r="K221" s="40">
        <f t="shared" si="121"/>
        <v>42110.401492906</v>
      </c>
      <c r="L221" s="40">
        <f t="shared" si="122"/>
        <v>42110.401492906</v>
      </c>
      <c r="M221" s="40">
        <f t="shared" si="123"/>
        <v>42110.401492906</v>
      </c>
      <c r="N221">
        <v>458.648</v>
      </c>
      <c r="O221">
        <v>454.423</v>
      </c>
      <c r="P221">
        <v>0</v>
      </c>
      <c r="Q221" s="39">
        <f t="shared" si="124"/>
        <v>471819.2636</v>
      </c>
      <c r="R221" s="39">
        <f t="shared" si="125"/>
        <v>3383076.3565</v>
      </c>
      <c r="S221" s="39" t="str">
        <f t="shared" si="126"/>
        <v> </v>
      </c>
      <c r="T221" s="39" t="str">
        <f t="shared" si="127"/>
        <v> </v>
      </c>
      <c r="U221" s="39" t="str">
        <f t="shared" si="128"/>
        <v> </v>
      </c>
      <c r="V221" s="39" t="str">
        <f t="shared" si="129"/>
        <v> </v>
      </c>
      <c r="AI221" t="str">
        <f t="array" ref="AI221">IFERROR(INDEX($L$2:$L$789,SMALL(IF(ISNUMBER(FIND($AH$2,$C$2:$C$789)),ROW($2:$789)-1,4^8),ROW(A220)))&amp;"","")</f>
        <v/>
      </c>
      <c r="AT221" t="str">
        <f t="shared" si="130"/>
        <v>471819.2636,3383076.3565</v>
      </c>
      <c r="AV221">
        <f t="shared" si="145"/>
        <v>459.923</v>
      </c>
      <c r="AX221" t="str">
        <f t="shared" si="132"/>
        <v>pl 21055.200746453,279 21055.200746453,400 </v>
      </c>
      <c r="AY221" t="str">
        <f t="shared" si="133"/>
        <v>21055.200746453,454.423</v>
      </c>
      <c r="AZ221" t="str">
        <f t="shared" si="134"/>
        <v>21055.200746453,458.648</v>
      </c>
      <c r="BA221" t="str">
        <f t="shared" si="135"/>
        <v>21055.200746453,459.923</v>
      </c>
      <c r="BB221" t="str">
        <f t="shared" si="136"/>
        <v>-text 21054.200746453,337 3.5 90 454.423 </v>
      </c>
      <c r="BC221" t="str">
        <f t="shared" si="137"/>
        <v>-text 21054.200746453,320 3.5 90 459.923 </v>
      </c>
      <c r="BD221" t="str">
        <f t="shared" si="138"/>
        <v>-text 21054.200746453,306 3.5 90 458.648 </v>
      </c>
      <c r="BE221" t="str">
        <f t="shared" si="139"/>
        <v>-text 21054.200746453,352 3.5 90 ZG42+110.401 </v>
      </c>
      <c r="BF221" t="str">
        <f t="shared" si="140"/>
        <v>-text 21054.200746453,280 3.5 90 小梁子隧出 </v>
      </c>
      <c r="BG221" t="str">
        <f t="shared" si="141"/>
        <v/>
      </c>
      <c r="BH221" t="str">
        <f t="shared" si="142"/>
        <v> </v>
      </c>
      <c r="BI221" t="str">
        <f t="shared" si="143"/>
        <v> </v>
      </c>
      <c r="BJ221" t="str">
        <f t="shared" si="144"/>
        <v> </v>
      </c>
    </row>
    <row r="222" spans="1:62">
      <c r="A222">
        <v>0</v>
      </c>
      <c r="B222">
        <v>221</v>
      </c>
      <c r="C222" t="s">
        <v>230</v>
      </c>
      <c r="D222" s="39">
        <v>471832.0643</v>
      </c>
      <c r="E222" s="39">
        <v>3383044.1788</v>
      </c>
      <c r="F222">
        <v>80</v>
      </c>
      <c r="G222">
        <f t="shared" si="117"/>
        <v>4.573</v>
      </c>
      <c r="H222">
        <f t="shared" si="118"/>
        <v>3.19425213244423</v>
      </c>
      <c r="I222">
        <f t="shared" si="119"/>
        <v>6.38511253549606</v>
      </c>
      <c r="J222">
        <f t="shared" si="120"/>
        <v>34.6303667003837</v>
      </c>
      <c r="K222" s="40">
        <f t="shared" si="121"/>
        <v>42141.837607474</v>
      </c>
      <c r="L222" s="40">
        <f t="shared" si="122"/>
        <v>42145.0301637417</v>
      </c>
      <c r="M222" s="40">
        <f t="shared" si="123"/>
        <v>42148.2227200095</v>
      </c>
      <c r="N222">
        <v>458.645</v>
      </c>
      <c r="O222">
        <v>454.399</v>
      </c>
      <c r="P222">
        <v>0</v>
      </c>
      <c r="Q222" s="39">
        <f t="shared" si="124"/>
        <v>471830.883582983</v>
      </c>
      <c r="R222" s="39">
        <f t="shared" si="125"/>
        <v>3383047.1468219</v>
      </c>
      <c r="S222" s="39">
        <f t="shared" si="126"/>
        <v>471832.12254593</v>
      </c>
      <c r="T222" s="39">
        <f t="shared" si="127"/>
        <v>3383044.20470829</v>
      </c>
      <c r="U222" s="39">
        <f t="shared" si="128"/>
        <v>471833.477907987</v>
      </c>
      <c r="V222" s="39">
        <f t="shared" si="129"/>
        <v>3383041.31437001</v>
      </c>
      <c r="AI222" t="str">
        <f t="array" ref="AI222">IFERROR(INDEX($L$2:$L$789,SMALL(IF(ISNUMBER(FIND($AH$2,$C$2:$C$789)),ROW($2:$789)-1,4^8),ROW(A221)))&amp;"","")</f>
        <v/>
      </c>
      <c r="AS222" t="str">
        <f>"-text"&amp;" "&amp;D222&amp;","&amp;E222&amp;" "&amp;"10"&amp;" "&amp;"0"&amp;" "&amp;C222</f>
        <v>-text 471832.0643,3383044.1788 10 0 IP110</v>
      </c>
      <c r="AT222" t="str">
        <f t="shared" si="130"/>
        <v>471832.0643,3383044.1788</v>
      </c>
      <c r="AV222">
        <f t="shared" si="145"/>
        <v>460.199</v>
      </c>
      <c r="AX222" t="str">
        <f t="shared" si="132"/>
        <v>pl 21072.5150818709,279 21072.5150818709,400 </v>
      </c>
      <c r="AY222" t="str">
        <f t="shared" si="133"/>
        <v>21072.5150818709,454.399</v>
      </c>
      <c r="AZ222" t="str">
        <f t="shared" si="134"/>
        <v>21072.5150818709,458.645</v>
      </c>
      <c r="BA222" t="str">
        <f t="shared" si="135"/>
        <v>21072.5150818709,460.199</v>
      </c>
      <c r="BB222" t="str">
        <f t="shared" si="136"/>
        <v>-text 21071.5150818709,337 3.5 90 454.399 </v>
      </c>
      <c r="BC222" t="str">
        <f t="shared" si="137"/>
        <v>-text 21071.5150818709,320 3.5 90 460.199 </v>
      </c>
      <c r="BD222" t="str">
        <f t="shared" si="138"/>
        <v>-text 21071.5150818709,306 3.5 90 458.645 </v>
      </c>
      <c r="BE222" t="str">
        <f t="shared" si="139"/>
        <v>-text 21071.5150818709,352 3.5 90 ZG42+145.030 </v>
      </c>
      <c r="BF222" t="str">
        <f t="shared" si="140"/>
        <v>-text 21071.5150818709,280 3.5 90 IP110 </v>
      </c>
      <c r="BG222" t="str">
        <f t="shared" si="141"/>
        <v>-TEXT 21073.5150818709,300 3.5 0 R=80</v>
      </c>
      <c r="BH222" t="str">
        <f t="shared" si="142"/>
        <v>-TEXT 21073.5150818709,295 3.5 0 α=4.57° </v>
      </c>
      <c r="BI222" t="str">
        <f t="shared" si="143"/>
        <v>-TEXT 21073.5150818709,290 3.5 0 T=3.19 </v>
      </c>
      <c r="BJ222" t="str">
        <f t="shared" si="144"/>
        <v>-TEXT 21073.5150818709,285 3.5 0 S=6.39 </v>
      </c>
    </row>
    <row r="223" spans="1:62">
      <c r="A223">
        <v>0</v>
      </c>
      <c r="B223">
        <v>222</v>
      </c>
      <c r="C223" t="s">
        <v>231</v>
      </c>
      <c r="D223" s="39">
        <v>471869.2601</v>
      </c>
      <c r="E223" s="39">
        <v>3382968.808</v>
      </c>
      <c r="F223">
        <v>80</v>
      </c>
      <c r="G223">
        <f t="shared" si="117"/>
        <v>29.413</v>
      </c>
      <c r="H223">
        <f t="shared" si="118"/>
        <v>20.9973077476537</v>
      </c>
      <c r="I223">
        <f t="shared" si="119"/>
        <v>41.0682954311274</v>
      </c>
      <c r="J223">
        <f t="shared" si="120"/>
        <v>84.0493011882395</v>
      </c>
      <c r="K223" s="40">
        <f t="shared" si="121"/>
        <v>42208.0804613176</v>
      </c>
      <c r="L223" s="40">
        <f t="shared" si="122"/>
        <v>42228.6146090332</v>
      </c>
      <c r="M223" s="40">
        <f t="shared" si="123"/>
        <v>42249.1487567487</v>
      </c>
      <c r="N223">
        <v>458.629</v>
      </c>
      <c r="O223">
        <v>454.383</v>
      </c>
      <c r="P223">
        <v>0.001</v>
      </c>
      <c r="Q223" s="39">
        <f t="shared" si="124"/>
        <v>471859.967795977</v>
      </c>
      <c r="R223" s="39">
        <f t="shared" si="125"/>
        <v>3382987.63723309</v>
      </c>
      <c r="S223" s="39">
        <f t="shared" si="126"/>
        <v>471871.305925391</v>
      </c>
      <c r="T223" s="39">
        <f t="shared" si="127"/>
        <v>3382970.58471083</v>
      </c>
      <c r="U223" s="39">
        <f t="shared" si="128"/>
        <v>471886.601658847</v>
      </c>
      <c r="V223" s="39">
        <f t="shared" si="129"/>
        <v>3382956.96919645</v>
      </c>
      <c r="AI223" t="str">
        <f t="array" ref="AI223">IFERROR(INDEX($L$2:$L$789,SMALL(IF(ISNUMBER(FIND($AH$2,$C$2:$C$789)),ROW($2:$789)-1,4^8),ROW(A222)))&amp;"","")</f>
        <v/>
      </c>
      <c r="AS223" t="str">
        <f>"-text"&amp;" "&amp;D223&amp;","&amp;E223&amp;" "&amp;"10"&amp;" "&amp;"0"&amp;" "&amp;C223</f>
        <v>-text 471869.2601,3382968.808 10 0 IP111</v>
      </c>
      <c r="AT223" t="str">
        <f t="shared" si="130"/>
        <v>471869.2601,3382968.808</v>
      </c>
      <c r="AV223">
        <f t="shared" si="145"/>
        <v>460.183</v>
      </c>
      <c r="AX223" t="str">
        <f t="shared" si="132"/>
        <v>pl 21114.3073045166,279 21114.3073045166,400 </v>
      </c>
      <c r="AY223" t="str">
        <f t="shared" si="133"/>
        <v>21114.3073045166,454.383</v>
      </c>
      <c r="AZ223" t="str">
        <f t="shared" si="134"/>
        <v>21114.3073045166,458.629</v>
      </c>
      <c r="BA223" t="str">
        <f t="shared" si="135"/>
        <v>21114.3073045166,460.183</v>
      </c>
      <c r="BB223" t="str">
        <f t="shared" si="136"/>
        <v>-text 21113.3073045166,337 3.5 90 454.383 </v>
      </c>
      <c r="BC223" t="str">
        <f t="shared" si="137"/>
        <v>-text 21113.3073045166,320 3.5 90 460.183 </v>
      </c>
      <c r="BD223" t="str">
        <f t="shared" si="138"/>
        <v>-text 21113.3073045166,306 3.5 90 458.629 </v>
      </c>
      <c r="BE223" t="str">
        <f t="shared" si="139"/>
        <v>-text 21113.3073045166,352 3.5 90 ZG42+228.615 </v>
      </c>
      <c r="BF223" t="str">
        <f t="shared" si="140"/>
        <v>-text 21113.3073045166,280 3.5 90 IP111 </v>
      </c>
      <c r="BG223" t="str">
        <f t="shared" si="141"/>
        <v>-TEXT 21115.3073045166,300 3.5 0 R=80</v>
      </c>
      <c r="BH223" t="str">
        <f t="shared" si="142"/>
        <v>-TEXT 21115.3073045166,295 3.5 0 α=29.41° </v>
      </c>
      <c r="BI223" t="str">
        <f t="shared" si="143"/>
        <v>-TEXT 21115.3073045166,290 3.5 0 T=21.00 </v>
      </c>
      <c r="BJ223" t="str">
        <f t="shared" si="144"/>
        <v>-TEXT 21115.3073045166,285 3.5 0 S=41.07 </v>
      </c>
    </row>
    <row r="224" spans="1:62">
      <c r="A224">
        <v>0</v>
      </c>
      <c r="B224">
        <v>223</v>
      </c>
      <c r="C224" t="s">
        <v>232</v>
      </c>
      <c r="D224" s="54">
        <v>471939.1576</v>
      </c>
      <c r="E224" s="54">
        <v>3382921.0901</v>
      </c>
      <c r="F224" s="54">
        <v>80</v>
      </c>
      <c r="G224">
        <f t="shared" si="117"/>
        <v>20.559</v>
      </c>
      <c r="H224">
        <f t="shared" si="118"/>
        <v>14.5088972079576</v>
      </c>
      <c r="I224">
        <f t="shared" si="119"/>
        <v>28.7057792734011</v>
      </c>
      <c r="J224">
        <f t="shared" si="120"/>
        <v>84.6324907270209</v>
      </c>
      <c r="K224" s="40">
        <f t="shared" si="121"/>
        <v>42298.2750425201</v>
      </c>
      <c r="L224" s="40">
        <f t="shared" si="122"/>
        <v>42312.6279321568</v>
      </c>
      <c r="M224" s="40">
        <f t="shared" si="123"/>
        <v>42326.9808217935</v>
      </c>
      <c r="N224" s="54">
        <v>458.612</v>
      </c>
      <c r="O224" s="54">
        <v>454.366</v>
      </c>
      <c r="P224" s="54">
        <v>0.001</v>
      </c>
      <c r="Q224" s="39">
        <f t="shared" si="124"/>
        <v>471927.174783071</v>
      </c>
      <c r="R224" s="39">
        <f t="shared" si="125"/>
        <v>3382929.27057655</v>
      </c>
      <c r="S224" s="39">
        <f t="shared" si="126"/>
        <v>471938.241269042</v>
      </c>
      <c r="T224" s="39">
        <f t="shared" si="127"/>
        <v>3382920.16089045</v>
      </c>
      <c r="U224" s="39">
        <f t="shared" si="128"/>
        <v>471947.504509246</v>
      </c>
      <c r="V224" s="39">
        <f t="shared" si="129"/>
        <v>3382909.22261483</v>
      </c>
      <c r="AI224" t="str">
        <f t="array" ref="AI224">IFERROR(INDEX($L$2:$L$789,SMALL(IF(ISNUMBER(FIND($AH$2,$C$2:$C$789)),ROW($2:$789)-1,4^8),ROW(A223)))&amp;"","")</f>
        <v/>
      </c>
      <c r="AS224" t="str">
        <f>"-text"&amp;" "&amp;D224&amp;","&amp;E224&amp;" "&amp;"10"&amp;" "&amp;"0"&amp;" "&amp;C224</f>
        <v>-text 471939.1576,3382921.0901 10 0 IP112</v>
      </c>
      <c r="AT224" t="str">
        <f t="shared" si="130"/>
        <v>471939.1576,3382921.0901</v>
      </c>
      <c r="AV224">
        <f t="shared" si="145"/>
        <v>460.166</v>
      </c>
      <c r="AX224" t="str">
        <f t="shared" si="132"/>
        <v>pl 21156.3139660784,279 21156.3139660784,400 </v>
      </c>
      <c r="AY224" t="str">
        <f t="shared" si="133"/>
        <v>21156.3139660784,454.366</v>
      </c>
      <c r="AZ224" t="str">
        <f t="shared" si="134"/>
        <v>21156.3139660784,458.612</v>
      </c>
      <c r="BA224" t="str">
        <f t="shared" si="135"/>
        <v>21156.3139660784,460.166</v>
      </c>
      <c r="BB224" t="str">
        <f t="shared" si="136"/>
        <v>-text 21155.3139660784,337 3.5 90 454.366 </v>
      </c>
      <c r="BC224" t="str">
        <f t="shared" si="137"/>
        <v>-text 21155.3139660784,320 3.5 90 460.166 </v>
      </c>
      <c r="BD224" t="str">
        <f t="shared" si="138"/>
        <v>-text 21155.3139660784,306 3.5 90 458.612 </v>
      </c>
      <c r="BE224" t="str">
        <f t="shared" si="139"/>
        <v>-text 21155.3139660784,352 3.5 90 ZG42+312.628 </v>
      </c>
      <c r="BF224" t="str">
        <f t="shared" si="140"/>
        <v>-text 21155.3139660784,280 3.5 90 IP112 </v>
      </c>
      <c r="BG224" t="str">
        <f t="shared" si="141"/>
        <v>-TEXT 21157.3139660784,300 3.5 0 R=80</v>
      </c>
      <c r="BH224" t="str">
        <f t="shared" si="142"/>
        <v>-TEXT 21157.3139660784,295 3.5 0 α=20.56° </v>
      </c>
      <c r="BI224" t="str">
        <f t="shared" si="143"/>
        <v>-TEXT 21157.3139660784,290 3.5 0 T=14.51 </v>
      </c>
      <c r="BJ224" t="str">
        <f t="shared" si="144"/>
        <v>-TEXT 21157.3139660784,285 3.5 0 S=28.71 </v>
      </c>
    </row>
    <row r="225" spans="1:62">
      <c r="A225">
        <v>1</v>
      </c>
      <c r="B225">
        <v>224</v>
      </c>
      <c r="C225" t="str">
        <f>Sheet1!C213</f>
        <v>求雨寨隧进</v>
      </c>
      <c r="D225" s="54">
        <v>471957.2992</v>
      </c>
      <c r="E225" s="54">
        <v>3382895.2967</v>
      </c>
      <c r="F225" s="54"/>
      <c r="G225">
        <f t="shared" si="117"/>
        <v>0</v>
      </c>
      <c r="H225">
        <f t="shared" si="118"/>
        <v>0</v>
      </c>
      <c r="I225">
        <f t="shared" si="119"/>
        <v>0</v>
      </c>
      <c r="J225">
        <f t="shared" si="120"/>
        <v>31.5343801926946</v>
      </c>
      <c r="K225" s="40">
        <f t="shared" si="121"/>
        <v>42344.0063047783</v>
      </c>
      <c r="L225" s="40">
        <f t="shared" si="122"/>
        <v>42344.0063047783</v>
      </c>
      <c r="M225" s="40">
        <f t="shared" si="123"/>
        <v>42344.0063047783</v>
      </c>
      <c r="N225" s="54">
        <v>458.602</v>
      </c>
      <c r="O225" s="54">
        <v>454.377</v>
      </c>
      <c r="P225" s="54">
        <v>0</v>
      </c>
      <c r="Q225" s="39">
        <f t="shared" si="124"/>
        <v>471957.2992</v>
      </c>
      <c r="R225" s="39">
        <f t="shared" si="125"/>
        <v>3382895.2967</v>
      </c>
      <c r="S225" s="39" t="str">
        <f t="shared" si="126"/>
        <v> </v>
      </c>
      <c r="T225" s="39" t="str">
        <f t="shared" si="127"/>
        <v> </v>
      </c>
      <c r="U225" s="39" t="str">
        <f t="shared" si="128"/>
        <v> </v>
      </c>
      <c r="V225" s="39" t="str">
        <f t="shared" si="129"/>
        <v> </v>
      </c>
      <c r="AI225" t="str">
        <f t="array" ref="AI225">IFERROR(INDEX($L$2:$L$789,SMALL(IF(ISNUMBER(FIND($AH$2,$C$2:$C$789)),ROW($2:$789)-1,4^8),ROW(A224)))&amp;"","")</f>
        <v/>
      </c>
      <c r="AT225" t="str">
        <f t="shared" si="130"/>
        <v>471957.2992,3382895.2967</v>
      </c>
      <c r="AV225">
        <f t="shared" si="145"/>
        <v>459.877</v>
      </c>
      <c r="AX225" t="str">
        <f t="shared" si="132"/>
        <v>pl 21172.0031523891,279 21172.0031523891,400 </v>
      </c>
      <c r="AY225" t="str">
        <f t="shared" si="133"/>
        <v>21172.0031523891,454.377</v>
      </c>
      <c r="AZ225" t="str">
        <f t="shared" si="134"/>
        <v>21172.0031523891,458.602</v>
      </c>
      <c r="BA225" t="str">
        <f t="shared" si="135"/>
        <v>21172.0031523891,459.877</v>
      </c>
      <c r="BB225" t="str">
        <f t="shared" si="136"/>
        <v>-text 21171.0031523891,337 3.5 90 454.377 </v>
      </c>
      <c r="BC225" t="str">
        <f t="shared" si="137"/>
        <v>-text 21171.0031523891,320 3.5 90 459.877 </v>
      </c>
      <c r="BD225" t="str">
        <f t="shared" si="138"/>
        <v>-text 21171.0031523891,306 3.5 90 458.602 </v>
      </c>
      <c r="BE225" t="str">
        <f t="shared" si="139"/>
        <v>-text 21171.0031523891,352 3.5 90 ZG42+344.006 </v>
      </c>
      <c r="BF225" t="str">
        <f t="shared" si="140"/>
        <v>-text 21171.0031523891,280 3.5 90 求雨寨隧进 </v>
      </c>
      <c r="BG225" t="str">
        <f t="shared" si="141"/>
        <v/>
      </c>
      <c r="BH225" t="str">
        <f t="shared" si="142"/>
        <v> </v>
      </c>
      <c r="BI225" t="str">
        <f t="shared" si="143"/>
        <v> </v>
      </c>
      <c r="BJ225" t="str">
        <f t="shared" si="144"/>
        <v> </v>
      </c>
    </row>
    <row r="226" spans="1:62">
      <c r="A226">
        <v>1</v>
      </c>
      <c r="B226">
        <v>225</v>
      </c>
      <c r="C226" t="str">
        <f>Sheet1!C214</f>
        <v>求雨寨隧出</v>
      </c>
      <c r="D226" s="54">
        <v>472047.7315</v>
      </c>
      <c r="E226" s="54">
        <v>3382766.7219</v>
      </c>
      <c r="F226" s="54"/>
      <c r="G226">
        <f t="shared" si="117"/>
        <v>0</v>
      </c>
      <c r="H226">
        <f t="shared" si="118"/>
        <v>0</v>
      </c>
      <c r="I226">
        <f t="shared" si="119"/>
        <v>0</v>
      </c>
      <c r="J226">
        <f t="shared" si="120"/>
        <v>157.192493708647</v>
      </c>
      <c r="K226" s="40">
        <f t="shared" si="121"/>
        <v>42501.1987984869</v>
      </c>
      <c r="L226" s="40">
        <f t="shared" si="122"/>
        <v>42501.1987984869</v>
      </c>
      <c r="M226" s="40">
        <f t="shared" si="123"/>
        <v>42501.1987984869</v>
      </c>
      <c r="N226" s="54">
        <v>458.573</v>
      </c>
      <c r="O226" s="54">
        <v>454.348</v>
      </c>
      <c r="P226" s="54">
        <v>0</v>
      </c>
      <c r="Q226" s="39">
        <f t="shared" si="124"/>
        <v>472047.7315</v>
      </c>
      <c r="R226" s="39">
        <f t="shared" si="125"/>
        <v>3382766.7219</v>
      </c>
      <c r="S226" s="39" t="str">
        <f t="shared" si="126"/>
        <v> </v>
      </c>
      <c r="T226" s="39" t="str">
        <f t="shared" si="127"/>
        <v> </v>
      </c>
      <c r="U226" s="39" t="str">
        <f t="shared" si="128"/>
        <v> </v>
      </c>
      <c r="V226" s="39" t="str">
        <f t="shared" si="129"/>
        <v> </v>
      </c>
      <c r="AI226" t="str">
        <f t="array" ref="AI226">IFERROR(INDEX($L$2:$L$789,SMALL(IF(ISNUMBER(FIND($AH$2,$C$2:$C$789)),ROW($2:$789)-1,4^8),ROW(A225)))&amp;"","")</f>
        <v/>
      </c>
      <c r="AT226" t="str">
        <f t="shared" si="130"/>
        <v>472047.7315,3382766.7219</v>
      </c>
      <c r="AV226">
        <f t="shared" si="145"/>
        <v>459.848</v>
      </c>
      <c r="AX226" t="str">
        <f t="shared" si="132"/>
        <v>pl 21250.5993992435,279 21250.5993992435,400 </v>
      </c>
      <c r="AY226" t="str">
        <f t="shared" si="133"/>
        <v>21250.5993992435,454.348</v>
      </c>
      <c r="AZ226" t="str">
        <f t="shared" si="134"/>
        <v>21250.5993992435,458.573</v>
      </c>
      <c r="BA226" t="str">
        <f t="shared" si="135"/>
        <v>21250.5993992435,459.848</v>
      </c>
      <c r="BB226" t="str">
        <f t="shared" si="136"/>
        <v>-text 21249.5993992435,337 3.5 90 454.348 </v>
      </c>
      <c r="BC226" t="str">
        <f t="shared" si="137"/>
        <v>-text 21249.5993992435,320 3.5 90 459.848 </v>
      </c>
      <c r="BD226" t="str">
        <f t="shared" si="138"/>
        <v>-text 21249.5993992435,306 3.5 90 458.573 </v>
      </c>
      <c r="BE226" t="str">
        <f t="shared" si="139"/>
        <v>-text 21249.5993992435,352 3.5 90 ZG42+501.199 </v>
      </c>
      <c r="BF226" t="str">
        <f t="shared" si="140"/>
        <v>-text 21249.5993992435,280 3.5 90 求雨寨隧出 </v>
      </c>
      <c r="BG226" t="str">
        <f t="shared" si="141"/>
        <v/>
      </c>
      <c r="BH226" t="str">
        <f t="shared" si="142"/>
        <v> </v>
      </c>
      <c r="BI226" t="str">
        <f t="shared" si="143"/>
        <v> </v>
      </c>
      <c r="BJ226" t="str">
        <f t="shared" si="144"/>
        <v> </v>
      </c>
    </row>
    <row r="227" spans="1:62">
      <c r="A227">
        <v>0</v>
      </c>
      <c r="B227">
        <v>226</v>
      </c>
      <c r="C227" t="s">
        <v>235</v>
      </c>
      <c r="D227" s="54">
        <v>472114.7288</v>
      </c>
      <c r="E227" s="54">
        <v>3382671.4665</v>
      </c>
      <c r="F227" s="54">
        <v>80</v>
      </c>
      <c r="G227">
        <f t="shared" si="117"/>
        <v>28.269</v>
      </c>
      <c r="H227">
        <f t="shared" si="118"/>
        <v>20.1458291632467</v>
      </c>
      <c r="I227">
        <f t="shared" si="119"/>
        <v>39.4709700997022</v>
      </c>
      <c r="J227">
        <f t="shared" si="120"/>
        <v>116.456985348181</v>
      </c>
      <c r="K227" s="40">
        <f t="shared" si="121"/>
        <v>42597.5099546719</v>
      </c>
      <c r="L227" s="40">
        <f t="shared" si="122"/>
        <v>42617.2454397217</v>
      </c>
      <c r="M227" s="40">
        <f t="shared" si="123"/>
        <v>42636.9809247716</v>
      </c>
      <c r="N227" s="54">
        <v>458.554</v>
      </c>
      <c r="O227" s="54">
        <v>454.308</v>
      </c>
      <c r="P227" s="54">
        <v>0.001</v>
      </c>
      <c r="Q227" s="39">
        <f t="shared" si="124"/>
        <v>472103.138974313</v>
      </c>
      <c r="R227" s="39">
        <f t="shared" si="125"/>
        <v>3382687.9446787</v>
      </c>
      <c r="S227" s="39">
        <f t="shared" si="126"/>
        <v>472116.358967889</v>
      </c>
      <c r="T227" s="39">
        <f t="shared" si="127"/>
        <v>3382673.35872635</v>
      </c>
      <c r="U227" s="39">
        <f t="shared" si="128"/>
        <v>472132.740591063</v>
      </c>
      <c r="V227" s="39">
        <f t="shared" si="129"/>
        <v>3382662.44265296</v>
      </c>
      <c r="AI227" t="str">
        <f t="array" ref="AI227">IFERROR(INDEX($L$2:$L$789,SMALL(IF(ISNUMBER(FIND($AH$2,$C$2:$C$789)),ROW($2:$789)-1,4^8),ROW(A226)))&amp;"","")</f>
        <v/>
      </c>
      <c r="AS227" t="str">
        <f>"-text"&amp;" "&amp;D227&amp;","&amp;E227&amp;" "&amp;"10"&amp;" "&amp;"0"&amp;" "&amp;C227</f>
        <v>-text 472114.7288,3382671.4665 10 0 IP113</v>
      </c>
      <c r="AT227" t="str">
        <f t="shared" si="130"/>
        <v>472114.7288,3382671.4665</v>
      </c>
      <c r="AV227">
        <f t="shared" si="145"/>
        <v>460.108</v>
      </c>
      <c r="AX227" t="str">
        <f t="shared" si="132"/>
        <v>pl 21308.6227198609,279 21308.6227198609,400 </v>
      </c>
      <c r="AY227" t="str">
        <f t="shared" si="133"/>
        <v>21308.6227198609,454.308</v>
      </c>
      <c r="AZ227" t="str">
        <f t="shared" si="134"/>
        <v>21308.6227198609,458.554</v>
      </c>
      <c r="BA227" t="str">
        <f t="shared" si="135"/>
        <v>21308.6227198609,460.108</v>
      </c>
      <c r="BB227" t="str">
        <f t="shared" si="136"/>
        <v>-text 21307.6227198609,337 3.5 90 454.308 </v>
      </c>
      <c r="BC227" t="str">
        <f t="shared" si="137"/>
        <v>-text 21307.6227198609,320 3.5 90 460.108 </v>
      </c>
      <c r="BD227" t="str">
        <f t="shared" si="138"/>
        <v>-text 21307.6227198609,306 3.5 90 458.554 </v>
      </c>
      <c r="BE227" t="str">
        <f t="shared" si="139"/>
        <v>-text 21307.6227198609,352 3.5 90 ZG42+617.245 </v>
      </c>
      <c r="BF227" t="str">
        <f t="shared" si="140"/>
        <v>-text 21307.6227198609,280 3.5 90 IP113 </v>
      </c>
      <c r="BG227" t="str">
        <f t="shared" si="141"/>
        <v>-TEXT 21309.6227198609,300 3.5 0 R=80</v>
      </c>
      <c r="BH227" t="str">
        <f t="shared" si="142"/>
        <v>-TEXT 21309.6227198609,295 3.5 0 α=28.27° </v>
      </c>
      <c r="BI227" t="str">
        <f t="shared" si="143"/>
        <v>-TEXT 21309.6227198609,290 3.5 0 T=20.15 </v>
      </c>
      <c r="BJ227" t="str">
        <f t="shared" si="144"/>
        <v>-TEXT 21309.6227198609,285 3.5 0 S=39.47 </v>
      </c>
    </row>
    <row r="228" spans="1:62">
      <c r="A228">
        <v>0</v>
      </c>
      <c r="B228">
        <v>227</v>
      </c>
      <c r="C228" t="s">
        <v>236</v>
      </c>
      <c r="D228" s="54">
        <v>472265.8847</v>
      </c>
      <c r="E228" s="54">
        <v>3382595.7379</v>
      </c>
      <c r="F228" s="54">
        <v>80</v>
      </c>
      <c r="G228">
        <f t="shared" si="117"/>
        <v>28.119</v>
      </c>
      <c r="H228">
        <f t="shared" si="118"/>
        <v>20.0345052632116</v>
      </c>
      <c r="I228">
        <f t="shared" si="119"/>
        <v>39.2615305894628</v>
      </c>
      <c r="J228">
        <f t="shared" si="120"/>
        <v>169.064860224644</v>
      </c>
      <c r="K228" s="40">
        <f t="shared" si="121"/>
        <v>42765.8654505697</v>
      </c>
      <c r="L228" s="40">
        <f t="shared" si="122"/>
        <v>42785.4962158645</v>
      </c>
      <c r="M228" s="40">
        <f t="shared" si="123"/>
        <v>42805.1269811592</v>
      </c>
      <c r="N228" s="54">
        <v>458.522</v>
      </c>
      <c r="O228" s="54">
        <v>454.276</v>
      </c>
      <c r="P228" s="54">
        <v>0.001</v>
      </c>
      <c r="Q228" s="39">
        <f t="shared" si="124"/>
        <v>472247.97244035</v>
      </c>
      <c r="R228" s="39">
        <f t="shared" si="125"/>
        <v>3382604.71188213</v>
      </c>
      <c r="S228" s="39">
        <f t="shared" si="126"/>
        <v>472264.274673216</v>
      </c>
      <c r="T228" s="39">
        <f t="shared" si="127"/>
        <v>3382593.86410149</v>
      </c>
      <c r="U228" s="39">
        <f t="shared" si="128"/>
        <v>472277.453312523</v>
      </c>
      <c r="V228" s="39">
        <f t="shared" si="129"/>
        <v>3382579.38098692</v>
      </c>
      <c r="AI228" t="str">
        <f t="array" ref="AI228">IFERROR(INDEX($L$2:$L$789,SMALL(IF(ISNUMBER(FIND($AH$2,$C$2:$C$789)),ROW($2:$789)-1,4^8),ROW(A227)))&amp;"","")</f>
        <v/>
      </c>
      <c r="AS228" t="str">
        <f>"-text"&amp;" "&amp;D228&amp;","&amp;E228&amp;" "&amp;"10"&amp;" "&amp;"0"&amp;" "&amp;C228</f>
        <v>-text 472265.8847,3382595.7379 10 0 IP114</v>
      </c>
      <c r="AT228" t="str">
        <f t="shared" si="130"/>
        <v>472265.8847,3382595.7379</v>
      </c>
      <c r="AV228">
        <f t="shared" si="145"/>
        <v>460.076</v>
      </c>
      <c r="AX228" t="str">
        <f t="shared" si="132"/>
        <v>pl 21392.7481079322,279 21392.7481079322,400 </v>
      </c>
      <c r="AY228" t="str">
        <f t="shared" si="133"/>
        <v>21392.7481079322,454.276</v>
      </c>
      <c r="AZ228" t="str">
        <f t="shared" si="134"/>
        <v>21392.7481079322,458.522</v>
      </c>
      <c r="BA228" t="str">
        <f t="shared" si="135"/>
        <v>21392.7481079322,460.076</v>
      </c>
      <c r="BB228" t="str">
        <f t="shared" si="136"/>
        <v>-text 21391.7481079322,337 3.5 90 454.276 </v>
      </c>
      <c r="BC228" t="str">
        <f t="shared" si="137"/>
        <v>-text 21391.7481079322,320 3.5 90 460.076 </v>
      </c>
      <c r="BD228" t="str">
        <f t="shared" si="138"/>
        <v>-text 21391.7481079322,306 3.5 90 458.522 </v>
      </c>
      <c r="BE228" t="str">
        <f t="shared" si="139"/>
        <v>-text 21391.7481079322,352 3.5 90 ZG42+785.496 </v>
      </c>
      <c r="BF228" t="str">
        <f t="shared" si="140"/>
        <v>-text 21391.7481079322,280 3.5 90 IP114 </v>
      </c>
      <c r="BG228" t="str">
        <f t="shared" si="141"/>
        <v>-TEXT 21393.7481079322,300 3.5 0 R=80</v>
      </c>
      <c r="BH228" t="str">
        <f t="shared" si="142"/>
        <v>-TEXT 21393.7481079322,295 3.5 0 α=28.12° </v>
      </c>
      <c r="BI228" t="str">
        <f t="shared" si="143"/>
        <v>-TEXT 21393.7481079322,290 3.5 0 T=20.03 </v>
      </c>
      <c r="BJ228" t="str">
        <f t="shared" si="144"/>
        <v>-TEXT 21393.7481079322,285 3.5 0 S=39.26 </v>
      </c>
    </row>
    <row r="229" spans="1:62">
      <c r="A229">
        <v>1</v>
      </c>
      <c r="B229">
        <v>228</v>
      </c>
      <c r="C229" t="str">
        <f>Sheet1!C217</f>
        <v>笔架山隧进</v>
      </c>
      <c r="D229" s="54">
        <v>472286.783</v>
      </c>
      <c r="E229" s="54">
        <v>3382566.1897</v>
      </c>
      <c r="F229" s="54"/>
      <c r="G229">
        <f t="shared" si="117"/>
        <v>0</v>
      </c>
      <c r="H229">
        <f t="shared" si="118"/>
        <v>0</v>
      </c>
      <c r="I229">
        <f t="shared" si="119"/>
        <v>0</v>
      </c>
      <c r="J229">
        <f t="shared" si="120"/>
        <v>36.1916435953745</v>
      </c>
      <c r="K229" s="40">
        <f t="shared" si="121"/>
        <v>42821.2841194914</v>
      </c>
      <c r="L229" s="40">
        <f t="shared" si="122"/>
        <v>42821.2841194914</v>
      </c>
      <c r="M229" s="40">
        <f t="shared" si="123"/>
        <v>42821.2841194914</v>
      </c>
      <c r="N229" s="54">
        <v>458.511</v>
      </c>
      <c r="O229" s="54">
        <v>454.286</v>
      </c>
      <c r="P229" s="54">
        <v>0</v>
      </c>
      <c r="Q229" s="39">
        <f t="shared" si="124"/>
        <v>472286.783</v>
      </c>
      <c r="R229" s="39">
        <f t="shared" si="125"/>
        <v>3382566.1897</v>
      </c>
      <c r="S229" s="39" t="str">
        <f t="shared" si="126"/>
        <v> </v>
      </c>
      <c r="T229" s="39" t="str">
        <f t="shared" si="127"/>
        <v> </v>
      </c>
      <c r="U229" s="39" t="str">
        <f t="shared" si="128"/>
        <v> </v>
      </c>
      <c r="V229" s="39" t="str">
        <f t="shared" si="129"/>
        <v> </v>
      </c>
      <c r="AI229" t="str">
        <f t="array" ref="AI229">IFERROR(INDEX($L$2:$L$789,SMALL(IF(ISNUMBER(FIND($AH$2,$C$2:$C$789)),ROW($2:$789)-1,4^8),ROW(A228)))&amp;"","")</f>
        <v/>
      </c>
      <c r="AT229" t="str">
        <f t="shared" si="130"/>
        <v>472286.783,3382566.1897</v>
      </c>
      <c r="AV229">
        <f t="shared" si="145"/>
        <v>459.786</v>
      </c>
      <c r="AX229" t="str">
        <f t="shared" si="132"/>
        <v>pl 21410.6420597457,279 21410.6420597457,400 </v>
      </c>
      <c r="AY229" t="str">
        <f t="shared" si="133"/>
        <v>21410.6420597457,454.286</v>
      </c>
      <c r="AZ229" t="str">
        <f t="shared" si="134"/>
        <v>21410.6420597457,458.511</v>
      </c>
      <c r="BA229" t="str">
        <f t="shared" si="135"/>
        <v>21410.6420597457,459.786</v>
      </c>
      <c r="BB229" t="str">
        <f t="shared" si="136"/>
        <v>-text 21409.6420597457,337 3.5 90 454.286 </v>
      </c>
      <c r="BC229" t="str">
        <f t="shared" si="137"/>
        <v>-text 21409.6420597457,320 3.5 90 459.786 </v>
      </c>
      <c r="BD229" t="str">
        <f t="shared" si="138"/>
        <v>-text 21409.6420597457,306 3.5 90 458.511 </v>
      </c>
      <c r="BE229" t="str">
        <f t="shared" si="139"/>
        <v>-text 21409.6420597457,352 3.5 90 ZG42+821.284 </v>
      </c>
      <c r="BF229" t="str">
        <f t="shared" si="140"/>
        <v>-text 21409.6420597457,280 3.5 90 笔架山隧进 </v>
      </c>
      <c r="BG229" t="str">
        <f t="shared" si="141"/>
        <v/>
      </c>
      <c r="BH229" t="str">
        <f t="shared" si="142"/>
        <v> </v>
      </c>
      <c r="BI229" t="str">
        <f t="shared" si="143"/>
        <v> </v>
      </c>
      <c r="BJ229" t="str">
        <f t="shared" si="144"/>
        <v> </v>
      </c>
    </row>
    <row r="230" spans="1:62">
      <c r="A230">
        <v>1</v>
      </c>
      <c r="B230">
        <v>229</v>
      </c>
      <c r="C230" t="str">
        <f>Sheet1!C218</f>
        <v>笔架山隧出</v>
      </c>
      <c r="D230" s="54">
        <v>472361.5596</v>
      </c>
      <c r="E230" s="54">
        <v>3382460.4629</v>
      </c>
      <c r="F230" s="54"/>
      <c r="G230">
        <f t="shared" si="117"/>
        <v>0</v>
      </c>
      <c r="H230">
        <f t="shared" si="118"/>
        <v>0</v>
      </c>
      <c r="I230">
        <f t="shared" si="119"/>
        <v>0</v>
      </c>
      <c r="J230">
        <f t="shared" si="120"/>
        <v>129.49786154899</v>
      </c>
      <c r="K230" s="40">
        <f t="shared" si="121"/>
        <v>42950.7819810404</v>
      </c>
      <c r="L230" s="40">
        <f t="shared" si="122"/>
        <v>42950.7819810404</v>
      </c>
      <c r="M230" s="40">
        <f t="shared" si="123"/>
        <v>42950.7819810404</v>
      </c>
      <c r="N230" s="54">
        <v>458.487</v>
      </c>
      <c r="O230" s="54">
        <v>454.262</v>
      </c>
      <c r="P230" s="54">
        <v>0</v>
      </c>
      <c r="Q230" s="39">
        <f t="shared" si="124"/>
        <v>472361.5596</v>
      </c>
      <c r="R230" s="39">
        <f t="shared" si="125"/>
        <v>3382460.4629</v>
      </c>
      <c r="S230" s="39" t="str">
        <f t="shared" si="126"/>
        <v> </v>
      </c>
      <c r="T230" s="39" t="str">
        <f t="shared" si="127"/>
        <v> </v>
      </c>
      <c r="U230" s="39" t="str">
        <f t="shared" si="128"/>
        <v> </v>
      </c>
      <c r="V230" s="39" t="str">
        <f t="shared" si="129"/>
        <v> </v>
      </c>
      <c r="AI230" t="str">
        <f t="array" ref="AI230">IFERROR(INDEX($L$2:$L$789,SMALL(IF(ISNUMBER(FIND($AH$2,$C$2:$C$789)),ROW($2:$789)-1,4^8),ROW(A229)))&amp;"","")</f>
        <v/>
      </c>
      <c r="AT230" t="str">
        <f t="shared" si="130"/>
        <v>472361.5596,3382460.4629</v>
      </c>
      <c r="AV230">
        <f t="shared" si="145"/>
        <v>459.762</v>
      </c>
      <c r="AX230" t="str">
        <f t="shared" si="132"/>
        <v>pl 21475.3909905202,279 21475.3909905202,400 </v>
      </c>
      <c r="AY230" t="str">
        <f t="shared" si="133"/>
        <v>21475.3909905202,454.262</v>
      </c>
      <c r="AZ230" t="str">
        <f t="shared" si="134"/>
        <v>21475.3909905202,458.487</v>
      </c>
      <c r="BA230" t="str">
        <f t="shared" si="135"/>
        <v>21475.3909905202,459.762</v>
      </c>
      <c r="BB230" t="str">
        <f t="shared" si="136"/>
        <v>-text 21474.3909905202,337 3.5 90 454.262 </v>
      </c>
      <c r="BC230" t="str">
        <f t="shared" si="137"/>
        <v>-text 21474.3909905202,320 3.5 90 459.762 </v>
      </c>
      <c r="BD230" t="str">
        <f t="shared" si="138"/>
        <v>-text 21474.3909905202,306 3.5 90 458.487 </v>
      </c>
      <c r="BE230" t="str">
        <f t="shared" si="139"/>
        <v>-text 21474.3909905202,352 3.5 90 ZG42+950.782 </v>
      </c>
      <c r="BF230" t="str">
        <f t="shared" si="140"/>
        <v>-text 21474.3909905202,280 3.5 90 笔架山隧出 </v>
      </c>
      <c r="BG230" t="str">
        <f t="shared" si="141"/>
        <v/>
      </c>
      <c r="BH230" t="str">
        <f t="shared" si="142"/>
        <v> </v>
      </c>
      <c r="BI230" t="str">
        <f t="shared" si="143"/>
        <v> </v>
      </c>
      <c r="BJ230" t="str">
        <f t="shared" si="144"/>
        <v> </v>
      </c>
    </row>
    <row r="231" spans="1:62">
      <c r="A231">
        <v>1</v>
      </c>
      <c r="B231">
        <v>230</v>
      </c>
      <c r="C231" t="s">
        <v>239</v>
      </c>
      <c r="D231" s="54">
        <v>472385.2076</v>
      </c>
      <c r="E231" s="54">
        <v>3382427.027</v>
      </c>
      <c r="F231" s="54">
        <v>80</v>
      </c>
      <c r="G231">
        <f t="shared" si="117"/>
        <v>28.533</v>
      </c>
      <c r="H231">
        <f t="shared" si="118"/>
        <v>20.34193782189</v>
      </c>
      <c r="I231">
        <f t="shared" si="119"/>
        <v>39.8395836377234</v>
      </c>
      <c r="J231">
        <f t="shared" si="120"/>
        <v>40.9534774205826</v>
      </c>
      <c r="K231" s="40">
        <f t="shared" si="121"/>
        <v>42971.3935206391</v>
      </c>
      <c r="L231" s="40">
        <f t="shared" si="122"/>
        <v>42991.3133124579</v>
      </c>
      <c r="M231" s="40">
        <f t="shared" si="123"/>
        <v>43011.2331042768</v>
      </c>
      <c r="N231" s="54">
        <v>458.482</v>
      </c>
      <c r="O231" s="54">
        <v>454.236</v>
      </c>
      <c r="P231" s="54">
        <v>0.001</v>
      </c>
      <c r="Q231" s="39">
        <f t="shared" si="124"/>
        <v>472373.461438846</v>
      </c>
      <c r="R231" s="39">
        <f t="shared" si="125"/>
        <v>3382443.63489368</v>
      </c>
      <c r="S231" s="39">
        <f t="shared" si="126"/>
        <v>472386.859644566</v>
      </c>
      <c r="T231" s="39">
        <f t="shared" si="127"/>
        <v>3382428.96380525</v>
      </c>
      <c r="U231" s="39">
        <f t="shared" si="128"/>
        <v>472403.460041253</v>
      </c>
      <c r="V231" s="39">
        <f t="shared" si="129"/>
        <v>3382418.04686511</v>
      </c>
      <c r="AI231" t="str">
        <f t="array" ref="AI231">IFERROR(INDEX($L$2:$L$789,SMALL(IF(ISNUMBER(FIND($AH$2,$C$2:$C$789)),ROW($2:$789)-1,4^8),ROW(A230)))&amp;"","")</f>
        <v/>
      </c>
      <c r="AS231" t="str">
        <f>"-text"&amp;" "&amp;D231&amp;","&amp;E231&amp;" "&amp;"10"&amp;" "&amp;"0"&amp;" "&amp;C231</f>
        <v>-text 472385.2076,3382427.027 10 0 IP115</v>
      </c>
      <c r="AT231" t="str">
        <f t="shared" si="130"/>
        <v>472385.2076,3382427.027</v>
      </c>
      <c r="AV231">
        <f t="shared" si="145"/>
        <v>459.736</v>
      </c>
      <c r="AX231" t="str">
        <f t="shared" si="132"/>
        <v>pl 21495.656656229,279 21495.656656229,400 </v>
      </c>
      <c r="AY231" t="str">
        <f t="shared" si="133"/>
        <v>21495.656656229,454.236</v>
      </c>
      <c r="AZ231" t="str">
        <f t="shared" si="134"/>
        <v>21495.656656229,458.482</v>
      </c>
      <c r="BA231" t="str">
        <f t="shared" si="135"/>
        <v>21495.656656229,459.736</v>
      </c>
      <c r="BB231" t="str">
        <f t="shared" si="136"/>
        <v>-text 21494.656656229,337 3.5 90 454.236 </v>
      </c>
      <c r="BC231" t="str">
        <f t="shared" si="137"/>
        <v>-text 21494.656656229,320 3.5 90 459.736 </v>
      </c>
      <c r="BD231" t="str">
        <f t="shared" si="138"/>
        <v>-text 21494.656656229,306 3.5 90 458.482 </v>
      </c>
      <c r="BE231" t="str">
        <f t="shared" si="139"/>
        <v>-text 21494.656656229,352 3.5 90 ZG42+991.313 </v>
      </c>
      <c r="BF231" t="str">
        <f t="shared" si="140"/>
        <v>-text 21494.656656229,280 3.5 90 IP115 </v>
      </c>
      <c r="BG231" t="str">
        <f t="shared" si="141"/>
        <v>-TEXT 21496.656656229,300 3.5 0 R=80</v>
      </c>
      <c r="BH231" t="str">
        <f t="shared" si="142"/>
        <v>-TEXT 21496.656656229,295 3.5 0 α=28.53° </v>
      </c>
      <c r="BI231" t="str">
        <f t="shared" si="143"/>
        <v>-TEXT 21496.656656229,290 3.5 0 T=20.34 </v>
      </c>
      <c r="BJ231" t="str">
        <f t="shared" si="144"/>
        <v>-TEXT 21496.656656229,285 3.5 0 S=39.84 </v>
      </c>
    </row>
    <row r="232" spans="1:62">
      <c r="A232">
        <v>1</v>
      </c>
      <c r="B232">
        <v>231</v>
      </c>
      <c r="C232" t="s">
        <v>240</v>
      </c>
      <c r="D232" s="39">
        <v>472560.6593</v>
      </c>
      <c r="E232" s="39">
        <v>3382340.7054</v>
      </c>
      <c r="F232">
        <v>80</v>
      </c>
      <c r="G232">
        <f t="shared" si="117"/>
        <v>3.919</v>
      </c>
      <c r="H232">
        <f t="shared" si="118"/>
        <v>2.73704532081672</v>
      </c>
      <c r="I232">
        <f t="shared" si="119"/>
        <v>5.47195627085262</v>
      </c>
      <c r="J232">
        <f t="shared" si="120"/>
        <v>195.536998185575</v>
      </c>
      <c r="K232" s="40">
        <f t="shared" si="121"/>
        <v>43183.6911193196</v>
      </c>
      <c r="L232" s="40">
        <f t="shared" si="122"/>
        <v>43186.4270974551</v>
      </c>
      <c r="M232" s="40">
        <f t="shared" si="123"/>
        <v>43189.1630755905</v>
      </c>
      <c r="N232">
        <v>458.445</v>
      </c>
      <c r="O232">
        <v>454.199</v>
      </c>
      <c r="P232">
        <v>0</v>
      </c>
      <c r="Q232" s="39">
        <f t="shared" si="124"/>
        <v>472558.203400303</v>
      </c>
      <c r="R232" s="39">
        <f t="shared" si="125"/>
        <v>3382341.91369374</v>
      </c>
      <c r="S232" s="39">
        <f t="shared" si="126"/>
        <v>472560.678516523</v>
      </c>
      <c r="T232" s="39">
        <f t="shared" si="127"/>
        <v>3382340.74808415</v>
      </c>
      <c r="U232" s="39">
        <f t="shared" si="128"/>
        <v>472563.192043316</v>
      </c>
      <c r="V232" s="39">
        <f t="shared" si="129"/>
        <v>3382339.66779295</v>
      </c>
      <c r="AI232" t="str">
        <f t="array" ref="AI232">IFERROR(INDEX($L$2:$L$789,SMALL(IF(ISNUMBER(FIND($AH$2,$C$2:$C$789)),ROW($2:$789)-1,4^8),ROW(A231)))&amp;"","")</f>
        <v/>
      </c>
      <c r="AS232" t="str">
        <f>"-text"&amp;" "&amp;D232&amp;","&amp;E232&amp;" "&amp;"10"&amp;" "&amp;"0"&amp;" "&amp;C232</f>
        <v>-text 472560.6593,3382340.7054 10 0 IP116</v>
      </c>
      <c r="AT232" t="str">
        <f t="shared" si="130"/>
        <v>472560.6593,3382340.7054</v>
      </c>
      <c r="AV232">
        <f t="shared" si="145"/>
        <v>459.699</v>
      </c>
      <c r="AX232" t="str">
        <f t="shared" si="132"/>
        <v>pl 21593.2135487275,279 21593.2135487275,400 </v>
      </c>
      <c r="AY232" t="str">
        <f t="shared" si="133"/>
        <v>21593.2135487275,454.199</v>
      </c>
      <c r="AZ232" t="str">
        <f t="shared" si="134"/>
        <v>21593.2135487275,458.445</v>
      </c>
      <c r="BA232" t="str">
        <f t="shared" si="135"/>
        <v>21593.2135487275,459.699</v>
      </c>
      <c r="BB232" t="str">
        <f t="shared" si="136"/>
        <v>-text 21592.2135487275,337 3.5 90 454.199 </v>
      </c>
      <c r="BC232" t="str">
        <f t="shared" si="137"/>
        <v>-text 21592.2135487275,320 3.5 90 459.699 </v>
      </c>
      <c r="BD232" t="str">
        <f t="shared" si="138"/>
        <v>-text 21592.2135487275,306 3.5 90 458.445 </v>
      </c>
      <c r="BE232" t="str">
        <f t="shared" si="139"/>
        <v>-text 21592.2135487275,352 3.5 90 ZG43+186.427 </v>
      </c>
      <c r="BF232" t="str">
        <f t="shared" si="140"/>
        <v>-text 21592.2135487275,280 3.5 90 IP116 </v>
      </c>
      <c r="BG232" t="str">
        <f t="shared" si="141"/>
        <v>-TEXT 21594.2135487275,300 3.5 0 R=80</v>
      </c>
      <c r="BH232" t="str">
        <f t="shared" si="142"/>
        <v>-TEXT 21594.2135487275,295 3.5 0 α=3.92° </v>
      </c>
      <c r="BI232" t="str">
        <f t="shared" si="143"/>
        <v>-TEXT 21594.2135487275,290 3.5 0 T=2.74 </v>
      </c>
      <c r="BJ232" t="str">
        <f t="shared" si="144"/>
        <v>-TEXT 21594.2135487275,285 3.5 0 S=5.47 </v>
      </c>
    </row>
    <row r="233" spans="1:62">
      <c r="A233">
        <v>1</v>
      </c>
      <c r="B233">
        <v>232</v>
      </c>
      <c r="C233" t="str">
        <f>Sheet1!C221</f>
        <v>凤型湾隧进</v>
      </c>
      <c r="D233" s="39">
        <v>472582.827</v>
      </c>
      <c r="E233" s="39">
        <v>3382331.6238</v>
      </c>
      <c r="G233">
        <f t="shared" si="117"/>
        <v>0</v>
      </c>
      <c r="H233">
        <f t="shared" si="118"/>
        <v>0</v>
      </c>
      <c r="I233">
        <f t="shared" si="119"/>
        <v>0</v>
      </c>
      <c r="J233">
        <f t="shared" si="120"/>
        <v>23.9558423321717</v>
      </c>
      <c r="K233" s="40">
        <f t="shared" si="121"/>
        <v>43210.3818726019</v>
      </c>
      <c r="L233" s="40">
        <f t="shared" si="122"/>
        <v>43210.3818726019</v>
      </c>
      <c r="M233" s="40">
        <f t="shared" si="123"/>
        <v>43210.3818726019</v>
      </c>
      <c r="N233">
        <v>458.437</v>
      </c>
      <c r="O233">
        <v>454.212</v>
      </c>
      <c r="P233">
        <v>0</v>
      </c>
      <c r="Q233" s="39">
        <f t="shared" si="124"/>
        <v>472582.827</v>
      </c>
      <c r="R233" s="39">
        <f t="shared" si="125"/>
        <v>3382331.6238</v>
      </c>
      <c r="S233" s="39" t="str">
        <f t="shared" si="126"/>
        <v> </v>
      </c>
      <c r="T233" s="39" t="str">
        <f t="shared" si="127"/>
        <v> </v>
      </c>
      <c r="U233" s="39" t="str">
        <f t="shared" si="128"/>
        <v> </v>
      </c>
      <c r="V233" s="39" t="str">
        <f t="shared" si="129"/>
        <v> </v>
      </c>
      <c r="AI233" t="str">
        <f t="array" ref="AI233">IFERROR(INDEX($L$2:$L$789,SMALL(IF(ISNUMBER(FIND($AH$2,$C$2:$C$789)),ROW($2:$789)-1,4^8),ROW(A232)))&amp;"","")</f>
        <v/>
      </c>
      <c r="AT233" t="str">
        <f t="shared" si="130"/>
        <v>472582.827,3382331.6238</v>
      </c>
      <c r="AV233">
        <f t="shared" si="145"/>
        <v>459.712</v>
      </c>
      <c r="AX233" t="str">
        <f t="shared" si="132"/>
        <v>pl 21605.1909363009,279 21605.1909363009,400 </v>
      </c>
      <c r="AY233" t="str">
        <f t="shared" si="133"/>
        <v>21605.1909363009,454.212</v>
      </c>
      <c r="AZ233" t="str">
        <f t="shared" si="134"/>
        <v>21605.1909363009,458.437</v>
      </c>
      <c r="BA233" t="str">
        <f t="shared" si="135"/>
        <v>21605.1909363009,459.712</v>
      </c>
      <c r="BB233" t="str">
        <f t="shared" si="136"/>
        <v>-text 21604.1909363009,337 3.5 90 454.212 </v>
      </c>
      <c r="BC233" t="str">
        <f t="shared" si="137"/>
        <v>-text 21604.1909363009,320 3.5 90 459.712 </v>
      </c>
      <c r="BD233" t="str">
        <f t="shared" si="138"/>
        <v>-text 21604.1909363009,306 3.5 90 458.437 </v>
      </c>
      <c r="BE233" t="str">
        <f t="shared" si="139"/>
        <v>-text 21604.1909363009,352 3.5 90 ZG43+210.382 </v>
      </c>
      <c r="BF233" t="str">
        <f t="shared" si="140"/>
        <v>-text 21604.1909363009,280 3.5 90 凤型湾隧进 </v>
      </c>
      <c r="BG233" t="str">
        <f t="shared" si="141"/>
        <v/>
      </c>
      <c r="BH233" t="str">
        <f t="shared" si="142"/>
        <v> </v>
      </c>
      <c r="BI233" t="str">
        <f t="shared" si="143"/>
        <v> </v>
      </c>
      <c r="BJ233" t="str">
        <f t="shared" si="144"/>
        <v> </v>
      </c>
    </row>
    <row r="234" spans="1:62">
      <c r="A234">
        <v>1</v>
      </c>
      <c r="B234">
        <v>233</v>
      </c>
      <c r="C234" t="str">
        <f>Sheet1!C222</f>
        <v>凤型湾隧出</v>
      </c>
      <c r="D234" s="39">
        <v>472836.7471</v>
      </c>
      <c r="E234" s="39">
        <v>3382227.598</v>
      </c>
      <c r="G234">
        <f t="shared" si="117"/>
        <v>0</v>
      </c>
      <c r="H234">
        <f t="shared" si="118"/>
        <v>0</v>
      </c>
      <c r="I234">
        <f t="shared" si="119"/>
        <v>0</v>
      </c>
      <c r="J234">
        <f t="shared" si="120"/>
        <v>274.402595194784</v>
      </c>
      <c r="K234" s="40">
        <f t="shared" si="121"/>
        <v>43484.7844677966</v>
      </c>
      <c r="L234" s="40">
        <f t="shared" si="122"/>
        <v>43484.7844677966</v>
      </c>
      <c r="M234" s="40">
        <f t="shared" si="123"/>
        <v>43484.7844677966</v>
      </c>
      <c r="N234">
        <v>458.387</v>
      </c>
      <c r="O234">
        <v>454.162</v>
      </c>
      <c r="P234">
        <v>0</v>
      </c>
      <c r="Q234" s="39">
        <f t="shared" si="124"/>
        <v>472836.7471</v>
      </c>
      <c r="R234" s="39">
        <f t="shared" si="125"/>
        <v>3382227.598</v>
      </c>
      <c r="S234" s="39" t="str">
        <f t="shared" si="126"/>
        <v> </v>
      </c>
      <c r="T234" s="39" t="str">
        <f t="shared" si="127"/>
        <v> </v>
      </c>
      <c r="U234" s="39" t="str">
        <f t="shared" si="128"/>
        <v> </v>
      </c>
      <c r="V234" s="39" t="str">
        <f t="shared" si="129"/>
        <v> </v>
      </c>
      <c r="AI234" t="str">
        <f t="array" ref="AI234">IFERROR(INDEX($L$2:$L$789,SMALL(IF(ISNUMBER(FIND($AH$2,$C$2:$C$789)),ROW($2:$789)-1,4^8),ROW(A233)))&amp;"","")</f>
        <v/>
      </c>
      <c r="AT234" t="str">
        <f t="shared" si="130"/>
        <v>472836.7471,3382227.598</v>
      </c>
      <c r="AV234">
        <f t="shared" si="145"/>
        <v>459.662</v>
      </c>
      <c r="AX234" t="str">
        <f t="shared" si="132"/>
        <v>pl 21742.3922338983,279 21742.3922338983,400 </v>
      </c>
      <c r="AY234" t="str">
        <f t="shared" si="133"/>
        <v>21742.3922338983,454.162</v>
      </c>
      <c r="AZ234" t="str">
        <f t="shared" si="134"/>
        <v>21742.3922338983,458.387</v>
      </c>
      <c r="BA234" t="str">
        <f t="shared" si="135"/>
        <v>21742.3922338983,459.662</v>
      </c>
      <c r="BB234" t="str">
        <f t="shared" si="136"/>
        <v>-text 21741.3922338983,337 3.5 90 454.162 </v>
      </c>
      <c r="BC234" t="str">
        <f t="shared" si="137"/>
        <v>-text 21741.3922338983,320 3.5 90 459.662 </v>
      </c>
      <c r="BD234" t="str">
        <f t="shared" si="138"/>
        <v>-text 21741.3922338983,306 3.5 90 458.387 </v>
      </c>
      <c r="BE234" t="str">
        <f t="shared" si="139"/>
        <v>-text 21741.3922338983,352 3.5 90 ZG43+484.784 </v>
      </c>
      <c r="BF234" t="str">
        <f t="shared" si="140"/>
        <v>-text 21741.3922338983,280 3.5 90 凤型湾隧出 </v>
      </c>
      <c r="BG234" t="str">
        <f t="shared" si="141"/>
        <v/>
      </c>
      <c r="BH234" t="str">
        <f t="shared" si="142"/>
        <v> </v>
      </c>
      <c r="BI234" t="str">
        <f t="shared" si="143"/>
        <v> </v>
      </c>
      <c r="BJ234" t="str">
        <f t="shared" si="144"/>
        <v> </v>
      </c>
    </row>
    <row r="235" spans="1:62">
      <c r="A235">
        <v>0</v>
      </c>
      <c r="B235">
        <v>234</v>
      </c>
      <c r="C235" t="s">
        <v>243</v>
      </c>
      <c r="D235" s="39">
        <v>472884.6368</v>
      </c>
      <c r="E235" s="39">
        <v>3382207.9785</v>
      </c>
      <c r="F235">
        <v>80</v>
      </c>
      <c r="G235">
        <f t="shared" si="117"/>
        <v>15.25</v>
      </c>
      <c r="H235">
        <f t="shared" si="118"/>
        <v>10.7098090981329</v>
      </c>
      <c r="I235">
        <f t="shared" si="119"/>
        <v>21.2930168743308</v>
      </c>
      <c r="J235">
        <f t="shared" si="120"/>
        <v>51.7527597944413</v>
      </c>
      <c r="K235" s="40">
        <f t="shared" si="121"/>
        <v>43525.8274184929</v>
      </c>
      <c r="L235" s="40">
        <f t="shared" si="122"/>
        <v>43536.4739269301</v>
      </c>
      <c r="M235" s="40">
        <f t="shared" si="123"/>
        <v>43547.1204353673</v>
      </c>
      <c r="N235">
        <v>458.38</v>
      </c>
      <c r="O235">
        <v>454.134</v>
      </c>
      <c r="P235">
        <v>0.001</v>
      </c>
      <c r="Q235" s="39">
        <f t="shared" si="124"/>
        <v>472874.726419437</v>
      </c>
      <c r="R235" s="39">
        <f t="shared" si="125"/>
        <v>3382212.03859458</v>
      </c>
      <c r="S235" s="39">
        <f t="shared" si="126"/>
        <v>472884.817338832</v>
      </c>
      <c r="T235" s="39">
        <f t="shared" si="127"/>
        <v>3382208.66898332</v>
      </c>
      <c r="U235" s="39">
        <f t="shared" si="128"/>
        <v>472895.266143147</v>
      </c>
      <c r="V235" s="39">
        <f t="shared" si="129"/>
        <v>3382206.66812785</v>
      </c>
      <c r="AI235" t="str">
        <f t="array" ref="AI235">IFERROR(INDEX($L$2:$L$789,SMALL(IF(ISNUMBER(FIND($AH$2,$C$2:$C$789)),ROW($2:$789)-1,4^8),ROW(A234)))&amp;"","")</f>
        <v/>
      </c>
      <c r="AS235" t="str">
        <f>"-text"&amp;" "&amp;D235&amp;","&amp;E235&amp;" "&amp;"10"&amp;" "&amp;"0"&amp;" "&amp;C235</f>
        <v>-text 472884.6368,3382207.9785 10 0 IP117</v>
      </c>
      <c r="AT235" t="str">
        <f t="shared" si="130"/>
        <v>472884.6368,3382207.9785</v>
      </c>
      <c r="AV235">
        <f t="shared" si="145"/>
        <v>459.934</v>
      </c>
      <c r="AX235" t="str">
        <f t="shared" si="132"/>
        <v>pl 21768.2369634651,279 21768.2369634651,400 </v>
      </c>
      <c r="AY235" t="str">
        <f t="shared" si="133"/>
        <v>21768.2369634651,454.134</v>
      </c>
      <c r="AZ235" t="str">
        <f t="shared" si="134"/>
        <v>21768.2369634651,458.38</v>
      </c>
      <c r="BA235" t="str">
        <f t="shared" si="135"/>
        <v>21768.2369634651,459.934</v>
      </c>
      <c r="BB235" t="str">
        <f t="shared" si="136"/>
        <v>-text 21767.2369634651,337 3.5 90 454.134 </v>
      </c>
      <c r="BC235" t="str">
        <f t="shared" si="137"/>
        <v>-text 21767.2369634651,320 3.5 90 459.934 </v>
      </c>
      <c r="BD235" t="str">
        <f t="shared" si="138"/>
        <v>-text 21767.2369634651,306 3.5 90 458.380 </v>
      </c>
      <c r="BE235" t="str">
        <f t="shared" si="139"/>
        <v>-text 21767.2369634651,352 3.5 90 ZG43+536.474 </v>
      </c>
      <c r="BF235" t="str">
        <f t="shared" si="140"/>
        <v>-text 21767.2369634651,280 3.5 90 IP117 </v>
      </c>
      <c r="BG235" t="str">
        <f t="shared" si="141"/>
        <v>-TEXT 21769.2369634651,300 3.5 0 R=80</v>
      </c>
      <c r="BH235" t="str">
        <f t="shared" si="142"/>
        <v>-TEXT 21769.2369634651,295 3.5 0 α=15.25° </v>
      </c>
      <c r="BI235" t="str">
        <f t="shared" si="143"/>
        <v>-TEXT 21769.2369634651,290 3.5 0 T=10.71 </v>
      </c>
      <c r="BJ235" t="str">
        <f t="shared" si="144"/>
        <v>-TEXT 21769.2369634651,285 3.5 0 S=21.29 </v>
      </c>
    </row>
    <row r="236" spans="1:62">
      <c r="A236">
        <v>0</v>
      </c>
      <c r="B236">
        <v>235</v>
      </c>
      <c r="C236" t="s">
        <v>244</v>
      </c>
      <c r="D236" s="39">
        <v>472934.7022</v>
      </c>
      <c r="E236" s="39">
        <v>3382201.8065</v>
      </c>
      <c r="F236">
        <v>80</v>
      </c>
      <c r="G236">
        <f t="shared" si="117"/>
        <v>20.154</v>
      </c>
      <c r="H236">
        <f t="shared" si="118"/>
        <v>14.2170397668072</v>
      </c>
      <c r="I236">
        <f t="shared" si="119"/>
        <v>28.140292595755</v>
      </c>
      <c r="J236">
        <f t="shared" si="120"/>
        <v>50.4444036654738</v>
      </c>
      <c r="K236" s="40">
        <f t="shared" si="121"/>
        <v>43572.6379901678</v>
      </c>
      <c r="L236" s="40">
        <f t="shared" si="122"/>
        <v>43586.7081364657</v>
      </c>
      <c r="M236" s="40">
        <f t="shared" si="123"/>
        <v>43600.7782827636</v>
      </c>
      <c r="N236">
        <v>458.37</v>
      </c>
      <c r="O236">
        <v>454.124</v>
      </c>
      <c r="P236">
        <v>0.001</v>
      </c>
      <c r="Q236" s="39">
        <f t="shared" si="124"/>
        <v>472920.591977041</v>
      </c>
      <c r="R236" s="39">
        <f t="shared" si="125"/>
        <v>3382203.54599067</v>
      </c>
      <c r="S236" s="39">
        <f t="shared" si="126"/>
        <v>472934.333536896</v>
      </c>
      <c r="T236" s="39">
        <f t="shared" si="127"/>
        <v>3382200.60849805</v>
      </c>
      <c r="U236" s="39">
        <f t="shared" si="128"/>
        <v>472947.349144907</v>
      </c>
      <c r="V236" s="39">
        <f t="shared" si="129"/>
        <v>3382195.31196351</v>
      </c>
      <c r="AI236" t="str">
        <f t="array" ref="AI236">IFERROR(INDEX($L$2:$L$789,SMALL(IF(ISNUMBER(FIND($AH$2,$C$2:$C$789)),ROW($2:$789)-1,4^8),ROW(A235)))&amp;"","")</f>
        <v/>
      </c>
      <c r="AS236" t="str">
        <f>"-text"&amp;" "&amp;D236&amp;","&amp;E236&amp;" "&amp;"10"&amp;" "&amp;"0"&amp;" "&amp;C236</f>
        <v>-text 472934.7022,3382201.8065 10 0 IP118</v>
      </c>
      <c r="AT236" t="str">
        <f t="shared" si="130"/>
        <v>472934.7022,3382201.8065</v>
      </c>
      <c r="AV236">
        <f t="shared" si="145"/>
        <v>459.924</v>
      </c>
      <c r="AX236" t="str">
        <f t="shared" si="132"/>
        <v>pl 21793.3540682328,279 21793.3540682328,400 </v>
      </c>
      <c r="AY236" t="str">
        <f t="shared" si="133"/>
        <v>21793.3540682328,454.124</v>
      </c>
      <c r="AZ236" t="str">
        <f t="shared" si="134"/>
        <v>21793.3540682328,458.37</v>
      </c>
      <c r="BA236" t="str">
        <f t="shared" si="135"/>
        <v>21793.3540682328,459.924</v>
      </c>
      <c r="BB236" t="str">
        <f t="shared" si="136"/>
        <v>-text 21792.3540682328,337 3.5 90 454.124 </v>
      </c>
      <c r="BC236" t="str">
        <f t="shared" si="137"/>
        <v>-text 21792.3540682328,320 3.5 90 459.924 </v>
      </c>
      <c r="BD236" t="str">
        <f t="shared" si="138"/>
        <v>-text 21792.3540682328,306 3.5 90 458.370 </v>
      </c>
      <c r="BE236" t="str">
        <f t="shared" si="139"/>
        <v>-text 21792.3540682328,352 3.5 90 ZG43+586.708 </v>
      </c>
      <c r="BF236" t="str">
        <f t="shared" si="140"/>
        <v>-text 21792.3540682328,280 3.5 90 IP118 </v>
      </c>
      <c r="BG236" t="str">
        <f t="shared" si="141"/>
        <v>-TEXT 21794.3540682328,300 3.5 0 R=80</v>
      </c>
      <c r="BH236" t="str">
        <f t="shared" si="142"/>
        <v>-TEXT 21794.3540682328,295 3.5 0 α=20.15° </v>
      </c>
      <c r="BI236" t="str">
        <f t="shared" si="143"/>
        <v>-TEXT 21794.3540682328,290 3.5 0 T=14.22 </v>
      </c>
      <c r="BJ236" t="str">
        <f t="shared" si="144"/>
        <v>-TEXT 21794.3540682328,285 3.5 0 S=28.14 </v>
      </c>
    </row>
    <row r="237" spans="1:62">
      <c r="A237">
        <v>0</v>
      </c>
      <c r="B237">
        <v>236</v>
      </c>
      <c r="C237" t="s">
        <v>245</v>
      </c>
      <c r="D237" s="39">
        <v>473047.9387</v>
      </c>
      <c r="E237" s="39">
        <v>3382143.6566</v>
      </c>
      <c r="F237">
        <v>80</v>
      </c>
      <c r="G237">
        <f t="shared" si="117"/>
        <v>38.926</v>
      </c>
      <c r="H237">
        <f t="shared" si="118"/>
        <v>28.2713589599108</v>
      </c>
      <c r="I237">
        <f t="shared" si="119"/>
        <v>54.350949170505</v>
      </c>
      <c r="J237">
        <f t="shared" si="120"/>
        <v>127.294602408227</v>
      </c>
      <c r="K237" s="40">
        <f t="shared" si="121"/>
        <v>43685.5844864451</v>
      </c>
      <c r="L237" s="40">
        <f t="shared" si="122"/>
        <v>43712.7599610303</v>
      </c>
      <c r="M237" s="40">
        <f t="shared" si="123"/>
        <v>43739.9354356156</v>
      </c>
      <c r="N237">
        <v>458.345</v>
      </c>
      <c r="O237">
        <v>454.099</v>
      </c>
      <c r="P237">
        <v>0.002</v>
      </c>
      <c r="Q237" s="39">
        <f t="shared" si="124"/>
        <v>473022.789560301</v>
      </c>
      <c r="R237" s="39">
        <f t="shared" si="125"/>
        <v>3382156.57134002</v>
      </c>
      <c r="S237" s="39">
        <f t="shared" si="126"/>
        <v>473048.589889899</v>
      </c>
      <c r="T237" s="39">
        <f t="shared" si="127"/>
        <v>3382148.46122943</v>
      </c>
      <c r="U237" s="39">
        <f t="shared" si="128"/>
        <v>473075.618177222</v>
      </c>
      <c r="V237" s="39">
        <f t="shared" si="129"/>
        <v>3382149.41127446</v>
      </c>
      <c r="AI237" t="str">
        <f t="array" ref="AI237">IFERROR(INDEX($L$2:$L$789,SMALL(IF(ISNUMBER(FIND($AH$2,$C$2:$C$789)),ROW($2:$789)-1,4^8),ROW(A236)))&amp;"","")</f>
        <v/>
      </c>
      <c r="AS237" t="str">
        <f>"-text"&amp;" "&amp;D237&amp;","&amp;E237&amp;" "&amp;"10"&amp;" "&amp;"0"&amp;" "&amp;C237</f>
        <v>-text 473047.9387,3382143.6566 10 0 IP119</v>
      </c>
      <c r="AT237" t="str">
        <f t="shared" si="130"/>
        <v>473047.9387,3382143.6566</v>
      </c>
      <c r="AV237">
        <f t="shared" si="145"/>
        <v>459.899</v>
      </c>
      <c r="AX237" t="str">
        <f t="shared" si="132"/>
        <v>pl 21856.3799805152,279 21856.3799805152,400 </v>
      </c>
      <c r="AY237" t="str">
        <f t="shared" si="133"/>
        <v>21856.3799805152,454.099</v>
      </c>
      <c r="AZ237" t="str">
        <f t="shared" si="134"/>
        <v>21856.3799805152,458.345</v>
      </c>
      <c r="BA237" t="str">
        <f t="shared" si="135"/>
        <v>21856.3799805152,459.899</v>
      </c>
      <c r="BB237" t="str">
        <f t="shared" si="136"/>
        <v>-text 21855.3799805152,337 3.5 90 454.099 </v>
      </c>
      <c r="BC237" t="str">
        <f t="shared" si="137"/>
        <v>-text 21855.3799805152,320 3.5 90 459.899 </v>
      </c>
      <c r="BD237" t="str">
        <f t="shared" si="138"/>
        <v>-text 21855.3799805152,306 3.5 90 458.345 </v>
      </c>
      <c r="BE237" t="str">
        <f t="shared" si="139"/>
        <v>-text 21855.3799805152,352 3.5 90 ZG43+712.760 </v>
      </c>
      <c r="BF237" t="str">
        <f t="shared" si="140"/>
        <v>-text 21855.3799805152,280 3.5 90 IP119 </v>
      </c>
      <c r="BG237" t="str">
        <f t="shared" si="141"/>
        <v>-TEXT 21857.3799805152,300 3.5 0 R=80</v>
      </c>
      <c r="BH237" t="str">
        <f t="shared" si="142"/>
        <v>-TEXT 21857.3799805152,295 3.5 0 α=38.93° </v>
      </c>
      <c r="BI237" t="str">
        <f t="shared" si="143"/>
        <v>-TEXT 21857.3799805152,290 3.5 0 T=28.27 </v>
      </c>
      <c r="BJ237" t="str">
        <f t="shared" si="144"/>
        <v>-TEXT 21857.3799805152,285 3.5 0 S=54.35 </v>
      </c>
    </row>
    <row r="238" spans="1:62">
      <c r="A238">
        <v>0</v>
      </c>
      <c r="B238">
        <v>237</v>
      </c>
      <c r="C238" t="s">
        <v>246</v>
      </c>
      <c r="D238" s="39">
        <v>473101.9391</v>
      </c>
      <c r="E238" s="39">
        <v>3382154.8835</v>
      </c>
      <c r="F238">
        <v>80</v>
      </c>
      <c r="G238">
        <f t="shared" si="117"/>
        <v>24.154</v>
      </c>
      <c r="H238">
        <f t="shared" si="118"/>
        <v>17.1169268276952</v>
      </c>
      <c r="I238">
        <f t="shared" si="119"/>
        <v>33.7253462021368</v>
      </c>
      <c r="J238">
        <f t="shared" si="120"/>
        <v>55.1551129431793</v>
      </c>
      <c r="K238" s="40">
        <f t="shared" si="121"/>
        <v>43749.7022627712</v>
      </c>
      <c r="L238" s="40">
        <f t="shared" si="122"/>
        <v>43766.5649358722</v>
      </c>
      <c r="M238" s="40">
        <f t="shared" si="123"/>
        <v>43783.4276089733</v>
      </c>
      <c r="N238">
        <v>458.334</v>
      </c>
      <c r="O238">
        <v>454.088</v>
      </c>
      <c r="P238">
        <v>0.001</v>
      </c>
      <c r="Q238" s="39">
        <f t="shared" si="124"/>
        <v>473085.180528652</v>
      </c>
      <c r="R238" s="39">
        <f t="shared" si="125"/>
        <v>3382151.39932572</v>
      </c>
      <c r="S238" s="39">
        <f t="shared" si="126"/>
        <v>473101.92859449</v>
      </c>
      <c r="T238" s="39">
        <f t="shared" si="127"/>
        <v>3382153.07281918</v>
      </c>
      <c r="U238" s="39">
        <f t="shared" si="128"/>
        <v>473118.656114337</v>
      </c>
      <c r="V238" s="39">
        <f t="shared" si="129"/>
        <v>3382151.20510148</v>
      </c>
      <c r="AI238" t="str">
        <f t="array" ref="AI238">IFERROR(INDEX($L$2:$L$789,SMALL(IF(ISNUMBER(FIND($AH$2,$C$2:$C$789)),ROW($2:$789)-1,4^8),ROW(A237)))&amp;"","")</f>
        <v/>
      </c>
      <c r="AS238" t="str">
        <f>"-text"&amp;" "&amp;D238&amp;","&amp;E238&amp;" "&amp;"10"&amp;" "&amp;"0"&amp;" "&amp;C238</f>
        <v>-text 473101.9391,3382154.8835 10 0 IP120</v>
      </c>
      <c r="AT238" t="str">
        <f t="shared" si="130"/>
        <v>473101.9391,3382154.8835</v>
      </c>
      <c r="AV238">
        <f t="shared" si="145"/>
        <v>459.888</v>
      </c>
      <c r="AX238" t="str">
        <f t="shared" si="132"/>
        <v>pl 21883.2824679361,279 21883.2824679361,400 </v>
      </c>
      <c r="AY238" t="str">
        <f t="shared" si="133"/>
        <v>21883.2824679361,454.088</v>
      </c>
      <c r="AZ238" t="str">
        <f t="shared" si="134"/>
        <v>21883.2824679361,458.334</v>
      </c>
      <c r="BA238" t="str">
        <f t="shared" si="135"/>
        <v>21883.2824679361,459.888</v>
      </c>
      <c r="BB238" t="str">
        <f t="shared" si="136"/>
        <v>-text 21882.2824679361,337 3.5 90 454.088 </v>
      </c>
      <c r="BC238" t="str">
        <f t="shared" si="137"/>
        <v>-text 21882.2824679361,320 3.5 90 459.888 </v>
      </c>
      <c r="BD238" t="str">
        <f t="shared" si="138"/>
        <v>-text 21882.2824679361,306 3.5 90 458.334 </v>
      </c>
      <c r="BE238" t="str">
        <f t="shared" si="139"/>
        <v>-text 21882.2824679361,352 3.5 90 ZG43+766.565 </v>
      </c>
      <c r="BF238" t="str">
        <f t="shared" si="140"/>
        <v>-text 21882.2824679361,280 3.5 90 IP120 </v>
      </c>
      <c r="BG238" t="str">
        <f t="shared" si="141"/>
        <v>-TEXT 21884.2824679361,300 3.5 0 R=80</v>
      </c>
      <c r="BH238" t="str">
        <f t="shared" si="142"/>
        <v>-TEXT 21884.2824679361,295 3.5 0 α=24.15° </v>
      </c>
      <c r="BI238" t="str">
        <f t="shared" si="143"/>
        <v>-TEXT 21884.2824679361,290 3.5 0 T=17.12 </v>
      </c>
      <c r="BJ238" t="str">
        <f t="shared" si="144"/>
        <v>-TEXT 21884.2824679361,285 3.5 0 S=33.73 </v>
      </c>
    </row>
    <row r="239" spans="1:62">
      <c r="A239">
        <v>0</v>
      </c>
      <c r="B239">
        <v>238</v>
      </c>
      <c r="C239" t="s">
        <v>247</v>
      </c>
      <c r="D239" s="39">
        <v>473165.76</v>
      </c>
      <c r="E239" s="39">
        <v>3382140.8404</v>
      </c>
      <c r="F239">
        <v>80</v>
      </c>
      <c r="G239">
        <f t="shared" si="117"/>
        <v>13.703</v>
      </c>
      <c r="H239">
        <f t="shared" si="118"/>
        <v>9.61236029901776</v>
      </c>
      <c r="I239">
        <f t="shared" si="119"/>
        <v>19.1329973920626</v>
      </c>
      <c r="J239">
        <f t="shared" si="120"/>
        <v>65.3476543910791</v>
      </c>
      <c r="K239" s="40">
        <f t="shared" si="121"/>
        <v>43822.0459762377</v>
      </c>
      <c r="L239" s="40">
        <f t="shared" si="122"/>
        <v>43831.6124749337</v>
      </c>
      <c r="M239" s="40">
        <f t="shared" si="123"/>
        <v>43841.1789736297</v>
      </c>
      <c r="N239">
        <v>458.321</v>
      </c>
      <c r="O239">
        <v>454.075</v>
      </c>
      <c r="P239">
        <v>0.001</v>
      </c>
      <c r="Q239" s="39">
        <f t="shared" si="124"/>
        <v>473156.372218738</v>
      </c>
      <c r="R239" s="39">
        <f t="shared" si="125"/>
        <v>3382142.90607991</v>
      </c>
      <c r="S239" s="39">
        <f t="shared" si="126"/>
        <v>473165.570192191</v>
      </c>
      <c r="T239" s="39">
        <f t="shared" si="127"/>
        <v>3382140.29720595</v>
      </c>
      <c r="U239" s="39">
        <f t="shared" si="128"/>
        <v>473174.391260982</v>
      </c>
      <c r="V239" s="39">
        <f t="shared" si="129"/>
        <v>3382136.60970214</v>
      </c>
      <c r="AI239" t="str">
        <f t="array" ref="AI239">IFERROR(INDEX($L$2:$L$789,SMALL(IF(ISNUMBER(FIND($AH$2,$C$2:$C$789)),ROW($2:$789)-1,4^8),ROW(A238)))&amp;"","")</f>
        <v/>
      </c>
      <c r="AS239" t="str">
        <f>"-text"&amp;" "&amp;D239&amp;","&amp;E239&amp;" "&amp;"10"&amp;" "&amp;"0"&amp;" "&amp;C239</f>
        <v>-text 473165.76,3382140.8404 10 0 IP121</v>
      </c>
      <c r="AT239" t="str">
        <f t="shared" si="130"/>
        <v>473165.76,3382140.8404</v>
      </c>
      <c r="AV239">
        <f t="shared" si="145"/>
        <v>459.875</v>
      </c>
      <c r="AX239" t="str">
        <f t="shared" si="132"/>
        <v>pl 21915.8062374668,279 21915.8062374668,400 </v>
      </c>
      <c r="AY239" t="str">
        <f t="shared" si="133"/>
        <v>21915.8062374668,454.075</v>
      </c>
      <c r="AZ239" t="str">
        <f t="shared" si="134"/>
        <v>21915.8062374668,458.321</v>
      </c>
      <c r="BA239" t="str">
        <f t="shared" si="135"/>
        <v>21915.8062374668,459.875</v>
      </c>
      <c r="BB239" t="str">
        <f t="shared" si="136"/>
        <v>-text 21914.8062374668,337 3.5 90 454.075 </v>
      </c>
      <c r="BC239" t="str">
        <f t="shared" si="137"/>
        <v>-text 21914.8062374668,320 3.5 90 459.875 </v>
      </c>
      <c r="BD239" t="str">
        <f t="shared" si="138"/>
        <v>-text 21914.8062374668,306 3.5 90 458.321 </v>
      </c>
      <c r="BE239" t="str">
        <f t="shared" si="139"/>
        <v>-text 21914.8062374668,352 3.5 90 ZG43+831.612 </v>
      </c>
      <c r="BF239" t="str">
        <f t="shared" si="140"/>
        <v>-text 21914.8062374668,280 3.5 90 IP121 </v>
      </c>
      <c r="BG239" t="str">
        <f t="shared" si="141"/>
        <v>-TEXT 21916.8062374668,300 3.5 0 R=80</v>
      </c>
      <c r="BH239" t="str">
        <f t="shared" si="142"/>
        <v>-TEXT 21916.8062374668,295 3.5 0 α=13.70° </v>
      </c>
      <c r="BI239" t="str">
        <f t="shared" si="143"/>
        <v>-TEXT 21916.8062374668,290 3.5 0 T=9.61 </v>
      </c>
      <c r="BJ239" t="str">
        <f t="shared" si="144"/>
        <v>-TEXT 21916.8062374668,285 3.5 0 S=19.13 </v>
      </c>
    </row>
    <row r="240" spans="1:62">
      <c r="A240">
        <v>1</v>
      </c>
      <c r="B240">
        <v>239</v>
      </c>
      <c r="C240" t="str">
        <f>Sheet1!C228</f>
        <v>花果山隧进</v>
      </c>
      <c r="D240" s="39">
        <v>473232.497</v>
      </c>
      <c r="E240" s="39">
        <v>3382108.1286</v>
      </c>
      <c r="G240">
        <f t="shared" si="117"/>
        <v>0</v>
      </c>
      <c r="H240">
        <f t="shared" si="118"/>
        <v>0</v>
      </c>
      <c r="I240">
        <f t="shared" si="119"/>
        <v>0</v>
      </c>
      <c r="J240">
        <f t="shared" si="120"/>
        <v>74.3228701561373</v>
      </c>
      <c r="K240" s="40">
        <f t="shared" si="121"/>
        <v>43905.8894834868</v>
      </c>
      <c r="L240" s="40">
        <f t="shared" si="122"/>
        <v>43905.8894834868</v>
      </c>
      <c r="M240" s="40">
        <f t="shared" si="123"/>
        <v>43905.8894834868</v>
      </c>
      <c r="N240">
        <v>458.303</v>
      </c>
      <c r="O240">
        <v>454.078</v>
      </c>
      <c r="P240">
        <v>0</v>
      </c>
      <c r="Q240" s="39">
        <f t="shared" si="124"/>
        <v>473232.497</v>
      </c>
      <c r="R240" s="39">
        <f t="shared" si="125"/>
        <v>3382108.1286</v>
      </c>
      <c r="S240" s="39" t="str">
        <f t="shared" si="126"/>
        <v> </v>
      </c>
      <c r="T240" s="39" t="str">
        <f t="shared" si="127"/>
        <v> </v>
      </c>
      <c r="U240" s="39" t="str">
        <f t="shared" si="128"/>
        <v> </v>
      </c>
      <c r="V240" s="39" t="str">
        <f t="shared" si="129"/>
        <v> </v>
      </c>
      <c r="AI240" t="str">
        <f t="array" ref="AI240">IFERROR(INDEX($L$2:$L$789,SMALL(IF(ISNUMBER(FIND($AH$2,$C$2:$C$789)),ROW($2:$789)-1,4^8),ROW(A239)))&amp;"","")</f>
        <v/>
      </c>
      <c r="AT240" t="str">
        <f t="shared" si="130"/>
        <v>473232.497,3382108.1286</v>
      </c>
      <c r="AV240">
        <f t="shared" si="145"/>
        <v>459.578</v>
      </c>
      <c r="AX240" t="str">
        <f t="shared" si="132"/>
        <v>pl 21952.9447417434,279 21952.9447417434,400 </v>
      </c>
      <c r="AY240" t="str">
        <f t="shared" si="133"/>
        <v>21952.9447417434,454.078</v>
      </c>
      <c r="AZ240" t="str">
        <f t="shared" si="134"/>
        <v>21952.9447417434,458.303</v>
      </c>
      <c r="BA240" t="str">
        <f t="shared" si="135"/>
        <v>21952.9447417434,459.578</v>
      </c>
      <c r="BB240" t="str">
        <f t="shared" si="136"/>
        <v>-text 21951.9447417434,337 3.5 90 454.078 </v>
      </c>
      <c r="BC240" t="str">
        <f t="shared" si="137"/>
        <v>-text 21951.9447417434,320 3.5 90 459.578 </v>
      </c>
      <c r="BD240" t="str">
        <f t="shared" si="138"/>
        <v>-text 21951.9447417434,306 3.5 90 458.303 </v>
      </c>
      <c r="BE240" t="str">
        <f t="shared" si="139"/>
        <v>-text 21951.9447417434,352 3.5 90 ZG43+905.889 </v>
      </c>
      <c r="BF240" t="str">
        <f t="shared" si="140"/>
        <v>-text 21951.9447417434,280 3.5 90 花果山隧进 </v>
      </c>
      <c r="BG240" t="str">
        <f t="shared" si="141"/>
        <v/>
      </c>
      <c r="BH240" t="str">
        <f t="shared" si="142"/>
        <v> </v>
      </c>
      <c r="BI240" t="str">
        <f t="shared" si="143"/>
        <v> </v>
      </c>
      <c r="BJ240" t="str">
        <f t="shared" si="144"/>
        <v> </v>
      </c>
    </row>
    <row r="241" spans="1:62">
      <c r="A241">
        <v>1</v>
      </c>
      <c r="B241">
        <v>240</v>
      </c>
      <c r="C241" t="s">
        <v>249</v>
      </c>
      <c r="D241" s="39">
        <v>473297.327</v>
      </c>
      <c r="E241" s="39">
        <v>3382076.3516</v>
      </c>
      <c r="F241">
        <v>80</v>
      </c>
      <c r="G241">
        <f t="shared" si="117"/>
        <v>27.76</v>
      </c>
      <c r="H241">
        <f t="shared" si="118"/>
        <v>19.7683654897572</v>
      </c>
      <c r="I241">
        <f t="shared" si="119"/>
        <v>38.7602720282901</v>
      </c>
      <c r="J241">
        <f t="shared" si="120"/>
        <v>72.1990763721215</v>
      </c>
      <c r="K241" s="40">
        <f t="shared" si="121"/>
        <v>43958.3201943692</v>
      </c>
      <c r="L241" s="40">
        <f t="shared" si="122"/>
        <v>43977.7003303834</v>
      </c>
      <c r="M241" s="40">
        <f t="shared" si="123"/>
        <v>43997.0804663975</v>
      </c>
      <c r="N241">
        <v>458.289</v>
      </c>
      <c r="O241">
        <v>454.064</v>
      </c>
      <c r="P241">
        <v>0.001</v>
      </c>
      <c r="Q241" s="39">
        <f t="shared" si="124"/>
        <v>473279.576313993</v>
      </c>
      <c r="R241" s="39">
        <f t="shared" si="125"/>
        <v>3382085.05225632</v>
      </c>
      <c r="S241" s="39">
        <f t="shared" si="126"/>
        <v>473297.836819962</v>
      </c>
      <c r="T241" s="39">
        <f t="shared" si="127"/>
        <v>3382078.70319302</v>
      </c>
      <c r="U241" s="39">
        <f t="shared" si="128"/>
        <v>473317.087192654</v>
      </c>
      <c r="V241" s="39">
        <f t="shared" si="129"/>
        <v>3382076.91998405</v>
      </c>
      <c r="AI241" t="str">
        <f t="array" ref="AI241">IFERROR(INDEX($L$2:$L$789,SMALL(IF(ISNUMBER(FIND($AH$2,$C$2:$C$789)),ROW($2:$789)-1,4^8),ROW(A240)))&amp;"","")</f>
        <v/>
      </c>
      <c r="AS241" t="str">
        <f>"-text"&amp;" "&amp;D241&amp;","&amp;E241&amp;" "&amp;"10"&amp;" "&amp;"0"&amp;" "&amp;C241</f>
        <v>-text 473297.327,3382076.3516 10 0 IP122</v>
      </c>
      <c r="AT241" t="str">
        <f t="shared" si="130"/>
        <v>473297.327,3382076.3516</v>
      </c>
      <c r="AV241">
        <f t="shared" si="145"/>
        <v>459.564</v>
      </c>
      <c r="AX241" t="str">
        <f t="shared" si="132"/>
        <v>pl 21988.8501651917,279 21988.8501651917,400 </v>
      </c>
      <c r="AY241" t="str">
        <f t="shared" si="133"/>
        <v>21988.8501651917,454.064</v>
      </c>
      <c r="AZ241" t="str">
        <f t="shared" si="134"/>
        <v>21988.8501651917,458.289</v>
      </c>
      <c r="BA241" t="str">
        <f t="shared" si="135"/>
        <v>21988.8501651917,459.564</v>
      </c>
      <c r="BB241" t="str">
        <f t="shared" si="136"/>
        <v>-text 21987.8501651917,337 3.5 90 454.064 </v>
      </c>
      <c r="BC241" t="str">
        <f t="shared" si="137"/>
        <v>-text 21987.8501651917,320 3.5 90 459.564 </v>
      </c>
      <c r="BD241" t="str">
        <f t="shared" si="138"/>
        <v>-text 21987.8501651917,306 3.5 90 458.289 </v>
      </c>
      <c r="BE241" t="str">
        <f t="shared" si="139"/>
        <v>-text 21987.8501651917,352 3.5 90 ZG43+977.700 </v>
      </c>
      <c r="BF241" t="str">
        <f t="shared" si="140"/>
        <v>-text 21987.8501651917,280 3.5 90 IP122 </v>
      </c>
      <c r="BG241" t="str">
        <f t="shared" si="141"/>
        <v>-TEXT 21989.8501651917,300 3.5 0 R=80</v>
      </c>
      <c r="BH241" t="str">
        <f t="shared" si="142"/>
        <v>-TEXT 21989.8501651917,295 3.5 0 α=27.76° </v>
      </c>
      <c r="BI241" t="str">
        <f t="shared" si="143"/>
        <v>-TEXT 21989.8501651917,290 3.5 0 T=19.77 </v>
      </c>
      <c r="BJ241" t="str">
        <f t="shared" si="144"/>
        <v>-TEXT 21989.8501651917,285 3.5 0 S=38.76 </v>
      </c>
    </row>
    <row r="242" spans="1:62">
      <c r="A242">
        <v>1</v>
      </c>
      <c r="B242">
        <v>241</v>
      </c>
      <c r="C242" t="str">
        <f>Sheet1!C230</f>
        <v>花果山隧出</v>
      </c>
      <c r="D242" s="39">
        <v>473584.3967</v>
      </c>
      <c r="E242" s="39">
        <v>3382084.6089</v>
      </c>
      <c r="G242">
        <f t="shared" si="117"/>
        <v>0</v>
      </c>
      <c r="H242">
        <f t="shared" si="118"/>
        <v>0</v>
      </c>
      <c r="I242">
        <f t="shared" si="119"/>
        <v>0</v>
      </c>
      <c r="J242">
        <f t="shared" si="120"/>
        <v>287.188432325139</v>
      </c>
      <c r="K242" s="40">
        <f t="shared" si="121"/>
        <v>44264.5005332329</v>
      </c>
      <c r="L242" s="40">
        <f t="shared" si="122"/>
        <v>44264.5005332329</v>
      </c>
      <c r="M242" s="40">
        <f t="shared" si="123"/>
        <v>44264.5005332329</v>
      </c>
      <c r="N242">
        <v>458.236</v>
      </c>
      <c r="O242">
        <v>454.011</v>
      </c>
      <c r="P242">
        <v>0</v>
      </c>
      <c r="Q242" s="39">
        <f t="shared" si="124"/>
        <v>473584.3967</v>
      </c>
      <c r="R242" s="39">
        <f t="shared" si="125"/>
        <v>3382084.6089</v>
      </c>
      <c r="S242" s="39" t="str">
        <f t="shared" si="126"/>
        <v> </v>
      </c>
      <c r="T242" s="39" t="str">
        <f t="shared" si="127"/>
        <v> </v>
      </c>
      <c r="U242" s="39" t="str">
        <f t="shared" si="128"/>
        <v> </v>
      </c>
      <c r="V242" s="39" t="str">
        <f t="shared" si="129"/>
        <v> </v>
      </c>
      <c r="AI242" t="str">
        <f t="array" ref="AI242">IFERROR(INDEX($L$2:$L$789,SMALL(IF(ISNUMBER(FIND($AH$2,$C$2:$C$789)),ROW($2:$789)-1,4^8),ROW(A241)))&amp;"","")</f>
        <v/>
      </c>
      <c r="AT242" t="str">
        <f t="shared" si="130"/>
        <v>473584.3967,3382084.6089</v>
      </c>
      <c r="AV242">
        <f t="shared" si="145"/>
        <v>459.511</v>
      </c>
      <c r="AX242" t="str">
        <f t="shared" si="132"/>
        <v>pl 22132.2502666164,279 22132.2502666164,400 </v>
      </c>
      <c r="AY242" t="str">
        <f t="shared" si="133"/>
        <v>22132.2502666164,454.011</v>
      </c>
      <c r="AZ242" t="str">
        <f t="shared" si="134"/>
        <v>22132.2502666164,458.236</v>
      </c>
      <c r="BA242" t="str">
        <f t="shared" si="135"/>
        <v>22132.2502666164,459.511</v>
      </c>
      <c r="BB242" t="str">
        <f t="shared" si="136"/>
        <v>-text 22131.2502666164,337 3.5 90 454.011 </v>
      </c>
      <c r="BC242" t="str">
        <f t="shared" si="137"/>
        <v>-text 22131.2502666164,320 3.5 90 459.511 </v>
      </c>
      <c r="BD242" t="str">
        <f t="shared" si="138"/>
        <v>-text 22131.2502666164,306 3.5 90 458.236 </v>
      </c>
      <c r="BE242" t="str">
        <f t="shared" si="139"/>
        <v>-text 22131.2502666164,352 3.5 90 ZG44+264.501 </v>
      </c>
      <c r="BF242" t="str">
        <f t="shared" si="140"/>
        <v>-text 22131.2502666164,280 3.5 90 花果山隧出 </v>
      </c>
      <c r="BG242" t="str">
        <f t="shared" si="141"/>
        <v/>
      </c>
      <c r="BH242" t="str">
        <f t="shared" si="142"/>
        <v> </v>
      </c>
      <c r="BI242" t="str">
        <f t="shared" si="143"/>
        <v> </v>
      </c>
      <c r="BJ242" t="str">
        <f t="shared" si="144"/>
        <v> </v>
      </c>
    </row>
    <row r="243" spans="1:62">
      <c r="A243">
        <v>0</v>
      </c>
      <c r="B243">
        <v>242</v>
      </c>
      <c r="C243" t="s">
        <v>251</v>
      </c>
      <c r="D243" s="39">
        <v>473610.4372</v>
      </c>
      <c r="E243" s="39">
        <v>3382085.3579</v>
      </c>
      <c r="F243">
        <v>80</v>
      </c>
      <c r="G243">
        <f t="shared" si="117"/>
        <v>8.481</v>
      </c>
      <c r="H243">
        <f t="shared" si="118"/>
        <v>5.93168934933863</v>
      </c>
      <c r="I243">
        <f t="shared" si="119"/>
        <v>11.8417099089311</v>
      </c>
      <c r="J243">
        <f t="shared" si="120"/>
        <v>26.0512694748375</v>
      </c>
      <c r="K243" s="40">
        <f t="shared" si="121"/>
        <v>44284.6201133584</v>
      </c>
      <c r="L243" s="40">
        <f t="shared" si="122"/>
        <v>44290.5409683128</v>
      </c>
      <c r="M243" s="40">
        <f t="shared" si="123"/>
        <v>44296.4618232673</v>
      </c>
      <c r="N243">
        <v>458.235</v>
      </c>
      <c r="O243">
        <v>453.989</v>
      </c>
      <c r="P243">
        <v>0</v>
      </c>
      <c r="Q243" s="39">
        <f t="shared" si="124"/>
        <v>473604.507962784</v>
      </c>
      <c r="R243" s="39">
        <f t="shared" si="125"/>
        <v>3382085.18735801</v>
      </c>
      <c r="S243" s="39">
        <f t="shared" si="126"/>
        <v>473610.414674175</v>
      </c>
      <c r="T243" s="39">
        <f t="shared" si="127"/>
        <v>3382085.57633318</v>
      </c>
      <c r="U243" s="39">
        <f t="shared" si="128"/>
        <v>473616.276457247</v>
      </c>
      <c r="V243" s="39">
        <f t="shared" si="129"/>
        <v>3382086.40097878</v>
      </c>
      <c r="AI243" t="str">
        <f t="array" ref="AI243">IFERROR(INDEX($L$2:$L$789,SMALL(IF(ISNUMBER(FIND($AH$2,$C$2:$C$789)),ROW($2:$789)-1,4^8),ROW(A242)))&amp;"","")</f>
        <v/>
      </c>
      <c r="AS243" t="str">
        <f>"-text"&amp;" "&amp;D243&amp;","&amp;E243&amp;" "&amp;"10"&amp;" "&amp;"0"&amp;" "&amp;C243</f>
        <v>-text 473610.4372,3382085.3579 10 0 IP123</v>
      </c>
      <c r="AT243" t="str">
        <f t="shared" si="130"/>
        <v>473610.4372,3382085.3579</v>
      </c>
      <c r="AV243">
        <f t="shared" si="145"/>
        <v>459.789</v>
      </c>
      <c r="AX243" t="str">
        <f t="shared" si="132"/>
        <v>pl 22145.2704841564,279 22145.2704841564,400 </v>
      </c>
      <c r="AY243" t="str">
        <f t="shared" si="133"/>
        <v>22145.2704841564,453.989</v>
      </c>
      <c r="AZ243" t="str">
        <f t="shared" si="134"/>
        <v>22145.2704841564,458.235</v>
      </c>
      <c r="BA243" t="str">
        <f t="shared" si="135"/>
        <v>22145.2704841564,459.789</v>
      </c>
      <c r="BB243" t="str">
        <f t="shared" si="136"/>
        <v>-text 22144.2704841564,337 3.5 90 453.989 </v>
      </c>
      <c r="BC243" t="str">
        <f t="shared" si="137"/>
        <v>-text 22144.2704841564,320 3.5 90 459.789 </v>
      </c>
      <c r="BD243" t="str">
        <f t="shared" si="138"/>
        <v>-text 22144.2704841564,306 3.5 90 458.235 </v>
      </c>
      <c r="BE243" t="str">
        <f t="shared" si="139"/>
        <v>-text 22144.2704841564,352 3.5 90 ZG44+290.541 </v>
      </c>
      <c r="BF243" t="str">
        <f t="shared" si="140"/>
        <v>-text 22144.2704841564,280 3.5 90 IP123 </v>
      </c>
      <c r="BG243" t="str">
        <f t="shared" si="141"/>
        <v>-TEXT 22146.2704841564,300 3.5 0 R=80</v>
      </c>
      <c r="BH243" t="str">
        <f t="shared" si="142"/>
        <v>-TEXT 22146.2704841564,295 3.5 0 α=8.48° </v>
      </c>
      <c r="BI243" t="str">
        <f t="shared" si="143"/>
        <v>-TEXT 22146.2704841564,290 3.5 0 T=5.93 </v>
      </c>
      <c r="BJ243" t="str">
        <f t="shared" si="144"/>
        <v>-TEXT 22146.2704841564,285 3.5 0 S=11.84 </v>
      </c>
    </row>
    <row r="244" spans="1:62">
      <c r="A244">
        <v>0</v>
      </c>
      <c r="B244">
        <v>243</v>
      </c>
      <c r="C244" t="s">
        <v>252</v>
      </c>
      <c r="D244" s="39">
        <v>473670.7164</v>
      </c>
      <c r="E244" s="39">
        <v>3382096.1257</v>
      </c>
      <c r="F244">
        <v>80</v>
      </c>
      <c r="G244">
        <f t="shared" si="117"/>
        <v>17.027</v>
      </c>
      <c r="H244">
        <f t="shared" si="118"/>
        <v>11.975351358993</v>
      </c>
      <c r="I244">
        <f t="shared" si="119"/>
        <v>23.774176938966</v>
      </c>
      <c r="J244">
        <f t="shared" si="120"/>
        <v>61.2333852524866</v>
      </c>
      <c r="K244" s="40">
        <f t="shared" si="121"/>
        <v>44339.7881678115</v>
      </c>
      <c r="L244" s="40">
        <f t="shared" si="122"/>
        <v>44351.675256281</v>
      </c>
      <c r="M244" s="40">
        <f t="shared" si="123"/>
        <v>44363.5623447504</v>
      </c>
      <c r="N244">
        <v>458.223</v>
      </c>
      <c r="O244">
        <v>453.977</v>
      </c>
      <c r="P244">
        <v>0.001</v>
      </c>
      <c r="Q244" s="39">
        <f t="shared" si="124"/>
        <v>473658.927657688</v>
      </c>
      <c r="R244" s="39">
        <f t="shared" si="125"/>
        <v>3382094.01985222</v>
      </c>
      <c r="S244" s="39">
        <f t="shared" si="126"/>
        <v>473670.741514928</v>
      </c>
      <c r="T244" s="39">
        <f t="shared" si="127"/>
        <v>3382095.23472214</v>
      </c>
      <c r="U244" s="39">
        <f t="shared" si="128"/>
        <v>473682.605048543</v>
      </c>
      <c r="V244" s="39">
        <f t="shared" si="129"/>
        <v>3382094.68727169</v>
      </c>
      <c r="AI244" t="str">
        <f t="array" ref="AI244">IFERROR(INDEX($L$2:$L$789,SMALL(IF(ISNUMBER(FIND($AH$2,$C$2:$C$789)),ROW($2:$789)-1,4^8),ROW(A243)))&amp;"","")</f>
        <v/>
      </c>
      <c r="AS244" t="str">
        <f>"-text"&amp;" "&amp;D244&amp;","&amp;E244&amp;" "&amp;"10"&amp;" "&amp;"0"&amp;" "&amp;C244</f>
        <v>-text 473670.7164,3382096.1257 10 0 IP124</v>
      </c>
      <c r="AT244" t="str">
        <f t="shared" si="130"/>
        <v>473670.7164,3382096.1257</v>
      </c>
      <c r="AV244">
        <f t="shared" si="145"/>
        <v>459.777</v>
      </c>
      <c r="AX244" t="str">
        <f t="shared" si="132"/>
        <v>pl 22175.8376281405,279 22175.8376281405,400 </v>
      </c>
      <c r="AY244" t="str">
        <f t="shared" si="133"/>
        <v>22175.8376281405,453.977</v>
      </c>
      <c r="AZ244" t="str">
        <f t="shared" si="134"/>
        <v>22175.8376281405,458.223</v>
      </c>
      <c r="BA244" t="str">
        <f t="shared" si="135"/>
        <v>22175.8376281405,459.777</v>
      </c>
      <c r="BB244" t="str">
        <f t="shared" si="136"/>
        <v>-text 22174.8376281405,337 3.5 90 453.977 </v>
      </c>
      <c r="BC244" t="str">
        <f t="shared" si="137"/>
        <v>-text 22174.8376281405,320 3.5 90 459.777 </v>
      </c>
      <c r="BD244" t="str">
        <f t="shared" si="138"/>
        <v>-text 22174.8376281405,306 3.5 90 458.223 </v>
      </c>
      <c r="BE244" t="str">
        <f t="shared" si="139"/>
        <v>-text 22174.8376281405,352 3.5 90 ZG44+351.675 </v>
      </c>
      <c r="BF244" t="str">
        <f t="shared" si="140"/>
        <v>-text 22174.8376281405,280 3.5 90 IP124 </v>
      </c>
      <c r="BG244" t="str">
        <f t="shared" si="141"/>
        <v>-TEXT 22176.8376281405,300 3.5 0 R=80</v>
      </c>
      <c r="BH244" t="str">
        <f t="shared" si="142"/>
        <v>-TEXT 22176.8376281405,295 3.5 0 α=17.03° </v>
      </c>
      <c r="BI244" t="str">
        <f t="shared" si="143"/>
        <v>-TEXT 22176.8376281405,290 3.5 0 T=11.98 </v>
      </c>
      <c r="BJ244" t="str">
        <f t="shared" si="144"/>
        <v>-TEXT 22176.8376281405,285 3.5 0 S=23.77 </v>
      </c>
    </row>
    <row r="245" spans="1:62">
      <c r="A245">
        <v>0</v>
      </c>
      <c r="B245">
        <v>244</v>
      </c>
      <c r="C245" t="s">
        <v>253</v>
      </c>
      <c r="D245" s="39">
        <v>473763.1194</v>
      </c>
      <c r="E245" s="39">
        <v>3382084.9457</v>
      </c>
      <c r="F245">
        <v>80</v>
      </c>
      <c r="G245">
        <f t="shared" si="117"/>
        <v>12.508</v>
      </c>
      <c r="H245">
        <f t="shared" si="118"/>
        <v>8.76707701946623</v>
      </c>
      <c r="I245">
        <f t="shared" si="119"/>
        <v>17.4644626271561</v>
      </c>
      <c r="J245">
        <f t="shared" si="120"/>
        <v>93.0768865455483</v>
      </c>
      <c r="K245" s="40">
        <f t="shared" si="121"/>
        <v>44435.8968029175</v>
      </c>
      <c r="L245" s="40">
        <f t="shared" si="122"/>
        <v>44444.6290342311</v>
      </c>
      <c r="M245" s="40">
        <f t="shared" si="123"/>
        <v>44453.3612655447</v>
      </c>
      <c r="N245">
        <v>458.205</v>
      </c>
      <c r="O245">
        <v>453.959</v>
      </c>
      <c r="P245">
        <v>0.001</v>
      </c>
      <c r="Q245" s="39">
        <f t="shared" si="124"/>
        <v>473754.415797549</v>
      </c>
      <c r="R245" s="39">
        <f t="shared" si="125"/>
        <v>3382085.99876403</v>
      </c>
      <c r="S245" s="39">
        <f t="shared" si="126"/>
        <v>473763.124790814</v>
      </c>
      <c r="T245" s="39">
        <f t="shared" si="127"/>
        <v>3382085.42461095</v>
      </c>
      <c r="U245" s="39">
        <f t="shared" si="128"/>
        <v>473771.844501544</v>
      </c>
      <c r="V245" s="39">
        <f t="shared" si="129"/>
        <v>3382085.80257953</v>
      </c>
      <c r="AI245" t="str">
        <f t="array" ref="AI245">IFERROR(INDEX($L$2:$L$789,SMALL(IF(ISNUMBER(FIND($AH$2,$C$2:$C$789)),ROW($2:$789)-1,4^8),ROW(A244)))&amp;"","")</f>
        <v/>
      </c>
      <c r="AS245" t="str">
        <f>"-text"&amp;" "&amp;D245&amp;","&amp;E245&amp;" "&amp;"10"&amp;" "&amp;"0"&amp;" "&amp;C245</f>
        <v>-text 473763.1194,3382084.9457 10 0 IP125</v>
      </c>
      <c r="AT245" t="str">
        <f t="shared" si="130"/>
        <v>473763.1194,3382084.9457</v>
      </c>
      <c r="AV245">
        <f t="shared" si="145"/>
        <v>459.759</v>
      </c>
      <c r="AX245" t="str">
        <f t="shared" si="132"/>
        <v>pl 22222.3145171156,279 22222.3145171156,400 </v>
      </c>
      <c r="AY245" t="str">
        <f t="shared" si="133"/>
        <v>22222.3145171156,453.959</v>
      </c>
      <c r="AZ245" t="str">
        <f t="shared" si="134"/>
        <v>22222.3145171156,458.205</v>
      </c>
      <c r="BA245" t="str">
        <f t="shared" si="135"/>
        <v>22222.3145171156,459.759</v>
      </c>
      <c r="BB245" t="str">
        <f t="shared" si="136"/>
        <v>-text 22221.3145171156,337 3.5 90 453.959 </v>
      </c>
      <c r="BC245" t="str">
        <f t="shared" si="137"/>
        <v>-text 22221.3145171156,320 3.5 90 459.759 </v>
      </c>
      <c r="BD245" t="str">
        <f t="shared" si="138"/>
        <v>-text 22221.3145171156,306 3.5 90 458.205 </v>
      </c>
      <c r="BE245" t="str">
        <f t="shared" si="139"/>
        <v>-text 22221.3145171156,352 3.5 90 ZG44+444.629 </v>
      </c>
      <c r="BF245" t="str">
        <f t="shared" si="140"/>
        <v>-text 22221.3145171156,280 3.5 90 IP125 </v>
      </c>
      <c r="BG245" t="str">
        <f t="shared" si="141"/>
        <v>-TEXT 22223.3145171156,300 3.5 0 R=80</v>
      </c>
      <c r="BH245" t="str">
        <f t="shared" si="142"/>
        <v>-TEXT 22223.3145171156,295 3.5 0 α=12.51° </v>
      </c>
      <c r="BI245" t="str">
        <f t="shared" si="143"/>
        <v>-TEXT 22223.3145171156,290 3.5 0 T=8.77 </v>
      </c>
      <c r="BJ245" t="str">
        <f t="shared" si="144"/>
        <v>-TEXT 22223.3145171156,285 3.5 0 S=17.46 </v>
      </c>
    </row>
    <row r="246" spans="1:62">
      <c r="A246">
        <v>0</v>
      </c>
      <c r="B246">
        <v>245</v>
      </c>
      <c r="C246" t="s">
        <v>254</v>
      </c>
      <c r="D246" s="39">
        <v>473879.762</v>
      </c>
      <c r="E246" s="39">
        <v>3382096.401</v>
      </c>
      <c r="F246">
        <v>80</v>
      </c>
      <c r="G246">
        <f t="shared" si="117"/>
        <v>23.656</v>
      </c>
      <c r="H246">
        <f t="shared" si="118"/>
        <v>16.7536765610931</v>
      </c>
      <c r="I246">
        <f t="shared" si="119"/>
        <v>33.0300070281423</v>
      </c>
      <c r="J246">
        <f t="shared" si="120"/>
        <v>117.20375434619</v>
      </c>
      <c r="K246" s="40">
        <f t="shared" si="121"/>
        <v>44545.0442663103</v>
      </c>
      <c r="L246" s="40">
        <f t="shared" si="122"/>
        <v>44561.5592698244</v>
      </c>
      <c r="M246" s="40">
        <f t="shared" si="123"/>
        <v>44578.0742733385</v>
      </c>
      <c r="N246">
        <v>458.182</v>
      </c>
      <c r="O246">
        <v>453.936</v>
      </c>
      <c r="P246">
        <v>0.001</v>
      </c>
      <c r="Q246" s="39">
        <f t="shared" si="124"/>
        <v>473863.088537579</v>
      </c>
      <c r="R246" s="39">
        <f t="shared" si="125"/>
        <v>3382094.76352352</v>
      </c>
      <c r="S246" s="39">
        <f t="shared" si="126"/>
        <v>473879.57399084</v>
      </c>
      <c r="T246" s="39">
        <f t="shared" si="127"/>
        <v>3382094.67573088</v>
      </c>
      <c r="U246" s="39">
        <f t="shared" si="128"/>
        <v>473895.691409652</v>
      </c>
      <c r="V246" s="39">
        <f t="shared" si="129"/>
        <v>3382091.21066413</v>
      </c>
      <c r="AI246" t="str">
        <f t="array" ref="AI246">IFERROR(INDEX($L$2:$L$789,SMALL(IF(ISNUMBER(FIND($AH$2,$C$2:$C$789)),ROW($2:$789)-1,4^8),ROW(A245)))&amp;"","")</f>
        <v/>
      </c>
      <c r="AS246" t="str">
        <f>"-text"&amp;" "&amp;D246&amp;","&amp;E246&amp;" "&amp;"10"&amp;" "&amp;"0"&amp;" "&amp;C246</f>
        <v>-text 473879.762,3382096.401 10 0 IP126</v>
      </c>
      <c r="AT246" t="str">
        <f t="shared" si="130"/>
        <v>473879.762,3382096.401</v>
      </c>
      <c r="AV246">
        <f t="shared" si="145"/>
        <v>459.736</v>
      </c>
      <c r="AX246" t="str">
        <f t="shared" si="132"/>
        <v>pl 22280.7796349122,279 22280.7796349122,400 </v>
      </c>
      <c r="AY246" t="str">
        <f t="shared" si="133"/>
        <v>22280.7796349122,453.936</v>
      </c>
      <c r="AZ246" t="str">
        <f t="shared" si="134"/>
        <v>22280.7796349122,458.182</v>
      </c>
      <c r="BA246" t="str">
        <f t="shared" si="135"/>
        <v>22280.7796349122,459.736</v>
      </c>
      <c r="BB246" t="str">
        <f t="shared" si="136"/>
        <v>-text 22279.7796349122,337 3.5 90 453.936 </v>
      </c>
      <c r="BC246" t="str">
        <f t="shared" si="137"/>
        <v>-text 22279.7796349122,320 3.5 90 459.736 </v>
      </c>
      <c r="BD246" t="str">
        <f t="shared" si="138"/>
        <v>-text 22279.7796349122,306 3.5 90 458.182 </v>
      </c>
      <c r="BE246" t="str">
        <f t="shared" si="139"/>
        <v>-text 22279.7796349122,352 3.5 90 ZG44+561.559 </v>
      </c>
      <c r="BF246" t="str">
        <f t="shared" si="140"/>
        <v>-text 22279.7796349122,280 3.5 90 IP126 </v>
      </c>
      <c r="BG246" t="str">
        <f t="shared" si="141"/>
        <v>-TEXT 22281.7796349122,300 3.5 0 R=80</v>
      </c>
      <c r="BH246" t="str">
        <f t="shared" si="142"/>
        <v>-TEXT 22281.7796349122,295 3.5 0 α=23.66° </v>
      </c>
      <c r="BI246" t="str">
        <f t="shared" si="143"/>
        <v>-TEXT 22281.7796349122,290 3.5 0 T=16.75 </v>
      </c>
      <c r="BJ246" t="str">
        <f t="shared" si="144"/>
        <v>-TEXT 22281.7796349122,285 3.5 0 S=33.03 </v>
      </c>
    </row>
    <row r="247" spans="1:62">
      <c r="A247">
        <v>2</v>
      </c>
      <c r="B247">
        <v>246</v>
      </c>
      <c r="C247" t="str">
        <f>Sheet1!C235</f>
        <v>黄鹤渡槽进</v>
      </c>
      <c r="D247" s="39">
        <v>473973.9601</v>
      </c>
      <c r="E247" s="39">
        <v>3382065.7081</v>
      </c>
      <c r="G247">
        <f t="shared" si="117"/>
        <v>0</v>
      </c>
      <c r="H247">
        <f t="shared" si="118"/>
        <v>0</v>
      </c>
      <c r="I247">
        <f t="shared" si="119"/>
        <v>0</v>
      </c>
      <c r="J247">
        <f t="shared" si="120"/>
        <v>99.0723783606497</v>
      </c>
      <c r="K247" s="40">
        <f t="shared" si="121"/>
        <v>44660.392975138</v>
      </c>
      <c r="L247" s="40">
        <f t="shared" si="122"/>
        <v>44660.392975138</v>
      </c>
      <c r="M247" s="40">
        <f t="shared" si="123"/>
        <v>44660.392975138</v>
      </c>
      <c r="N247">
        <v>458.097</v>
      </c>
      <c r="O247">
        <v>454.343</v>
      </c>
      <c r="P247">
        <v>0</v>
      </c>
      <c r="Q247" s="39">
        <f t="shared" si="124"/>
        <v>473973.9601</v>
      </c>
      <c r="R247" s="39">
        <f t="shared" si="125"/>
        <v>3382065.7081</v>
      </c>
      <c r="S247" s="39" t="str">
        <f t="shared" si="126"/>
        <v> </v>
      </c>
      <c r="T247" s="39" t="str">
        <f t="shared" si="127"/>
        <v> </v>
      </c>
      <c r="U247" s="39" t="str">
        <f t="shared" si="128"/>
        <v> </v>
      </c>
      <c r="V247" s="39" t="str">
        <f t="shared" si="129"/>
        <v> </v>
      </c>
      <c r="AI247" t="str">
        <f t="array" ref="AI247">IFERROR(INDEX($L$2:$L$789,SMALL(IF(ISNUMBER(FIND($AH$2,$C$2:$C$789)),ROW($2:$789)-1,4^8),ROW(A246)))&amp;"","")</f>
        <v/>
      </c>
      <c r="AT247" t="str">
        <f t="shared" si="130"/>
        <v>473973.9601,3382065.7081</v>
      </c>
      <c r="AV247">
        <f t="shared" si="145"/>
        <v>458.843</v>
      </c>
      <c r="AX247" t="str">
        <f t="shared" si="132"/>
        <v>pl 22330.196487569,279 22330.196487569,400 </v>
      </c>
      <c r="AY247" t="str">
        <f t="shared" si="133"/>
        <v>22330.196487569,454.343</v>
      </c>
      <c r="AZ247" t="str">
        <f t="shared" si="134"/>
        <v>22330.196487569,458.097</v>
      </c>
      <c r="BA247" t="str">
        <f t="shared" si="135"/>
        <v>22330.196487569,458.843</v>
      </c>
      <c r="BB247" t="str">
        <f t="shared" si="136"/>
        <v>-text 22329.196487569,337 3.5 90 454.343 </v>
      </c>
      <c r="BC247" t="str">
        <f t="shared" si="137"/>
        <v>-text 22329.196487569,320 3.5 90 458.843 </v>
      </c>
      <c r="BD247" t="str">
        <f t="shared" si="138"/>
        <v>-text 22329.196487569,306 3.5 90 458.097 </v>
      </c>
      <c r="BE247" t="str">
        <f t="shared" si="139"/>
        <v>-text 22329.196487569,352 3.5 90 ZG44+660.393 </v>
      </c>
      <c r="BF247" t="str">
        <f t="shared" si="140"/>
        <v>-text 22329.196487569,280 3.5 90 黄鹤渡槽进 </v>
      </c>
      <c r="BG247" t="str">
        <f t="shared" si="141"/>
        <v/>
      </c>
      <c r="BH247" t="str">
        <f t="shared" si="142"/>
        <v> </v>
      </c>
      <c r="BI247" t="str">
        <f t="shared" si="143"/>
        <v> </v>
      </c>
      <c r="BJ247" t="str">
        <f t="shared" si="144"/>
        <v> </v>
      </c>
    </row>
    <row r="248" spans="1:62">
      <c r="A248">
        <v>2</v>
      </c>
      <c r="B248">
        <v>247</v>
      </c>
      <c r="C248" t="str">
        <f>Sheet1!C236</f>
        <v>黄鹤渡槽出</v>
      </c>
      <c r="D248" s="39">
        <v>474349.1058</v>
      </c>
      <c r="E248" s="39">
        <v>3381943.4731</v>
      </c>
      <c r="G248">
        <f t="shared" si="117"/>
        <v>0</v>
      </c>
      <c r="H248">
        <f t="shared" si="118"/>
        <v>0</v>
      </c>
      <c r="I248">
        <f t="shared" si="119"/>
        <v>0</v>
      </c>
      <c r="J248">
        <f t="shared" si="120"/>
        <v>394.557589527123</v>
      </c>
      <c r="K248" s="40">
        <f t="shared" si="121"/>
        <v>45054.9505646651</v>
      </c>
      <c r="L248" s="40">
        <f t="shared" si="122"/>
        <v>45054.9505646651</v>
      </c>
      <c r="M248" s="40">
        <f t="shared" si="123"/>
        <v>45054.9505646651</v>
      </c>
      <c r="N248">
        <v>457.965</v>
      </c>
      <c r="O248">
        <v>454.211</v>
      </c>
      <c r="P248">
        <v>0</v>
      </c>
      <c r="Q248" s="39">
        <f t="shared" si="124"/>
        <v>474349.1058</v>
      </c>
      <c r="R248" s="39">
        <f t="shared" si="125"/>
        <v>3381943.4731</v>
      </c>
      <c r="S248" s="39" t="str">
        <f t="shared" si="126"/>
        <v> </v>
      </c>
      <c r="T248" s="39" t="str">
        <f t="shared" si="127"/>
        <v> </v>
      </c>
      <c r="U248" s="39" t="str">
        <f t="shared" si="128"/>
        <v> </v>
      </c>
      <c r="V248" s="39" t="str">
        <f t="shared" si="129"/>
        <v> </v>
      </c>
      <c r="AI248" t="str">
        <f t="array" ref="AI248">IFERROR(INDEX($L$2:$L$789,SMALL(IF(ISNUMBER(FIND($AH$2,$C$2:$C$789)),ROW($2:$789)-1,4^8),ROW(A247)))&amp;"","")</f>
        <v/>
      </c>
      <c r="AT248" t="str">
        <f t="shared" si="130"/>
        <v>474349.1058,3381943.4731</v>
      </c>
      <c r="AV248">
        <f t="shared" si="145"/>
        <v>458.711</v>
      </c>
      <c r="AX248" t="str">
        <f t="shared" si="132"/>
        <v>pl 22527.4752823326,279 22527.4752823326,400 </v>
      </c>
      <c r="AY248" t="str">
        <f t="shared" si="133"/>
        <v>22527.4752823326,454.211</v>
      </c>
      <c r="AZ248" t="str">
        <f t="shared" si="134"/>
        <v>22527.4752823326,457.965</v>
      </c>
      <c r="BA248" t="str">
        <f t="shared" si="135"/>
        <v>22527.4752823326,458.711</v>
      </c>
      <c r="BB248" t="str">
        <f t="shared" si="136"/>
        <v>-text 22526.4752823326,337 3.5 90 454.211 </v>
      </c>
      <c r="BC248" t="str">
        <f t="shared" si="137"/>
        <v>-text 22526.4752823326,320 3.5 90 458.711 </v>
      </c>
      <c r="BD248" t="str">
        <f t="shared" si="138"/>
        <v>-text 22526.4752823326,306 3.5 90 457.965 </v>
      </c>
      <c r="BE248" t="str">
        <f t="shared" si="139"/>
        <v>-text 22526.4752823326,352 3.5 90 ZG45+054.951 </v>
      </c>
      <c r="BF248" t="str">
        <f t="shared" si="140"/>
        <v>-text 22526.4752823326,280 3.5 90 黄鹤渡槽出 </v>
      </c>
      <c r="BG248" t="str">
        <f t="shared" si="141"/>
        <v/>
      </c>
      <c r="BH248" t="str">
        <f t="shared" si="142"/>
        <v> </v>
      </c>
      <c r="BI248" t="str">
        <f t="shared" si="143"/>
        <v> </v>
      </c>
      <c r="BJ248" t="str">
        <f t="shared" si="144"/>
        <v> </v>
      </c>
    </row>
    <row r="249" spans="1:62">
      <c r="A249">
        <v>0</v>
      </c>
      <c r="B249">
        <v>248</v>
      </c>
      <c r="C249" t="s">
        <v>257</v>
      </c>
      <c r="D249" s="39">
        <v>474375.9903</v>
      </c>
      <c r="E249" s="39">
        <v>3381934.7132</v>
      </c>
      <c r="F249">
        <v>80</v>
      </c>
      <c r="G249">
        <f t="shared" si="117"/>
        <v>23.66</v>
      </c>
      <c r="H249">
        <f t="shared" si="118"/>
        <v>16.756591581438</v>
      </c>
      <c r="I249">
        <f t="shared" si="119"/>
        <v>33.0355920817487</v>
      </c>
      <c r="J249">
        <f t="shared" si="120"/>
        <v>28.2756465577409</v>
      </c>
      <c r="K249" s="40">
        <f t="shared" si="121"/>
        <v>45066.4696196414</v>
      </c>
      <c r="L249" s="40">
        <f t="shared" si="122"/>
        <v>45082.9874156823</v>
      </c>
      <c r="M249" s="40">
        <f t="shared" si="123"/>
        <v>45099.5052117232</v>
      </c>
      <c r="N249">
        <v>457.996</v>
      </c>
      <c r="O249">
        <v>453.75</v>
      </c>
      <c r="P249">
        <v>0.001</v>
      </c>
      <c r="Q249" s="39">
        <f t="shared" si="124"/>
        <v>474360.058123685</v>
      </c>
      <c r="R249" s="39">
        <f t="shared" si="125"/>
        <v>3381939.90445412</v>
      </c>
      <c r="S249" s="39">
        <f t="shared" si="126"/>
        <v>474375.125482974</v>
      </c>
      <c r="T249" s="39">
        <f t="shared" si="127"/>
        <v>3381933.20786747</v>
      </c>
      <c r="U249" s="39">
        <f t="shared" si="128"/>
        <v>474388.499945327</v>
      </c>
      <c r="V249" s="39">
        <f t="shared" si="129"/>
        <v>3381923.56456173</v>
      </c>
      <c r="AI249" t="str">
        <f t="array" ref="AI249">IFERROR(INDEX($L$2:$L$789,SMALL(IF(ISNUMBER(FIND($AH$2,$C$2:$C$789)),ROW($2:$789)-1,4^8),ROW(A248)))&amp;"","")</f>
        <v/>
      </c>
      <c r="AS249" t="str">
        <f>"-text"&amp;" "&amp;D249&amp;","&amp;E249&amp;" "&amp;"10"&amp;" "&amp;"0"&amp;" "&amp;C249</f>
        <v>-text 474375.9903,3381934.7132 10 0 IP127</v>
      </c>
      <c r="AT249" t="str">
        <f t="shared" si="130"/>
        <v>474375.9903,3381934.7132</v>
      </c>
      <c r="AV249">
        <f t="shared" si="145"/>
        <v>459.55</v>
      </c>
      <c r="AX249" t="str">
        <f t="shared" si="132"/>
        <v>pl 22541.4937078412,279 22541.4937078412,400 </v>
      </c>
      <c r="AY249" t="str">
        <f t="shared" si="133"/>
        <v>22541.4937078412,453.75</v>
      </c>
      <c r="AZ249" t="str">
        <f t="shared" si="134"/>
        <v>22541.4937078412,457.996</v>
      </c>
      <c r="BA249" t="str">
        <f t="shared" si="135"/>
        <v>22541.4937078412,459.55</v>
      </c>
      <c r="BB249" t="str">
        <f t="shared" si="136"/>
        <v>-text 22540.4937078412,337 3.5 90 453.750 </v>
      </c>
      <c r="BC249" t="str">
        <f t="shared" si="137"/>
        <v>-text 22540.4937078412,320 3.5 90 459.550 </v>
      </c>
      <c r="BD249" t="str">
        <f t="shared" si="138"/>
        <v>-text 22540.4937078412,306 3.5 90 457.996 </v>
      </c>
      <c r="BE249" t="str">
        <f t="shared" si="139"/>
        <v>-text 22540.4937078412,352 3.5 90 ZG45+082.987 </v>
      </c>
      <c r="BF249" t="str">
        <f t="shared" si="140"/>
        <v>-text 22540.4937078412,280 3.5 90 IP127 </v>
      </c>
      <c r="BG249" t="str">
        <f t="shared" si="141"/>
        <v>-TEXT 22542.4937078412,300 3.5 0 R=80</v>
      </c>
      <c r="BH249" t="str">
        <f t="shared" si="142"/>
        <v>-TEXT 22542.4937078412,295 3.5 0 α=23.66° </v>
      </c>
      <c r="BI249" t="str">
        <f t="shared" si="143"/>
        <v>-TEXT 22542.4937078412,290 3.5 0 T=16.76 </v>
      </c>
      <c r="BJ249" t="str">
        <f t="shared" si="144"/>
        <v>-TEXT 22542.4937078412,285 3.5 0 S=33.04 </v>
      </c>
    </row>
    <row r="250" spans="1:62">
      <c r="A250">
        <v>0</v>
      </c>
      <c r="B250">
        <v>249</v>
      </c>
      <c r="C250" t="s">
        <v>258</v>
      </c>
      <c r="D250" s="39">
        <v>474458.9313</v>
      </c>
      <c r="E250" s="39">
        <v>3381860.7959</v>
      </c>
      <c r="F250">
        <v>80</v>
      </c>
      <c r="G250">
        <f t="shared" si="117"/>
        <v>6.649</v>
      </c>
      <c r="H250">
        <f t="shared" si="118"/>
        <v>4.64709400922721</v>
      </c>
      <c r="I250">
        <f t="shared" si="119"/>
        <v>9.28375535720824</v>
      </c>
      <c r="J250">
        <f t="shared" si="120"/>
        <v>111.098950131566</v>
      </c>
      <c r="K250" s="40">
        <f t="shared" si="121"/>
        <v>45189.2004762641</v>
      </c>
      <c r="L250" s="40">
        <f t="shared" si="122"/>
        <v>45193.8423539427</v>
      </c>
      <c r="M250" s="40">
        <f t="shared" si="123"/>
        <v>45198.4842316213</v>
      </c>
      <c r="N250">
        <v>457.974</v>
      </c>
      <c r="O250">
        <v>453.728</v>
      </c>
      <c r="P250">
        <v>0</v>
      </c>
      <c r="Q250" s="39">
        <f t="shared" si="124"/>
        <v>474455.462008672</v>
      </c>
      <c r="R250" s="39">
        <f t="shared" si="125"/>
        <v>3381863.88774418</v>
      </c>
      <c r="S250" s="39">
        <f t="shared" si="126"/>
        <v>474458.835889635</v>
      </c>
      <c r="T250" s="39">
        <f t="shared" si="127"/>
        <v>3381860.70059604</v>
      </c>
      <c r="U250" s="39">
        <f t="shared" si="128"/>
        <v>474462.019270999</v>
      </c>
      <c r="V250" s="39">
        <f t="shared" si="129"/>
        <v>3381857.32316076</v>
      </c>
      <c r="AI250" t="str">
        <f t="array" ref="AI250">IFERROR(INDEX($L$2:$L$789,SMALL(IF(ISNUMBER(FIND($AH$2,$C$2:$C$789)),ROW($2:$789)-1,4^8),ROW(A249)))&amp;"","")</f>
        <v/>
      </c>
      <c r="AS250" t="str">
        <f>"-text"&amp;" "&amp;D250&amp;","&amp;E250&amp;" "&amp;"10"&amp;" "&amp;"0"&amp;" "&amp;C250</f>
        <v>-text 474458.9313,3381860.7959 10 0 IP128</v>
      </c>
      <c r="AT250" t="str">
        <f t="shared" si="130"/>
        <v>474458.9313,3381860.7959</v>
      </c>
      <c r="AV250">
        <f t="shared" si="145"/>
        <v>459.528</v>
      </c>
      <c r="AX250" t="str">
        <f t="shared" si="132"/>
        <v>pl 22596.9211769713,279 22596.9211769713,400 </v>
      </c>
      <c r="AY250" t="str">
        <f t="shared" si="133"/>
        <v>22596.9211769713,453.728</v>
      </c>
      <c r="AZ250" t="str">
        <f t="shared" si="134"/>
        <v>22596.9211769713,457.974</v>
      </c>
      <c r="BA250" t="str">
        <f t="shared" si="135"/>
        <v>22596.9211769713,459.528</v>
      </c>
      <c r="BB250" t="str">
        <f t="shared" si="136"/>
        <v>-text 22595.9211769713,337 3.5 90 453.728 </v>
      </c>
      <c r="BC250" t="str">
        <f t="shared" si="137"/>
        <v>-text 22595.9211769713,320 3.5 90 459.528 </v>
      </c>
      <c r="BD250" t="str">
        <f t="shared" si="138"/>
        <v>-text 22595.9211769713,306 3.5 90 457.974 </v>
      </c>
      <c r="BE250" t="str">
        <f t="shared" si="139"/>
        <v>-text 22595.9211769713,352 3.5 90 ZG45+193.842 </v>
      </c>
      <c r="BF250" t="str">
        <f t="shared" si="140"/>
        <v>-text 22595.9211769713,280 3.5 90 IP128 </v>
      </c>
      <c r="BG250" t="str">
        <f t="shared" si="141"/>
        <v>-TEXT 22597.9211769713,300 3.5 0 R=80</v>
      </c>
      <c r="BH250" t="str">
        <f t="shared" si="142"/>
        <v>-TEXT 22597.9211769713,295 3.5 0 α=6.65° </v>
      </c>
      <c r="BI250" t="str">
        <f t="shared" si="143"/>
        <v>-TEXT 22597.9211769713,290 3.5 0 T=4.65 </v>
      </c>
      <c r="BJ250" t="str">
        <f t="shared" si="144"/>
        <v>-TEXT 22597.9211769713,285 3.5 0 S=9.28 </v>
      </c>
    </row>
    <row r="251" spans="1:62">
      <c r="A251">
        <v>2</v>
      </c>
      <c r="B251">
        <v>250</v>
      </c>
      <c r="C251" t="str">
        <f>Sheet1!C239</f>
        <v>廖家湾1#渡槽进</v>
      </c>
      <c r="D251" s="39">
        <v>474487.6579</v>
      </c>
      <c r="E251" s="39">
        <v>3381828.4899</v>
      </c>
      <c r="G251">
        <f t="shared" si="117"/>
        <v>0</v>
      </c>
      <c r="H251">
        <f t="shared" si="118"/>
        <v>0</v>
      </c>
      <c r="I251">
        <f t="shared" si="119"/>
        <v>0</v>
      </c>
      <c r="J251">
        <f t="shared" si="120"/>
        <v>43.2307203681713</v>
      </c>
      <c r="K251" s="40">
        <f t="shared" si="121"/>
        <v>45237.0678579802</v>
      </c>
      <c r="L251" s="40">
        <f t="shared" si="122"/>
        <v>45237.0678579802</v>
      </c>
      <c r="M251" s="40">
        <f t="shared" si="123"/>
        <v>45237.0678579802</v>
      </c>
      <c r="N251">
        <v>457.9</v>
      </c>
      <c r="O251">
        <v>454.146</v>
      </c>
      <c r="P251">
        <v>0</v>
      </c>
      <c r="Q251" s="39">
        <f t="shared" si="124"/>
        <v>474487.6579</v>
      </c>
      <c r="R251" s="39">
        <f t="shared" si="125"/>
        <v>3381828.4899</v>
      </c>
      <c r="S251" s="39" t="str">
        <f t="shared" si="126"/>
        <v> </v>
      </c>
      <c r="T251" s="39" t="str">
        <f t="shared" si="127"/>
        <v> </v>
      </c>
      <c r="U251" s="39" t="str">
        <f t="shared" si="128"/>
        <v> </v>
      </c>
      <c r="V251" s="39" t="str">
        <f t="shared" si="129"/>
        <v> </v>
      </c>
      <c r="AI251" t="str">
        <f t="array" ref="AI251">IFERROR(INDEX($L$2:$L$789,SMALL(IF(ISNUMBER(FIND($AH$2,$C$2:$C$789)),ROW($2:$789)-1,4^8),ROW(A250)))&amp;"","")</f>
        <v/>
      </c>
      <c r="AT251" t="str">
        <f t="shared" si="130"/>
        <v>474487.6579,3381828.4899</v>
      </c>
      <c r="AV251">
        <f t="shared" si="145"/>
        <v>458.646</v>
      </c>
      <c r="AX251" t="str">
        <f t="shared" si="132"/>
        <v>pl 22618.5339289901,279 22618.5339289901,400 </v>
      </c>
      <c r="AY251" t="str">
        <f t="shared" si="133"/>
        <v>22618.5339289901,454.146</v>
      </c>
      <c r="AZ251" t="str">
        <f t="shared" si="134"/>
        <v>22618.5339289901,457.9</v>
      </c>
      <c r="BA251" t="str">
        <f t="shared" si="135"/>
        <v>22618.5339289901,458.646</v>
      </c>
      <c r="BB251" t="str">
        <f t="shared" si="136"/>
        <v>-text 22617.5339289901,337 3.5 90 454.146 </v>
      </c>
      <c r="BC251" t="str">
        <f t="shared" si="137"/>
        <v>-text 22617.5339289901,320 3.5 90 458.646 </v>
      </c>
      <c r="BD251" t="str">
        <f t="shared" si="138"/>
        <v>-text 22617.5339289901,306 3.5 90 457.900 </v>
      </c>
      <c r="BE251" t="str">
        <f t="shared" si="139"/>
        <v>-text 22617.5339289901,352 3.5 90 ZG45+237.068 </v>
      </c>
      <c r="BF251" t="str">
        <f t="shared" si="140"/>
        <v>-text 22617.5339289901,280 3.5 90 廖家湾1#渡槽进 </v>
      </c>
      <c r="BG251" t="str">
        <f t="shared" si="141"/>
        <v/>
      </c>
      <c r="BH251" t="str">
        <f t="shared" si="142"/>
        <v> </v>
      </c>
      <c r="BI251" t="str">
        <f t="shared" si="143"/>
        <v> </v>
      </c>
      <c r="BJ251" t="str">
        <f t="shared" si="144"/>
        <v> </v>
      </c>
    </row>
    <row r="252" spans="1:62">
      <c r="A252">
        <v>2</v>
      </c>
      <c r="B252">
        <v>251</v>
      </c>
      <c r="C252" t="str">
        <f>Sheet1!C240</f>
        <v>廖家湾1#渡槽出</v>
      </c>
      <c r="D252" s="39">
        <v>474590.4642</v>
      </c>
      <c r="E252" s="39">
        <v>3381712.8733</v>
      </c>
      <c r="G252">
        <f t="shared" si="117"/>
        <v>0</v>
      </c>
      <c r="H252">
        <f t="shared" si="118"/>
        <v>0</v>
      </c>
      <c r="I252">
        <f t="shared" si="119"/>
        <v>0</v>
      </c>
      <c r="J252">
        <f t="shared" si="120"/>
        <v>154.713714696567</v>
      </c>
      <c r="K252" s="40">
        <f t="shared" si="121"/>
        <v>45391.7815726768</v>
      </c>
      <c r="L252" s="40">
        <f t="shared" si="122"/>
        <v>45391.7815726768</v>
      </c>
      <c r="M252" s="40">
        <f t="shared" si="123"/>
        <v>45391.7815726768</v>
      </c>
      <c r="N252">
        <v>457.848</v>
      </c>
      <c r="O252">
        <v>454.094</v>
      </c>
      <c r="P252">
        <v>0</v>
      </c>
      <c r="Q252" s="39">
        <f t="shared" si="124"/>
        <v>474590.4642</v>
      </c>
      <c r="R252" s="39">
        <f t="shared" si="125"/>
        <v>3381712.8733</v>
      </c>
      <c r="S252" s="39" t="str">
        <f t="shared" si="126"/>
        <v> </v>
      </c>
      <c r="T252" s="39" t="str">
        <f t="shared" si="127"/>
        <v> </v>
      </c>
      <c r="U252" s="39" t="str">
        <f t="shared" si="128"/>
        <v> </v>
      </c>
      <c r="V252" s="39" t="str">
        <f t="shared" si="129"/>
        <v> </v>
      </c>
      <c r="AI252" t="str">
        <f t="array" ref="AI252">IFERROR(INDEX($L$2:$L$789,SMALL(IF(ISNUMBER(FIND($AH$2,$C$2:$C$789)),ROW($2:$789)-1,4^8),ROW(A251)))&amp;"","")</f>
        <v/>
      </c>
      <c r="AT252" t="str">
        <f t="shared" si="130"/>
        <v>474590.4642,3381712.8733</v>
      </c>
      <c r="AV252">
        <f t="shared" si="145"/>
        <v>458.594</v>
      </c>
      <c r="AX252" t="str">
        <f t="shared" si="132"/>
        <v>pl 22695.8907863384,279 22695.8907863384,400 </v>
      </c>
      <c r="AY252" t="str">
        <f t="shared" si="133"/>
        <v>22695.8907863384,454.094</v>
      </c>
      <c r="AZ252" t="str">
        <f t="shared" si="134"/>
        <v>22695.8907863384,457.848</v>
      </c>
      <c r="BA252" t="str">
        <f t="shared" si="135"/>
        <v>22695.8907863384,458.594</v>
      </c>
      <c r="BB252" t="str">
        <f t="shared" si="136"/>
        <v>-text 22694.8907863384,337 3.5 90 454.094 </v>
      </c>
      <c r="BC252" t="str">
        <f t="shared" si="137"/>
        <v>-text 22694.8907863384,320 3.5 90 458.594 </v>
      </c>
      <c r="BD252" t="str">
        <f t="shared" si="138"/>
        <v>-text 22694.8907863384,306 3.5 90 457.848 </v>
      </c>
      <c r="BE252" t="str">
        <f t="shared" si="139"/>
        <v>-text 22694.8907863384,352 3.5 90 ZG45+391.782 </v>
      </c>
      <c r="BF252" t="str">
        <f t="shared" si="140"/>
        <v>-text 22694.8907863384,280 3.5 90 廖家湾1#渡槽出 </v>
      </c>
      <c r="BG252" t="str">
        <f t="shared" si="141"/>
        <v/>
      </c>
      <c r="BH252" t="str">
        <f t="shared" si="142"/>
        <v> </v>
      </c>
      <c r="BI252" t="str">
        <f t="shared" si="143"/>
        <v> </v>
      </c>
      <c r="BJ252" t="str">
        <f t="shared" si="144"/>
        <v> </v>
      </c>
    </row>
    <row r="253" spans="1:62">
      <c r="A253">
        <v>0</v>
      </c>
      <c r="B253">
        <v>252</v>
      </c>
      <c r="C253" t="s">
        <v>261</v>
      </c>
      <c r="D253" s="39">
        <v>474610.7874</v>
      </c>
      <c r="E253" s="39">
        <v>3381690.0177</v>
      </c>
      <c r="F253">
        <v>60</v>
      </c>
      <c r="G253">
        <f t="shared" ref="G253:G316" si="146">ROUND(IF((2*SQRT((D252-D253)^2+(E252-E253)^2)*SQRT((D254-D253)^2+(E254-E253)^2))=0,0,180-ACOS(((D252-D253)^2+(E252-E253)^2+(D254-D253)^2+(E254-E253)^2-(D254-D252)^2-(E254-E252)^2)/(2*SQRT((D252-D253)^2+(E252-E253)^2)*SQRT((D254-D253)^2+(E254-E253)^2)))/PI()*180),3)</f>
        <v>46.136</v>
      </c>
      <c r="H253">
        <f t="shared" ref="H253:H316" si="147">F253*TAN(PI()/180*G253/2)</f>
        <v>25.5525712394648</v>
      </c>
      <c r="I253">
        <f t="shared" ref="I253:I316" si="148">F253*G253/180*PI()</f>
        <v>48.3135062220062</v>
      </c>
      <c r="J253">
        <f t="shared" ref="J253:J316" si="149">SQRT((D253-D252)^2+(E253-E252)^2)</f>
        <v>30.5844880551317</v>
      </c>
      <c r="K253" s="40">
        <f t="shared" ref="K253:K316" si="150">L253-I253/2</f>
        <v>45396.8134894925</v>
      </c>
      <c r="L253" s="40">
        <f t="shared" ref="L253:L316" si="151">L252+J253-H253+I253/2+I252/2-H252</f>
        <v>45420.9702426035</v>
      </c>
      <c r="M253" s="40">
        <f t="shared" ref="M253:M316" si="152">K253+I253</f>
        <v>45445.1269957145</v>
      </c>
      <c r="N253">
        <v>457.878</v>
      </c>
      <c r="O253">
        <v>453.632</v>
      </c>
      <c r="P253">
        <v>0.002</v>
      </c>
      <c r="Q253" s="39">
        <f t="shared" ref="Q253:Q316" si="153">IF(G253=0,D253,D252+(D253-D252)/J253*(J253-H253))</f>
        <v>474593.807877084</v>
      </c>
      <c r="R253" s="39">
        <f t="shared" ref="R253:R316" si="154">IF(G253=0,E253,E252+(E253-E252)/J253*(J253-H253))</f>
        <v>3381709.11297948</v>
      </c>
      <c r="S253" s="39">
        <f t="shared" ref="S253:S316" si="155">IF(G253=0," ",(Q253+U253)/2+(D253-(Q253+U253)/2)/(H253*SIN(G253/360*PI()))*(F253-F253*COS(G253/360*PI())))</f>
        <v>474613.014922438</v>
      </c>
      <c r="T253" s="39">
        <f t="shared" ref="T253:T316" si="156">IF(G253=0," ",(R253+V253)/2+(E253-(R253+V253)/2)/(H253*SIN(G253/360*PI()))*(F253-F253*COS(G253/360*PI())))</f>
        <v>3381694.73254046</v>
      </c>
      <c r="U253" s="39">
        <f t="shared" ref="U253:U316" si="157">IF(G253=0," ",D253+(D254-D253)/J254*H253)</f>
        <v>474636.3207894</v>
      </c>
      <c r="V253" s="39">
        <f t="shared" ref="V253:V316" si="158">IF(G253=0," ",E253+(E254-E253)/J254*H253)</f>
        <v>3381689.02778956</v>
      </c>
      <c r="AI253" t="str">
        <f t="array" ref="AI253">IFERROR(INDEX($L$2:$L$789,SMALL(IF(ISNUMBER(FIND($AH$2,$C$2:$C$789)),ROW($2:$789)-1,4^8),ROW(A252)))&amp;"","")</f>
        <v/>
      </c>
      <c r="AS253" t="str">
        <f>"-text"&amp;" "&amp;D253&amp;","&amp;E253&amp;" "&amp;"10"&amp;" "&amp;"0"&amp;" "&amp;C253</f>
        <v>-text 474610.7874,3381690.0177 10 0 IP129</v>
      </c>
      <c r="AT253" t="str">
        <f t="shared" si="130"/>
        <v>474610.7874,3381690.0177</v>
      </c>
      <c r="AV253">
        <f t="shared" si="145"/>
        <v>459.432</v>
      </c>
      <c r="AX253" t="str">
        <f t="shared" si="132"/>
        <v>pl 22710.4851213017,279 22710.4851213017,400 </v>
      </c>
      <c r="AY253" t="str">
        <f t="shared" si="133"/>
        <v>22710.4851213017,453.632</v>
      </c>
      <c r="AZ253" t="str">
        <f t="shared" si="134"/>
        <v>22710.4851213017,457.878</v>
      </c>
      <c r="BA253" t="str">
        <f t="shared" si="135"/>
        <v>22710.4851213017,459.432</v>
      </c>
      <c r="BB253" t="str">
        <f t="shared" si="136"/>
        <v>-text 22709.4851213017,337 3.5 90 453.632 </v>
      </c>
      <c r="BC253" t="str">
        <f t="shared" si="137"/>
        <v>-text 22709.4851213017,320 3.5 90 459.432 </v>
      </c>
      <c r="BD253" t="str">
        <f t="shared" si="138"/>
        <v>-text 22709.4851213017,306 3.5 90 457.878 </v>
      </c>
      <c r="BE253" t="str">
        <f t="shared" si="139"/>
        <v>-text 22709.4851213017,352 3.5 90 ZG45+420.970 </v>
      </c>
      <c r="BF253" t="str">
        <f t="shared" si="140"/>
        <v>-text 22709.4851213017,280 3.5 90 IP129 </v>
      </c>
      <c r="BG253" t="str">
        <f t="shared" si="141"/>
        <v>-TEXT 22711.4851213017,300 3.5 0 R=60</v>
      </c>
      <c r="BH253" t="str">
        <f t="shared" si="142"/>
        <v>-TEXT 22711.4851213017,295 3.5 0 α=46.14° </v>
      </c>
      <c r="BI253" t="str">
        <f t="shared" si="143"/>
        <v>-TEXT 22711.4851213017,290 3.5 0 T=25.55 </v>
      </c>
      <c r="BJ253" t="str">
        <f t="shared" si="144"/>
        <v>-TEXT 22711.4851213017,285 3.5 0 S=48.31 </v>
      </c>
    </row>
    <row r="254" spans="1:62">
      <c r="A254">
        <v>2</v>
      </c>
      <c r="B254">
        <v>253</v>
      </c>
      <c r="C254" t="str">
        <f>Sheet1!C242</f>
        <v>廖家湾2#渡槽进</v>
      </c>
      <c r="D254" s="54">
        <v>474649.3721</v>
      </c>
      <c r="E254" s="54">
        <v>3381688.5218</v>
      </c>
      <c r="F254" s="54"/>
      <c r="G254">
        <f t="shared" si="146"/>
        <v>0</v>
      </c>
      <c r="H254">
        <f t="shared" si="147"/>
        <v>0</v>
      </c>
      <c r="I254">
        <f t="shared" si="148"/>
        <v>0</v>
      </c>
      <c r="J254">
        <f t="shared" si="149"/>
        <v>38.6136865748462</v>
      </c>
      <c r="K254" s="40">
        <f t="shared" si="150"/>
        <v>45458.1881110499</v>
      </c>
      <c r="L254" s="40">
        <f t="shared" si="151"/>
        <v>45458.1881110499</v>
      </c>
      <c r="M254" s="40">
        <f t="shared" si="152"/>
        <v>45458.1881110499</v>
      </c>
      <c r="N254" s="54">
        <v>457.804</v>
      </c>
      <c r="O254" s="54">
        <v>454.05</v>
      </c>
      <c r="P254" s="54">
        <v>0</v>
      </c>
      <c r="Q254" s="39">
        <f t="shared" si="153"/>
        <v>474649.3721</v>
      </c>
      <c r="R254" s="39">
        <f t="shared" si="154"/>
        <v>3381688.5218</v>
      </c>
      <c r="S254" s="39" t="str">
        <f t="shared" si="155"/>
        <v> </v>
      </c>
      <c r="T254" s="39" t="str">
        <f t="shared" si="156"/>
        <v> </v>
      </c>
      <c r="U254" s="39" t="str">
        <f t="shared" si="157"/>
        <v> </v>
      </c>
      <c r="V254" s="39" t="str">
        <f t="shared" si="158"/>
        <v> </v>
      </c>
      <c r="AI254" t="str">
        <f t="array" ref="AI254">IFERROR(INDEX($L$2:$L$789,SMALL(IF(ISNUMBER(FIND($AH$2,$C$2:$C$789)),ROW($2:$789)-1,4^8),ROW(A253)))&amp;"","")</f>
        <v/>
      </c>
      <c r="AT254" t="str">
        <f t="shared" si="130"/>
        <v>474649.3721,3381688.5218</v>
      </c>
      <c r="AV254">
        <f t="shared" si="145"/>
        <v>458.55</v>
      </c>
      <c r="AX254" t="str">
        <f t="shared" si="132"/>
        <v>pl 22729.0940555249,279 22729.0940555249,400 </v>
      </c>
      <c r="AY254" t="str">
        <f t="shared" si="133"/>
        <v>22729.0940555249,454.05</v>
      </c>
      <c r="AZ254" t="str">
        <f t="shared" si="134"/>
        <v>22729.0940555249,457.804</v>
      </c>
      <c r="BA254" t="str">
        <f t="shared" si="135"/>
        <v>22729.0940555249,458.55</v>
      </c>
      <c r="BB254" t="str">
        <f t="shared" si="136"/>
        <v>-text 22728.0940555249,337 3.5 90 454.050 </v>
      </c>
      <c r="BC254" t="str">
        <f t="shared" si="137"/>
        <v>-text 22728.0940555249,320 3.5 90 458.550 </v>
      </c>
      <c r="BD254" t="str">
        <f t="shared" si="138"/>
        <v>-text 22728.0940555249,306 3.5 90 457.804 </v>
      </c>
      <c r="BE254" t="str">
        <f t="shared" si="139"/>
        <v>-text 22728.0940555249,352 3.5 90 ZG45+458.188 </v>
      </c>
      <c r="BF254" t="str">
        <f t="shared" si="140"/>
        <v>-text 22728.0940555249,280 3.5 90 廖家湾2#渡槽进 </v>
      </c>
      <c r="BG254" t="str">
        <f t="shared" si="141"/>
        <v/>
      </c>
      <c r="BH254" t="str">
        <f t="shared" si="142"/>
        <v> </v>
      </c>
      <c r="BI254" t="str">
        <f t="shared" si="143"/>
        <v> </v>
      </c>
      <c r="BJ254" t="str">
        <f t="shared" si="144"/>
        <v> </v>
      </c>
    </row>
    <row r="255" spans="1:62">
      <c r="A255">
        <v>2</v>
      </c>
      <c r="B255">
        <v>254</v>
      </c>
      <c r="C255" t="str">
        <f>Sheet1!C243</f>
        <v>廖家湾2#渡槽出</v>
      </c>
      <c r="D255" s="54">
        <v>474829.449</v>
      </c>
      <c r="E255" s="54">
        <v>3381681.5403</v>
      </c>
      <c r="F255" s="54"/>
      <c r="G255">
        <f t="shared" si="146"/>
        <v>0</v>
      </c>
      <c r="H255">
        <f t="shared" si="147"/>
        <v>0</v>
      </c>
      <c r="I255">
        <f t="shared" si="148"/>
        <v>0</v>
      </c>
      <c r="J255">
        <f t="shared" si="149"/>
        <v>180.212183982879</v>
      </c>
      <c r="K255" s="40">
        <f t="shared" si="150"/>
        <v>45638.4002950327</v>
      </c>
      <c r="L255" s="40">
        <f t="shared" si="151"/>
        <v>45638.4002950327</v>
      </c>
      <c r="M255" s="40">
        <f t="shared" si="152"/>
        <v>45638.4002950327</v>
      </c>
      <c r="N255" s="54">
        <v>457.744</v>
      </c>
      <c r="O255" s="54">
        <v>453.99</v>
      </c>
      <c r="P255" s="54">
        <v>0</v>
      </c>
      <c r="Q255" s="39">
        <f t="shared" si="153"/>
        <v>474829.449</v>
      </c>
      <c r="R255" s="39">
        <f t="shared" si="154"/>
        <v>3381681.5403</v>
      </c>
      <c r="S255" s="39" t="str">
        <f t="shared" si="155"/>
        <v> </v>
      </c>
      <c r="T255" s="39" t="str">
        <f t="shared" si="156"/>
        <v> </v>
      </c>
      <c r="U255" s="39" t="str">
        <f t="shared" si="157"/>
        <v> </v>
      </c>
      <c r="V255" s="39" t="str">
        <f t="shared" si="158"/>
        <v> </v>
      </c>
      <c r="AI255" t="str">
        <f t="array" ref="AI255">IFERROR(INDEX($L$2:$L$789,SMALL(IF(ISNUMBER(FIND($AH$2,$C$2:$C$789)),ROW($2:$789)-1,4^8),ROW(A254)))&amp;"","")</f>
        <v/>
      </c>
      <c r="AT255" t="str">
        <f t="shared" si="130"/>
        <v>474829.449,3381681.5403</v>
      </c>
      <c r="AV255">
        <f t="shared" si="145"/>
        <v>458.49</v>
      </c>
      <c r="AX255" t="str">
        <f t="shared" si="132"/>
        <v>pl 22819.2001475164,279 22819.2001475164,400 </v>
      </c>
      <c r="AY255" t="str">
        <f t="shared" si="133"/>
        <v>22819.2001475164,453.99</v>
      </c>
      <c r="AZ255" t="str">
        <f t="shared" si="134"/>
        <v>22819.2001475164,457.744</v>
      </c>
      <c r="BA255" t="str">
        <f t="shared" si="135"/>
        <v>22819.2001475164,458.49</v>
      </c>
      <c r="BB255" t="str">
        <f t="shared" si="136"/>
        <v>-text 22818.2001475164,337 3.5 90 453.990 </v>
      </c>
      <c r="BC255" t="str">
        <f t="shared" si="137"/>
        <v>-text 22818.2001475164,320 3.5 90 458.490 </v>
      </c>
      <c r="BD255" t="str">
        <f t="shared" si="138"/>
        <v>-text 22818.2001475164,306 3.5 90 457.744 </v>
      </c>
      <c r="BE255" t="str">
        <f t="shared" si="139"/>
        <v>-text 22818.2001475164,352 3.5 90 ZG45+638.400 </v>
      </c>
      <c r="BF255" t="str">
        <f t="shared" si="140"/>
        <v>-text 22818.2001475164,280 3.5 90 廖家湾2#渡槽出 </v>
      </c>
      <c r="BG255" t="str">
        <f t="shared" si="141"/>
        <v/>
      </c>
      <c r="BH255" t="str">
        <f t="shared" si="142"/>
        <v> </v>
      </c>
      <c r="BI255" t="str">
        <f t="shared" si="143"/>
        <v> </v>
      </c>
      <c r="BJ255" t="str">
        <f t="shared" si="144"/>
        <v> </v>
      </c>
    </row>
    <row r="256" spans="1:62">
      <c r="A256">
        <v>0</v>
      </c>
      <c r="B256">
        <v>255</v>
      </c>
      <c r="C256" t="s">
        <v>264</v>
      </c>
      <c r="D256" s="54">
        <v>474884.3958</v>
      </c>
      <c r="E256" s="54">
        <v>3381679.41</v>
      </c>
      <c r="F256" s="54">
        <v>80</v>
      </c>
      <c r="G256">
        <f t="shared" si="146"/>
        <v>49.542</v>
      </c>
      <c r="H256">
        <f t="shared" si="147"/>
        <v>36.9160643074475</v>
      </c>
      <c r="I256">
        <f t="shared" si="148"/>
        <v>69.1736814418425</v>
      </c>
      <c r="J256">
        <f t="shared" si="149"/>
        <v>54.9880806023151</v>
      </c>
      <c r="K256" s="40">
        <f t="shared" si="150"/>
        <v>45656.4723113276</v>
      </c>
      <c r="L256" s="40">
        <f t="shared" si="151"/>
        <v>45691.0591520485</v>
      </c>
      <c r="M256" s="40">
        <f t="shared" si="152"/>
        <v>45725.6459927694</v>
      </c>
      <c r="N256" s="54">
        <v>457.769</v>
      </c>
      <c r="O256" s="54">
        <v>453.523</v>
      </c>
      <c r="P256" s="54">
        <v>0.002</v>
      </c>
      <c r="Q256" s="39">
        <f t="shared" si="153"/>
        <v>474847.507449287</v>
      </c>
      <c r="R256" s="39">
        <f t="shared" si="154"/>
        <v>3381680.84016979</v>
      </c>
      <c r="S256" s="39">
        <f t="shared" si="155"/>
        <v>474880.716564788</v>
      </c>
      <c r="T256" s="39">
        <f t="shared" si="156"/>
        <v>3381672.18632186</v>
      </c>
      <c r="U256" s="39">
        <f t="shared" si="157"/>
        <v>474907.244265186</v>
      </c>
      <c r="V256" s="39">
        <f t="shared" si="158"/>
        <v>3381650.41442374</v>
      </c>
      <c r="AI256" t="str">
        <f t="array" ref="AI256">IFERROR(INDEX($L$2:$L$789,SMALL(IF(ISNUMBER(FIND($AH$2,$C$2:$C$789)),ROW($2:$789)-1,4^8),ROW(A255)))&amp;"","")</f>
        <v/>
      </c>
      <c r="AS256" t="str">
        <f>"-text"&amp;" "&amp;D256&amp;","&amp;E256&amp;" "&amp;"10"&amp;" "&amp;"0"&amp;" "&amp;C256</f>
        <v>-text 474884.3958,3381679.41 10 0 IP130</v>
      </c>
      <c r="AT256" t="str">
        <f t="shared" ref="AT256:AT319" si="159">D256&amp;","&amp;E256</f>
        <v>474884.3958,3381679.41</v>
      </c>
      <c r="AV256">
        <f t="shared" si="145"/>
        <v>459.323</v>
      </c>
      <c r="AX256" t="str">
        <f t="shared" ref="AX256:AX319" si="160">"pl "&amp;L256/2&amp;",279 "&amp;L256/2&amp;",400 "</f>
        <v>pl 22845.5295760243,279 22845.5295760243,400 </v>
      </c>
      <c r="AY256" t="str">
        <f t="shared" ref="AY256:AY319" si="161">L256/2&amp;","&amp;O256</f>
        <v>22845.5295760243,453.523</v>
      </c>
      <c r="AZ256" t="str">
        <f t="shared" ref="AZ256:AZ319" si="162">L256/2&amp;","&amp;N256</f>
        <v>22845.5295760243,457.769</v>
      </c>
      <c r="BA256" t="str">
        <f t="shared" ref="BA256:BA319" si="163">L256/2&amp;","&amp;AV256</f>
        <v>22845.5295760243,459.323</v>
      </c>
      <c r="BB256" t="str">
        <f t="shared" ref="BB256:BB319" si="164">"-text "&amp;L256/2-1&amp;",337 3.5 90 "&amp;FIXED(O256,3)&amp;" "</f>
        <v>-text 22844.5295760243,337 3.5 90 453.523 </v>
      </c>
      <c r="BC256" t="str">
        <f t="shared" ref="BC256:BC319" si="165">"-text "&amp;L256/2-1&amp;",320 3.5 90 "&amp;FIXED(AV256,3)&amp;" "</f>
        <v>-text 22844.5295760243,320 3.5 90 459.323 </v>
      </c>
      <c r="BD256" t="str">
        <f t="shared" ref="BD256:BD319" si="166">"-text "&amp;L256/2-1&amp;",306 3.5 90 "&amp;FIXED(N256,3)&amp;" "</f>
        <v>-text 22844.5295760243,306 3.5 90 457.769 </v>
      </c>
      <c r="BE256" t="str">
        <f t="shared" ref="BE256:BE319" si="167">"-text "&amp;L256/2-1&amp;",352 3.5 90 "&amp;"ZG"&amp;TEXT(L256,"0+000.000")&amp;" "</f>
        <v>-text 22844.5295760243,352 3.5 90 ZG45+691.059 </v>
      </c>
      <c r="BF256" t="str">
        <f t="shared" ref="BF256:BF319" si="168">"-text "&amp;L256/2-1&amp;",280 3.5 90 "&amp;C256&amp;" "</f>
        <v>-text 22844.5295760243,280 3.5 90 IP130 </v>
      </c>
      <c r="BG256" t="str">
        <f t="shared" ref="BG256:BG319" si="169">IF(G256&lt;0.01,"",("-TEXT "&amp;L256/2+1&amp;",300 3.5 0 "&amp;"R="&amp;FIXED(F256,0)))</f>
        <v>-TEXT 22846.5295760243,300 3.5 0 R=80</v>
      </c>
      <c r="BH256" t="str">
        <f t="shared" ref="BH256:BH319" si="170">IF(G256&lt;0.01," ",("-TEXT "&amp;L256/2+1&amp;",295 3.5 0 "&amp;"α="&amp;FIXED(G256,2)&amp;"° "))</f>
        <v>-TEXT 22846.5295760243,295 3.5 0 α=49.54° </v>
      </c>
      <c r="BI256" t="str">
        <f t="shared" ref="BI256:BI319" si="171">IF(G256&lt;0.01," ",("-TEXT "&amp;L256/2+1&amp;",290 3.5 0 "&amp;"T="&amp;FIXED(H256,2)&amp;" "))</f>
        <v>-TEXT 22846.5295760243,290 3.5 0 T=36.92 </v>
      </c>
      <c r="BJ256" t="str">
        <f t="shared" ref="BJ256:BJ319" si="172">IF(G256&lt;0.01," ",("-TEXT "&amp;L256/2+1&amp;",285 3.5 0 "&amp;"S="&amp;FIXED(I256,2)&amp;" "))</f>
        <v>-TEXT 22846.5295760243,285 3.5 0 S=69.17 </v>
      </c>
    </row>
    <row r="257" spans="1:62">
      <c r="A257">
        <v>2</v>
      </c>
      <c r="B257">
        <v>256</v>
      </c>
      <c r="C257" t="str">
        <f>Sheet1!C245</f>
        <v>石湾渡槽进</v>
      </c>
      <c r="D257" s="54">
        <v>474935.0399</v>
      </c>
      <c r="E257" s="54">
        <v>3381615.1407</v>
      </c>
      <c r="F257" s="54"/>
      <c r="G257">
        <f t="shared" si="146"/>
        <v>0</v>
      </c>
      <c r="H257">
        <f t="shared" si="147"/>
        <v>0</v>
      </c>
      <c r="I257">
        <f t="shared" si="148"/>
        <v>0</v>
      </c>
      <c r="J257">
        <f t="shared" si="149"/>
        <v>81.8252270839078</v>
      </c>
      <c r="K257" s="40">
        <f t="shared" si="150"/>
        <v>45770.5551555459</v>
      </c>
      <c r="L257" s="40">
        <f t="shared" si="151"/>
        <v>45770.5551555459</v>
      </c>
      <c r="M257" s="40">
        <f t="shared" si="152"/>
        <v>45770.5551555459</v>
      </c>
      <c r="N257" s="54">
        <v>457.687</v>
      </c>
      <c r="O257" s="54">
        <v>453.933</v>
      </c>
      <c r="P257" s="54">
        <v>0</v>
      </c>
      <c r="Q257" s="39">
        <f t="shared" si="153"/>
        <v>474935.0399</v>
      </c>
      <c r="R257" s="39">
        <f t="shared" si="154"/>
        <v>3381615.1407</v>
      </c>
      <c r="S257" s="39" t="str">
        <f t="shared" si="155"/>
        <v> </v>
      </c>
      <c r="T257" s="39" t="str">
        <f t="shared" si="156"/>
        <v> </v>
      </c>
      <c r="U257" s="39" t="str">
        <f t="shared" si="157"/>
        <v> </v>
      </c>
      <c r="V257" s="39" t="str">
        <f t="shared" si="158"/>
        <v> </v>
      </c>
      <c r="AI257" t="str">
        <f t="array" ref="AI257">IFERROR(INDEX($L$2:$L$789,SMALL(IF(ISNUMBER(FIND($AH$2,$C$2:$C$789)),ROW($2:$789)-1,4^8),ROW(A256)))&amp;"","")</f>
        <v/>
      </c>
      <c r="AT257" t="str">
        <f t="shared" si="159"/>
        <v>474935.0399,3381615.1407</v>
      </c>
      <c r="AV257">
        <f t="shared" si="145"/>
        <v>458.433</v>
      </c>
      <c r="AX257" t="str">
        <f t="shared" si="160"/>
        <v>pl 22885.277577773,279 22885.277577773,400 </v>
      </c>
      <c r="AY257" t="str">
        <f t="shared" si="161"/>
        <v>22885.277577773,453.933</v>
      </c>
      <c r="AZ257" t="str">
        <f t="shared" si="162"/>
        <v>22885.277577773,457.687</v>
      </c>
      <c r="BA257" t="str">
        <f t="shared" si="163"/>
        <v>22885.277577773,458.433</v>
      </c>
      <c r="BB257" t="str">
        <f t="shared" si="164"/>
        <v>-text 22884.277577773,337 3.5 90 453.933 </v>
      </c>
      <c r="BC257" t="str">
        <f t="shared" si="165"/>
        <v>-text 22884.277577773,320 3.5 90 458.433 </v>
      </c>
      <c r="BD257" t="str">
        <f t="shared" si="166"/>
        <v>-text 22884.277577773,306 3.5 90 457.687 </v>
      </c>
      <c r="BE257" t="str">
        <f t="shared" si="167"/>
        <v>-text 22884.277577773,352 3.5 90 ZG45+770.555 </v>
      </c>
      <c r="BF257" t="str">
        <f t="shared" si="168"/>
        <v>-text 22884.277577773,280 3.5 90 石湾渡槽进 </v>
      </c>
      <c r="BG257" t="str">
        <f t="shared" si="169"/>
        <v/>
      </c>
      <c r="BH257" t="str">
        <f t="shared" si="170"/>
        <v> </v>
      </c>
      <c r="BI257" t="str">
        <f t="shared" si="171"/>
        <v> </v>
      </c>
      <c r="BJ257" t="str">
        <f t="shared" si="172"/>
        <v> </v>
      </c>
    </row>
    <row r="258" spans="1:62">
      <c r="A258">
        <v>2</v>
      </c>
      <c r="B258">
        <v>257</v>
      </c>
      <c r="C258" t="str">
        <f>Sheet1!C246</f>
        <v>石湾渡槽出</v>
      </c>
      <c r="D258" s="54">
        <v>475014.6117</v>
      </c>
      <c r="E258" s="54">
        <v>3381514.161</v>
      </c>
      <c r="F258" s="54"/>
      <c r="G258">
        <f t="shared" si="146"/>
        <v>0</v>
      </c>
      <c r="H258">
        <f t="shared" si="147"/>
        <v>0</v>
      </c>
      <c r="I258">
        <f t="shared" si="148"/>
        <v>0</v>
      </c>
      <c r="J258">
        <f t="shared" si="149"/>
        <v>128.563490802562</v>
      </c>
      <c r="K258" s="40">
        <f t="shared" si="150"/>
        <v>45899.1186463485</v>
      </c>
      <c r="L258" s="40">
        <f t="shared" si="151"/>
        <v>45899.1186463485</v>
      </c>
      <c r="M258" s="40">
        <f t="shared" si="152"/>
        <v>45899.1186463485</v>
      </c>
      <c r="N258" s="54">
        <v>457.644</v>
      </c>
      <c r="O258" s="54">
        <v>453.89</v>
      </c>
      <c r="P258" s="54">
        <v>0</v>
      </c>
      <c r="Q258" s="39">
        <f t="shared" si="153"/>
        <v>475014.6117</v>
      </c>
      <c r="R258" s="39">
        <f t="shared" si="154"/>
        <v>3381514.161</v>
      </c>
      <c r="S258" s="39" t="str">
        <f t="shared" si="155"/>
        <v> </v>
      </c>
      <c r="T258" s="39" t="str">
        <f t="shared" si="156"/>
        <v> </v>
      </c>
      <c r="U258" s="39" t="str">
        <f t="shared" si="157"/>
        <v> </v>
      </c>
      <c r="V258" s="39" t="str">
        <f t="shared" si="158"/>
        <v> </v>
      </c>
      <c r="AI258" t="str">
        <f t="array" ref="AI258">IFERROR(INDEX($L$2:$L$789,SMALL(IF(ISNUMBER(FIND($AH$2,$C$2:$C$789)),ROW($2:$789)-1,4^8),ROW(A257)))&amp;"","")</f>
        <v/>
      </c>
      <c r="AT258" t="str">
        <f t="shared" si="159"/>
        <v>475014.6117,3381514.161</v>
      </c>
      <c r="AV258">
        <f t="shared" si="145"/>
        <v>458.39</v>
      </c>
      <c r="AX258" t="str">
        <f t="shared" si="160"/>
        <v>pl 22949.5593231742,279 22949.5593231742,400 </v>
      </c>
      <c r="AY258" t="str">
        <f t="shared" si="161"/>
        <v>22949.5593231742,453.89</v>
      </c>
      <c r="AZ258" t="str">
        <f t="shared" si="162"/>
        <v>22949.5593231742,457.644</v>
      </c>
      <c r="BA258" t="str">
        <f t="shared" si="163"/>
        <v>22949.5593231742,458.39</v>
      </c>
      <c r="BB258" t="str">
        <f t="shared" si="164"/>
        <v>-text 22948.5593231742,337 3.5 90 453.890 </v>
      </c>
      <c r="BC258" t="str">
        <f t="shared" si="165"/>
        <v>-text 22948.5593231742,320 3.5 90 458.390 </v>
      </c>
      <c r="BD258" t="str">
        <f t="shared" si="166"/>
        <v>-text 22948.5593231742,306 3.5 90 457.644 </v>
      </c>
      <c r="BE258" t="str">
        <f t="shared" si="167"/>
        <v>-text 22948.5593231742,352 3.5 90 ZG45+899.119 </v>
      </c>
      <c r="BF258" t="str">
        <f t="shared" si="168"/>
        <v>-text 22948.5593231742,280 3.5 90 石湾渡槽出 </v>
      </c>
      <c r="BG258" t="str">
        <f t="shared" si="169"/>
        <v/>
      </c>
      <c r="BH258" t="str">
        <f t="shared" si="170"/>
        <v> </v>
      </c>
      <c r="BI258" t="str">
        <f t="shared" si="171"/>
        <v> </v>
      </c>
      <c r="BJ258" t="str">
        <f t="shared" si="172"/>
        <v> </v>
      </c>
    </row>
    <row r="259" spans="1:62">
      <c r="A259">
        <v>0</v>
      </c>
      <c r="B259">
        <v>258</v>
      </c>
      <c r="C259" t="s">
        <v>267</v>
      </c>
      <c r="D259" s="54">
        <v>475044.7358</v>
      </c>
      <c r="E259" s="54">
        <v>3381475.9324</v>
      </c>
      <c r="F259" s="54">
        <v>80</v>
      </c>
      <c r="G259" s="54">
        <f t="shared" si="146"/>
        <v>24.416</v>
      </c>
      <c r="H259" s="54">
        <f t="shared" si="147"/>
        <v>17.3083048509524</v>
      </c>
      <c r="I259" s="54">
        <f t="shared" si="148"/>
        <v>34.0911672133548</v>
      </c>
      <c r="J259" s="54">
        <f t="shared" si="149"/>
        <v>48.6712159163229</v>
      </c>
      <c r="K259" s="55">
        <f t="shared" si="150"/>
        <v>45930.4815574138</v>
      </c>
      <c r="L259" s="55">
        <f t="shared" si="151"/>
        <v>45947.5271410205</v>
      </c>
      <c r="M259" s="55">
        <f t="shared" si="152"/>
        <v>45964.5727246272</v>
      </c>
      <c r="N259" s="54">
        <v>457.67</v>
      </c>
      <c r="O259" s="54">
        <v>453.424</v>
      </c>
      <c r="P259" s="54">
        <v>0.001</v>
      </c>
      <c r="Q259" s="39">
        <f t="shared" si="153"/>
        <v>475034.023162225</v>
      </c>
      <c r="R259" s="39">
        <f t="shared" si="154"/>
        <v>3381489.5271346</v>
      </c>
      <c r="S259" s="39">
        <f t="shared" si="155"/>
        <v>475043.072582136</v>
      </c>
      <c r="T259" s="39">
        <f t="shared" si="156"/>
        <v>3381475.12011935</v>
      </c>
      <c r="U259" s="39">
        <f t="shared" si="157"/>
        <v>475048.87078908</v>
      </c>
      <c r="V259" s="39">
        <f t="shared" si="158"/>
        <v>3381459.12528002</v>
      </c>
      <c r="AI259" t="str">
        <f t="array" ref="AI259">IFERROR(INDEX($L$2:$L$789,SMALL(IF(ISNUMBER(FIND($AH$2,$C$2:$C$789)),ROW($2:$789)-1,4^8),ROW(A258)))&amp;"","")</f>
        <v/>
      </c>
      <c r="AS259" t="str">
        <f>"-text"&amp;" "&amp;D259&amp;","&amp;E259&amp;" "&amp;"10"&amp;" "&amp;"0"&amp;" "&amp;C259</f>
        <v>-text 475044.7358,3381475.9324 10 0 IP131</v>
      </c>
      <c r="AT259" t="str">
        <f t="shared" si="159"/>
        <v>475044.7358,3381475.9324</v>
      </c>
      <c r="AV259">
        <f t="shared" si="145"/>
        <v>459.224</v>
      </c>
      <c r="AX259" t="str">
        <f t="shared" si="160"/>
        <v>pl 22973.7635705103,279 22973.7635705103,400 </v>
      </c>
      <c r="AY259" t="str">
        <f t="shared" si="161"/>
        <v>22973.7635705103,453.424</v>
      </c>
      <c r="AZ259" t="str">
        <f t="shared" si="162"/>
        <v>22973.7635705103,457.67</v>
      </c>
      <c r="BA259" t="str">
        <f t="shared" si="163"/>
        <v>22973.7635705103,459.224</v>
      </c>
      <c r="BB259" t="str">
        <f t="shared" si="164"/>
        <v>-text 22972.7635705103,337 3.5 90 453.424 </v>
      </c>
      <c r="BC259" t="str">
        <f t="shared" si="165"/>
        <v>-text 22972.7635705103,320 3.5 90 459.224 </v>
      </c>
      <c r="BD259" t="str">
        <f t="shared" si="166"/>
        <v>-text 22972.7635705103,306 3.5 90 457.670 </v>
      </c>
      <c r="BE259" t="str">
        <f t="shared" si="167"/>
        <v>-text 22972.7635705103,352 3.5 90 ZG45+947.527 </v>
      </c>
      <c r="BF259" t="str">
        <f t="shared" si="168"/>
        <v>-text 22972.7635705103,280 3.5 90 IP131 </v>
      </c>
      <c r="BG259" t="str">
        <f t="shared" si="169"/>
        <v>-TEXT 22974.7635705103,300 3.5 0 R=80</v>
      </c>
      <c r="BH259" t="str">
        <f t="shared" si="170"/>
        <v>-TEXT 22974.7635705103,295 3.5 0 α=24.42° </v>
      </c>
      <c r="BI259" t="str">
        <f t="shared" si="171"/>
        <v>-TEXT 22974.7635705103,290 3.5 0 T=17.31 </v>
      </c>
      <c r="BJ259" t="str">
        <f t="shared" si="172"/>
        <v>-TEXT 22974.7635705103,285 3.5 0 S=34.09 </v>
      </c>
    </row>
    <row r="260" spans="1:62">
      <c r="A260">
        <v>0</v>
      </c>
      <c r="B260">
        <v>259</v>
      </c>
      <c r="C260" t="s">
        <v>268</v>
      </c>
      <c r="D260" s="54">
        <v>475057.5557</v>
      </c>
      <c r="E260" s="54">
        <v>3381423.8245</v>
      </c>
      <c r="F260" s="54">
        <v>80</v>
      </c>
      <c r="G260" s="54">
        <f t="shared" si="146"/>
        <v>10.983</v>
      </c>
      <c r="H260" s="54">
        <f t="shared" si="147"/>
        <v>7.69114575057003</v>
      </c>
      <c r="I260" s="54">
        <f t="shared" si="148"/>
        <v>15.335160939723</v>
      </c>
      <c r="J260" s="54">
        <f t="shared" si="149"/>
        <v>53.6617468816475</v>
      </c>
      <c r="K260" s="55">
        <f t="shared" si="150"/>
        <v>45993.2350209073</v>
      </c>
      <c r="L260" s="55">
        <f t="shared" si="151"/>
        <v>46000.9026013772</v>
      </c>
      <c r="M260" s="55">
        <f t="shared" si="152"/>
        <v>46008.570181847</v>
      </c>
      <c r="N260" s="54">
        <v>457.659</v>
      </c>
      <c r="O260" s="54">
        <v>453.413</v>
      </c>
      <c r="P260" s="54">
        <v>0.001</v>
      </c>
      <c r="Q260" s="39">
        <f t="shared" si="153"/>
        <v>475055.718269705</v>
      </c>
      <c r="R260" s="39">
        <f t="shared" si="154"/>
        <v>3381431.29293845</v>
      </c>
      <c r="S260" s="39">
        <f t="shared" si="155"/>
        <v>475057.903806732</v>
      </c>
      <c r="T260" s="39">
        <f t="shared" si="156"/>
        <v>3381423.94649606</v>
      </c>
      <c r="U260" s="39">
        <f t="shared" si="157"/>
        <v>475060.782361888</v>
      </c>
      <c r="V260" s="39">
        <f t="shared" si="158"/>
        <v>3381416.84292596</v>
      </c>
      <c r="AI260" t="str">
        <f t="array" ref="AI260">IFERROR(INDEX($L$2:$L$789,SMALL(IF(ISNUMBER(FIND($AH$2,$C$2:$C$789)),ROW($2:$789)-1,4^8),ROW(A259)))&amp;"","")</f>
        <v/>
      </c>
      <c r="AS260" t="str">
        <f>"-text"&amp;" "&amp;D260&amp;","&amp;E260&amp;" "&amp;"10"&amp;" "&amp;"0"&amp;" "&amp;C260</f>
        <v>-text 475057.5557,3381423.8245 10 0 IP132</v>
      </c>
      <c r="AT260" t="str">
        <f t="shared" si="159"/>
        <v>475057.5557,3381423.8245</v>
      </c>
      <c r="AV260">
        <f t="shared" si="145"/>
        <v>459.213</v>
      </c>
      <c r="AX260" t="str">
        <f t="shared" si="160"/>
        <v>pl 23000.4513006886,279 23000.4513006886,400 </v>
      </c>
      <c r="AY260" t="str">
        <f t="shared" si="161"/>
        <v>23000.4513006886,453.413</v>
      </c>
      <c r="AZ260" t="str">
        <f t="shared" si="162"/>
        <v>23000.4513006886,457.659</v>
      </c>
      <c r="BA260" t="str">
        <f t="shared" si="163"/>
        <v>23000.4513006886,459.213</v>
      </c>
      <c r="BB260" t="str">
        <f t="shared" si="164"/>
        <v>-text 22999.4513006886,337 3.5 90 453.413 </v>
      </c>
      <c r="BC260" t="str">
        <f t="shared" si="165"/>
        <v>-text 22999.4513006886,320 3.5 90 459.213 </v>
      </c>
      <c r="BD260" t="str">
        <f t="shared" si="166"/>
        <v>-text 22999.4513006886,306 3.5 90 457.659 </v>
      </c>
      <c r="BE260" t="str">
        <f t="shared" si="167"/>
        <v>-text 22999.4513006886,352 3.5 90 ZG46+000.903 </v>
      </c>
      <c r="BF260" t="str">
        <f t="shared" si="168"/>
        <v>-text 22999.4513006886,280 3.5 90 IP132 </v>
      </c>
      <c r="BG260" t="str">
        <f t="shared" si="169"/>
        <v>-TEXT 23001.4513006886,300 3.5 0 R=80</v>
      </c>
      <c r="BH260" t="str">
        <f t="shared" si="170"/>
        <v>-TEXT 23001.4513006886,295 3.5 0 α=10.98° </v>
      </c>
      <c r="BI260" t="str">
        <f t="shared" si="171"/>
        <v>-TEXT 23001.4513006886,290 3.5 0 T=7.69 </v>
      </c>
      <c r="BJ260" t="str">
        <f t="shared" si="172"/>
        <v>-TEXT 23001.4513006886,285 3.5 0 S=15.34 </v>
      </c>
    </row>
    <row r="261" spans="1:62">
      <c r="A261">
        <v>0</v>
      </c>
      <c r="B261">
        <v>260</v>
      </c>
      <c r="C261" t="s">
        <v>269</v>
      </c>
      <c r="D261" s="54">
        <v>475102.1676</v>
      </c>
      <c r="E261" s="54">
        <v>3381327.2971</v>
      </c>
      <c r="F261" s="54">
        <v>80</v>
      </c>
      <c r="G261" s="54">
        <f t="shared" si="146"/>
        <v>12.775</v>
      </c>
      <c r="H261" s="54">
        <f t="shared" si="147"/>
        <v>8.95576531445136</v>
      </c>
      <c r="I261" s="54">
        <f t="shared" si="148"/>
        <v>17.8372649553821</v>
      </c>
      <c r="J261" s="54">
        <f t="shared" si="149"/>
        <v>106.337954524104</v>
      </c>
      <c r="K261" s="55">
        <f t="shared" si="150"/>
        <v>46098.2612253061</v>
      </c>
      <c r="L261" s="55">
        <f t="shared" si="151"/>
        <v>46107.1798577838</v>
      </c>
      <c r="M261" s="55">
        <f t="shared" si="152"/>
        <v>46116.0984902615</v>
      </c>
      <c r="N261" s="54">
        <v>457.639</v>
      </c>
      <c r="O261" s="54">
        <v>453.393</v>
      </c>
      <c r="P261" s="54">
        <v>0.001</v>
      </c>
      <c r="Q261" s="39">
        <f t="shared" si="153"/>
        <v>475098.410393004</v>
      </c>
      <c r="R261" s="39">
        <f t="shared" si="154"/>
        <v>3381335.426622</v>
      </c>
      <c r="S261" s="39">
        <f t="shared" si="155"/>
        <v>475102.595093475</v>
      </c>
      <c r="T261" s="39">
        <f t="shared" si="156"/>
        <v>3381327.55592355</v>
      </c>
      <c r="U261" s="39">
        <f t="shared" si="157"/>
        <v>475107.62947332</v>
      </c>
      <c r="V261" s="39">
        <f t="shared" si="158"/>
        <v>3381320.19965876</v>
      </c>
      <c r="AI261" t="str">
        <f t="array" ref="AI261">IFERROR(INDEX($L$2:$L$789,SMALL(IF(ISNUMBER(FIND($AH$2,$C$2:$C$789)),ROW($2:$789)-1,4^8),ROW(A260)))&amp;"","")</f>
        <v/>
      </c>
      <c r="AS261" t="str">
        <f>"-text"&amp;" "&amp;D261&amp;","&amp;E261&amp;" "&amp;"10"&amp;" "&amp;"0"&amp;" "&amp;C261</f>
        <v>-text 475102.1676,3381327.2971 10 0 IP133</v>
      </c>
      <c r="AT261" t="str">
        <f t="shared" si="159"/>
        <v>475102.1676,3381327.2971</v>
      </c>
      <c r="AV261">
        <f t="shared" si="145"/>
        <v>459.193</v>
      </c>
      <c r="AX261" t="str">
        <f t="shared" si="160"/>
        <v>pl 23053.5899288919,279 23053.5899288919,400 </v>
      </c>
      <c r="AY261" t="str">
        <f t="shared" si="161"/>
        <v>23053.5899288919,453.393</v>
      </c>
      <c r="AZ261" t="str">
        <f t="shared" si="162"/>
        <v>23053.5899288919,457.639</v>
      </c>
      <c r="BA261" t="str">
        <f t="shared" si="163"/>
        <v>23053.5899288919,459.193</v>
      </c>
      <c r="BB261" t="str">
        <f t="shared" si="164"/>
        <v>-text 23052.5899288919,337 3.5 90 453.393 </v>
      </c>
      <c r="BC261" t="str">
        <f t="shared" si="165"/>
        <v>-text 23052.5899288919,320 3.5 90 459.193 </v>
      </c>
      <c r="BD261" t="str">
        <f t="shared" si="166"/>
        <v>-text 23052.5899288919,306 3.5 90 457.639 </v>
      </c>
      <c r="BE261" t="str">
        <f t="shared" si="167"/>
        <v>-text 23052.5899288919,352 3.5 90 ZG46+107.180 </v>
      </c>
      <c r="BF261" t="str">
        <f t="shared" si="168"/>
        <v>-text 23052.5899288919,280 3.5 90 IP133 </v>
      </c>
      <c r="BG261" t="str">
        <f t="shared" si="169"/>
        <v>-TEXT 23054.5899288919,300 3.5 0 R=80</v>
      </c>
      <c r="BH261" t="str">
        <f t="shared" si="170"/>
        <v>-TEXT 23054.5899288919,295 3.5 0 α=12.78° </v>
      </c>
      <c r="BI261" t="str">
        <f t="shared" si="171"/>
        <v>-TEXT 23054.5899288919,290 3.5 0 T=8.96 </v>
      </c>
      <c r="BJ261" t="str">
        <f t="shared" si="172"/>
        <v>-TEXT 23054.5899288919,285 3.5 0 S=17.84 </v>
      </c>
    </row>
    <row r="262" spans="1:62">
      <c r="A262">
        <v>2</v>
      </c>
      <c r="B262">
        <v>261</v>
      </c>
      <c r="C262" t="str">
        <f>Sheet1!C250</f>
        <v>蟆怪梁子渡槽进</v>
      </c>
      <c r="D262" s="54">
        <v>475145.0917</v>
      </c>
      <c r="E262" s="54">
        <v>3381271.5193</v>
      </c>
      <c r="F262" s="54"/>
      <c r="G262" s="54">
        <f t="shared" si="146"/>
        <v>0</v>
      </c>
      <c r="H262" s="54">
        <f t="shared" si="147"/>
        <v>0</v>
      </c>
      <c r="I262" s="54">
        <f t="shared" si="148"/>
        <v>0</v>
      </c>
      <c r="J262" s="54">
        <f t="shared" si="149"/>
        <v>70.3821094716601</v>
      </c>
      <c r="K262" s="55">
        <f t="shared" si="150"/>
        <v>46177.5248344187</v>
      </c>
      <c r="L262" s="55">
        <f t="shared" si="151"/>
        <v>46177.5248344187</v>
      </c>
      <c r="M262" s="55">
        <f t="shared" si="152"/>
        <v>46177.5248344187</v>
      </c>
      <c r="N262" s="54">
        <v>457.559</v>
      </c>
      <c r="O262" s="54">
        <v>453.805</v>
      </c>
      <c r="P262" s="54">
        <v>0</v>
      </c>
      <c r="Q262" s="39">
        <f t="shared" si="153"/>
        <v>475145.0917</v>
      </c>
      <c r="R262" s="39">
        <f t="shared" si="154"/>
        <v>3381271.5193</v>
      </c>
      <c r="S262" s="39" t="str">
        <f t="shared" si="155"/>
        <v> </v>
      </c>
      <c r="T262" s="39" t="str">
        <f t="shared" si="156"/>
        <v> </v>
      </c>
      <c r="U262" s="39" t="str">
        <f t="shared" si="157"/>
        <v> </v>
      </c>
      <c r="V262" s="39" t="str">
        <f t="shared" si="158"/>
        <v> </v>
      </c>
      <c r="AI262" t="str">
        <f t="array" ref="AI262">IFERROR(INDEX($L$2:$L$789,SMALL(IF(ISNUMBER(FIND($AH$2,$C$2:$C$789)),ROW($2:$789)-1,4^8),ROW(A261)))&amp;"","")</f>
        <v/>
      </c>
      <c r="AT262" t="str">
        <f t="shared" si="159"/>
        <v>475145.0917,3381271.5193</v>
      </c>
      <c r="AV262">
        <f t="shared" ref="AV262:AV325" si="173">IF(A262=0,O262+5.8,IF(A262=1,O262+5.5,O262+4.5))</f>
        <v>458.305</v>
      </c>
      <c r="AX262" t="str">
        <f t="shared" si="160"/>
        <v>pl 23088.7624172094,279 23088.7624172094,400 </v>
      </c>
      <c r="AY262" t="str">
        <f t="shared" si="161"/>
        <v>23088.7624172094,453.805</v>
      </c>
      <c r="AZ262" t="str">
        <f t="shared" si="162"/>
        <v>23088.7624172094,457.559</v>
      </c>
      <c r="BA262" t="str">
        <f t="shared" si="163"/>
        <v>23088.7624172094,458.305</v>
      </c>
      <c r="BB262" t="str">
        <f t="shared" si="164"/>
        <v>-text 23087.7624172094,337 3.5 90 453.805 </v>
      </c>
      <c r="BC262" t="str">
        <f t="shared" si="165"/>
        <v>-text 23087.7624172094,320 3.5 90 458.305 </v>
      </c>
      <c r="BD262" t="str">
        <f t="shared" si="166"/>
        <v>-text 23087.7624172094,306 3.5 90 457.559 </v>
      </c>
      <c r="BE262" t="str">
        <f t="shared" si="167"/>
        <v>-text 23087.7624172094,352 3.5 90 ZG46+177.525 </v>
      </c>
      <c r="BF262" t="str">
        <f t="shared" si="168"/>
        <v>-text 23087.7624172094,280 3.5 90 蟆怪梁子渡槽进 </v>
      </c>
      <c r="BG262" t="str">
        <f t="shared" si="169"/>
        <v/>
      </c>
      <c r="BH262" t="str">
        <f t="shared" si="170"/>
        <v> </v>
      </c>
      <c r="BI262" t="str">
        <f t="shared" si="171"/>
        <v> </v>
      </c>
      <c r="BJ262" t="str">
        <f t="shared" si="172"/>
        <v> </v>
      </c>
    </row>
    <row r="263" spans="1:62">
      <c r="A263">
        <v>2</v>
      </c>
      <c r="B263">
        <v>262</v>
      </c>
      <c r="C263" t="str">
        <f>Sheet1!C251</f>
        <v>蟆怪梁子渡槽出</v>
      </c>
      <c r="D263" s="54">
        <v>475205.5627</v>
      </c>
      <c r="E263" s="54">
        <v>3381192.94</v>
      </c>
      <c r="F263" s="54"/>
      <c r="G263" s="54">
        <f t="shared" si="146"/>
        <v>0</v>
      </c>
      <c r="H263" s="54">
        <f t="shared" si="147"/>
        <v>0</v>
      </c>
      <c r="I263" s="54">
        <f t="shared" si="148"/>
        <v>0</v>
      </c>
      <c r="J263" s="54">
        <f t="shared" si="149"/>
        <v>99.1536596877362</v>
      </c>
      <c r="K263" s="55">
        <f t="shared" si="150"/>
        <v>46276.6784941064</v>
      </c>
      <c r="L263" s="55">
        <f t="shared" si="151"/>
        <v>46276.6784941064</v>
      </c>
      <c r="M263" s="55">
        <f t="shared" si="152"/>
        <v>46276.6784941064</v>
      </c>
      <c r="N263" s="54">
        <v>457.526</v>
      </c>
      <c r="O263" s="54">
        <v>453.772</v>
      </c>
      <c r="P263" s="54">
        <v>0</v>
      </c>
      <c r="Q263" s="39">
        <f t="shared" si="153"/>
        <v>475205.5627</v>
      </c>
      <c r="R263" s="39">
        <f t="shared" si="154"/>
        <v>3381192.94</v>
      </c>
      <c r="S263" s="39" t="str">
        <f t="shared" si="155"/>
        <v> </v>
      </c>
      <c r="T263" s="39" t="str">
        <f t="shared" si="156"/>
        <v> </v>
      </c>
      <c r="U263" s="39" t="str">
        <f t="shared" si="157"/>
        <v> </v>
      </c>
      <c r="V263" s="39" t="str">
        <f t="shared" si="158"/>
        <v> </v>
      </c>
      <c r="AI263" t="str">
        <f t="array" ref="AI263">IFERROR(INDEX($L$2:$L$789,SMALL(IF(ISNUMBER(FIND($AH$2,$C$2:$C$789)),ROW($2:$789)-1,4^8),ROW(A262)))&amp;"","")</f>
        <v/>
      </c>
      <c r="AT263" t="str">
        <f t="shared" si="159"/>
        <v>475205.5627,3381192.94</v>
      </c>
      <c r="AV263">
        <f t="shared" si="173"/>
        <v>458.272</v>
      </c>
      <c r="AX263" t="str">
        <f t="shared" si="160"/>
        <v>pl 23138.3392470532,279 23138.3392470532,400 </v>
      </c>
      <c r="AY263" t="str">
        <f t="shared" si="161"/>
        <v>23138.3392470532,453.772</v>
      </c>
      <c r="AZ263" t="str">
        <f t="shared" si="162"/>
        <v>23138.3392470532,457.526</v>
      </c>
      <c r="BA263" t="str">
        <f t="shared" si="163"/>
        <v>23138.3392470532,458.272</v>
      </c>
      <c r="BB263" t="str">
        <f t="shared" si="164"/>
        <v>-text 23137.3392470532,337 3.5 90 453.772 </v>
      </c>
      <c r="BC263" t="str">
        <f t="shared" si="165"/>
        <v>-text 23137.3392470532,320 3.5 90 458.272 </v>
      </c>
      <c r="BD263" t="str">
        <f t="shared" si="166"/>
        <v>-text 23137.3392470532,306 3.5 90 457.526 </v>
      </c>
      <c r="BE263" t="str">
        <f t="shared" si="167"/>
        <v>-text 23137.3392470532,352 3.5 90 ZG46+276.678 </v>
      </c>
      <c r="BF263" t="str">
        <f t="shared" si="168"/>
        <v>-text 23137.3392470532,280 3.5 90 蟆怪梁子渡槽出 </v>
      </c>
      <c r="BG263" t="str">
        <f t="shared" si="169"/>
        <v/>
      </c>
      <c r="BH263" t="str">
        <f t="shared" si="170"/>
        <v> </v>
      </c>
      <c r="BI263" t="str">
        <f t="shared" si="171"/>
        <v> </v>
      </c>
      <c r="BJ263" t="str">
        <f t="shared" si="172"/>
        <v> </v>
      </c>
    </row>
    <row r="264" spans="1:62">
      <c r="A264">
        <v>0</v>
      </c>
      <c r="B264">
        <v>263</v>
      </c>
      <c r="C264" t="s">
        <v>272</v>
      </c>
      <c r="D264" s="54">
        <v>475221.481</v>
      </c>
      <c r="E264" s="54">
        <v>3381172.255</v>
      </c>
      <c r="F264" s="54">
        <v>80</v>
      </c>
      <c r="G264" s="54">
        <f t="shared" si="146"/>
        <v>22.711</v>
      </c>
      <c r="H264" s="54">
        <f t="shared" si="147"/>
        <v>16.0661797801333</v>
      </c>
      <c r="I264" s="54">
        <f t="shared" si="148"/>
        <v>31.7105381136346</v>
      </c>
      <c r="J264" s="54">
        <f t="shared" si="149"/>
        <v>26.1009865693412</v>
      </c>
      <c r="K264" s="55">
        <f t="shared" si="150"/>
        <v>46286.7133008956</v>
      </c>
      <c r="L264" s="55">
        <f t="shared" si="151"/>
        <v>46302.5685699525</v>
      </c>
      <c r="M264" s="55">
        <f t="shared" si="152"/>
        <v>46318.4238390093</v>
      </c>
      <c r="N264" s="54">
        <v>457.557</v>
      </c>
      <c r="O264" s="54">
        <v>453.311</v>
      </c>
      <c r="P264" s="54">
        <v>0.001</v>
      </c>
      <c r="Q264" s="39">
        <f t="shared" si="153"/>
        <v>475211.682662726</v>
      </c>
      <c r="R264" s="39">
        <f t="shared" si="154"/>
        <v>3381184.98742787</v>
      </c>
      <c r="S264" s="39">
        <f t="shared" si="155"/>
        <v>475220.048095105</v>
      </c>
      <c r="T264" s="39">
        <f t="shared" si="156"/>
        <v>3381171.54915219</v>
      </c>
      <c r="U264" s="39">
        <f t="shared" si="157"/>
        <v>475225.603817656</v>
      </c>
      <c r="V264" s="39">
        <f t="shared" si="158"/>
        <v>3381156.72681571</v>
      </c>
      <c r="AI264" t="str">
        <f t="array" ref="AI264">IFERROR(INDEX($L$2:$L$789,SMALL(IF(ISNUMBER(FIND($AH$2,$C$2:$C$789)),ROW($2:$789)-1,4^8),ROW(A263)))&amp;"","")</f>
        <v/>
      </c>
      <c r="AS264" t="str">
        <f>"-text"&amp;" "&amp;D264&amp;","&amp;E264&amp;" "&amp;"10"&amp;" "&amp;"0"&amp;" "&amp;C264</f>
        <v>-text 475221.481,3381172.255 10 0 IP134</v>
      </c>
      <c r="AT264" t="str">
        <f t="shared" si="159"/>
        <v>475221.481,3381172.255</v>
      </c>
      <c r="AV264">
        <f t="shared" si="173"/>
        <v>459.111</v>
      </c>
      <c r="AX264" t="str">
        <f t="shared" si="160"/>
        <v>pl 23151.2842849762,279 23151.2842849762,400 </v>
      </c>
      <c r="AY264" t="str">
        <f t="shared" si="161"/>
        <v>23151.2842849762,453.311</v>
      </c>
      <c r="AZ264" t="str">
        <f t="shared" si="162"/>
        <v>23151.2842849762,457.557</v>
      </c>
      <c r="BA264" t="str">
        <f t="shared" si="163"/>
        <v>23151.2842849762,459.111</v>
      </c>
      <c r="BB264" t="str">
        <f t="shared" si="164"/>
        <v>-text 23150.2842849762,337 3.5 90 453.311 </v>
      </c>
      <c r="BC264" t="str">
        <f t="shared" si="165"/>
        <v>-text 23150.2842849762,320 3.5 90 459.111 </v>
      </c>
      <c r="BD264" t="str">
        <f t="shared" si="166"/>
        <v>-text 23150.2842849762,306 3.5 90 457.557 </v>
      </c>
      <c r="BE264" t="str">
        <f t="shared" si="167"/>
        <v>-text 23150.2842849762,352 3.5 90 ZG46+302.569 </v>
      </c>
      <c r="BF264" t="str">
        <f t="shared" si="168"/>
        <v>-text 23150.2842849762,280 3.5 90 IP134 </v>
      </c>
      <c r="BG264" t="str">
        <f t="shared" si="169"/>
        <v>-TEXT 23152.2842849762,300 3.5 0 R=80</v>
      </c>
      <c r="BH264" t="str">
        <f t="shared" si="170"/>
        <v>-TEXT 23152.2842849762,295 3.5 0 α=22.71° </v>
      </c>
      <c r="BI264" t="str">
        <f t="shared" si="171"/>
        <v>-TEXT 23152.2842849762,290 3.5 0 T=16.07 </v>
      </c>
      <c r="BJ264" t="str">
        <f t="shared" si="172"/>
        <v>-TEXT 23152.2842849762,285 3.5 0 S=31.71 </v>
      </c>
    </row>
    <row r="265" spans="1:62">
      <c r="A265">
        <v>0</v>
      </c>
      <c r="B265">
        <v>264</v>
      </c>
      <c r="C265" s="47" t="str">
        <f>Sheet1!C253</f>
        <v>资水河倒虹管进</v>
      </c>
      <c r="D265" s="47">
        <v>475241.6018</v>
      </c>
      <c r="E265" s="47">
        <v>3381096.472</v>
      </c>
      <c r="F265" s="54"/>
      <c r="G265" s="54">
        <f t="shared" si="146"/>
        <v>0</v>
      </c>
      <c r="H265" s="54">
        <f t="shared" si="147"/>
        <v>0</v>
      </c>
      <c r="I265" s="54">
        <f t="shared" si="148"/>
        <v>0</v>
      </c>
      <c r="J265" s="54">
        <f t="shared" si="149"/>
        <v>78.4086071908684</v>
      </c>
      <c r="K265" s="55">
        <f t="shared" si="150"/>
        <v>46380.76626642</v>
      </c>
      <c r="L265" s="55">
        <f t="shared" si="151"/>
        <v>46380.76626642</v>
      </c>
      <c r="M265" s="55">
        <f t="shared" si="152"/>
        <v>46380.76626642</v>
      </c>
      <c r="N265" s="47">
        <v>457.542</v>
      </c>
      <c r="O265" s="47">
        <v>453.528</v>
      </c>
      <c r="P265" s="47">
        <v>0</v>
      </c>
      <c r="Q265" s="39">
        <f t="shared" si="153"/>
        <v>475241.6018</v>
      </c>
      <c r="R265" s="39">
        <f t="shared" si="154"/>
        <v>3381096.472</v>
      </c>
      <c r="S265" s="39" t="str">
        <f t="shared" si="155"/>
        <v> </v>
      </c>
      <c r="T265" s="39" t="str">
        <f t="shared" si="156"/>
        <v> </v>
      </c>
      <c r="U265" s="39" t="str">
        <f t="shared" si="157"/>
        <v> </v>
      </c>
      <c r="V265" s="39" t="str">
        <f t="shared" si="158"/>
        <v> </v>
      </c>
      <c r="AI265" t="str">
        <f t="array" ref="AI265">IFERROR(INDEX($L$2:$L$789,SMALL(IF(ISNUMBER(FIND($AH$2,$C$2:$C$789)),ROW($2:$789)-1,4^8),ROW(A264)))&amp;"","")</f>
        <v/>
      </c>
      <c r="AT265" t="str">
        <f t="shared" si="159"/>
        <v>475241.6018,3381096.472</v>
      </c>
      <c r="AV265">
        <f t="shared" si="173"/>
        <v>459.328</v>
      </c>
      <c r="AX265" t="str">
        <f t="shared" si="160"/>
        <v>pl 23190.38313321,279 23190.38313321,400 </v>
      </c>
      <c r="AY265" t="str">
        <f t="shared" si="161"/>
        <v>23190.38313321,453.528</v>
      </c>
      <c r="AZ265" t="str">
        <f t="shared" si="162"/>
        <v>23190.38313321,457.542</v>
      </c>
      <c r="BA265" t="str">
        <f t="shared" si="163"/>
        <v>23190.38313321,459.328</v>
      </c>
      <c r="BB265" t="str">
        <f t="shared" si="164"/>
        <v>-text 23189.38313321,337 3.5 90 453.528 </v>
      </c>
      <c r="BC265" t="str">
        <f t="shared" si="165"/>
        <v>-text 23189.38313321,320 3.5 90 459.328 </v>
      </c>
      <c r="BD265" t="str">
        <f t="shared" si="166"/>
        <v>-text 23189.38313321,306 3.5 90 457.542 </v>
      </c>
      <c r="BE265" t="str">
        <f t="shared" si="167"/>
        <v>-text 23189.38313321,352 3.5 90 ZG46+380.766 </v>
      </c>
      <c r="BF265" t="str">
        <f t="shared" si="168"/>
        <v>-text 23189.38313321,280 3.5 90 资水河倒虹管进 </v>
      </c>
      <c r="BG265" t="str">
        <f t="shared" si="169"/>
        <v/>
      </c>
      <c r="BH265" t="str">
        <f t="shared" si="170"/>
        <v> </v>
      </c>
      <c r="BI265" t="str">
        <f t="shared" si="171"/>
        <v> </v>
      </c>
      <c r="BJ265" t="str">
        <f t="shared" si="172"/>
        <v> </v>
      </c>
    </row>
    <row r="266" spans="1:62">
      <c r="A266">
        <v>0</v>
      </c>
      <c r="B266">
        <v>265</v>
      </c>
      <c r="C266" t="s">
        <v>824</v>
      </c>
      <c r="D266" s="47">
        <v>475260.8889</v>
      </c>
      <c r="E266" s="47">
        <v>3381023.8292</v>
      </c>
      <c r="F266" s="54">
        <v>12</v>
      </c>
      <c r="G266" s="54">
        <f t="shared" si="146"/>
        <v>56.974</v>
      </c>
      <c r="H266" s="54">
        <f t="shared" si="147"/>
        <v>6.51194345780732</v>
      </c>
      <c r="I266" s="54">
        <f t="shared" si="148"/>
        <v>11.932606656375</v>
      </c>
      <c r="J266" s="54">
        <f t="shared" si="149"/>
        <v>75.1596209294263</v>
      </c>
      <c r="K266" s="55">
        <f t="shared" si="150"/>
        <v>46449.4139438916</v>
      </c>
      <c r="L266" s="55">
        <f t="shared" si="151"/>
        <v>46455.3802472198</v>
      </c>
      <c r="M266" s="55">
        <f t="shared" si="152"/>
        <v>46461.346550548</v>
      </c>
      <c r="N266" s="47"/>
      <c r="O266" s="47">
        <v>453.528</v>
      </c>
      <c r="P266" s="47">
        <v>0</v>
      </c>
      <c r="Q266" s="39">
        <f t="shared" si="153"/>
        <v>475259.217836427</v>
      </c>
      <c r="R266" s="39">
        <f t="shared" si="154"/>
        <v>3381030.12308228</v>
      </c>
      <c r="S266" s="39">
        <f t="shared" si="155"/>
        <v>475262.090820999</v>
      </c>
      <c r="T266" s="39">
        <f t="shared" si="156"/>
        <v>3381024.96406725</v>
      </c>
      <c r="U266" s="39">
        <f t="shared" si="157"/>
        <v>475267.076603248</v>
      </c>
      <c r="V266" s="39">
        <f t="shared" si="158"/>
        <v>3381021.79997943</v>
      </c>
      <c r="AI266" t="str">
        <f t="array" ref="AI266">IFERROR(INDEX($L$2:$L$789,SMALL(IF(ISNUMBER(FIND($AH$2,$C$2:$C$789)),ROW($2:$789)-1,4^8),ROW(A265)))&amp;"","")</f>
        <v/>
      </c>
      <c r="AS266" t="str">
        <f t="shared" ref="AS266:AS280" si="174">"-text"&amp;" "&amp;D266&amp;","&amp;E266&amp;" "&amp;"10"&amp;" "&amp;"0"&amp;" "&amp;C266</f>
        <v>-text 475260.8889,3381023.8292 10 0 IP135</v>
      </c>
      <c r="AT266" t="str">
        <f t="shared" si="159"/>
        <v>475260.8889,3381023.8292</v>
      </c>
      <c r="AV266">
        <f t="shared" si="173"/>
        <v>459.328</v>
      </c>
      <c r="AX266" t="str">
        <f t="shared" si="160"/>
        <v>pl 23227.6901236099,279 23227.6901236099,400 </v>
      </c>
      <c r="AY266" t="str">
        <f t="shared" si="161"/>
        <v>23227.6901236099,453.528</v>
      </c>
      <c r="AZ266" t="str">
        <f t="shared" si="162"/>
        <v>23227.6901236099,</v>
      </c>
      <c r="BA266" t="str">
        <f t="shared" si="163"/>
        <v>23227.6901236099,459.328</v>
      </c>
      <c r="BB266" t="str">
        <f t="shared" si="164"/>
        <v>-text 23226.6901236099,337 3.5 90 453.528 </v>
      </c>
      <c r="BC266" t="str">
        <f t="shared" si="165"/>
        <v>-text 23226.6901236099,320 3.5 90 459.328 </v>
      </c>
      <c r="BD266" t="str">
        <f t="shared" si="166"/>
        <v>-text 23226.6901236099,306 3.5 90 0.000 </v>
      </c>
      <c r="BE266" t="str">
        <f t="shared" si="167"/>
        <v>-text 23226.6901236099,352 3.5 90 ZG46+455.380 </v>
      </c>
      <c r="BF266" t="str">
        <f t="shared" si="168"/>
        <v>-text 23226.6901236099,280 3.5 90 IP135 </v>
      </c>
      <c r="BG266" t="str">
        <f t="shared" si="169"/>
        <v>-TEXT 23228.6901236099,300 3.5 0 R=12</v>
      </c>
      <c r="BH266" t="str">
        <f t="shared" si="170"/>
        <v>-TEXT 23228.6901236099,295 3.5 0 α=56.97° </v>
      </c>
      <c r="BI266" t="str">
        <f t="shared" si="171"/>
        <v>-TEXT 23228.6901236099,290 3.5 0 T=6.51 </v>
      </c>
      <c r="BJ266" t="str">
        <f t="shared" si="172"/>
        <v>-TEXT 23228.6901236099,285 3.5 0 S=11.93 </v>
      </c>
    </row>
    <row r="267" spans="1:62">
      <c r="A267">
        <v>0</v>
      </c>
      <c r="B267">
        <v>266</v>
      </c>
      <c r="C267" t="s">
        <v>825</v>
      </c>
      <c r="D267" s="47">
        <v>475513.2176</v>
      </c>
      <c r="E267" s="47">
        <v>3380941.0795</v>
      </c>
      <c r="F267" s="54">
        <v>12</v>
      </c>
      <c r="G267" s="54">
        <f t="shared" si="146"/>
        <v>37.218</v>
      </c>
      <c r="H267" s="54">
        <f t="shared" si="147"/>
        <v>4.04054472794252</v>
      </c>
      <c r="I267" s="54">
        <f t="shared" si="148"/>
        <v>7.794919692087</v>
      </c>
      <c r="J267" s="54">
        <f t="shared" si="149"/>
        <v>265.550909796529</v>
      </c>
      <c r="K267" s="55">
        <f t="shared" si="150"/>
        <v>46716.3449721588</v>
      </c>
      <c r="L267" s="55">
        <f t="shared" si="151"/>
        <v>46720.2424320048</v>
      </c>
      <c r="M267" s="55">
        <f t="shared" si="152"/>
        <v>46724.1398918509</v>
      </c>
      <c r="N267" s="47"/>
      <c r="O267" s="47">
        <v>453.528</v>
      </c>
      <c r="P267" s="47">
        <v>0</v>
      </c>
      <c r="Q267" s="39">
        <f t="shared" si="153"/>
        <v>475509.378240537</v>
      </c>
      <c r="R267" s="39">
        <f t="shared" si="154"/>
        <v>3380942.33859516</v>
      </c>
      <c r="S267" s="39">
        <f t="shared" si="155"/>
        <v>475512.821368907</v>
      </c>
      <c r="T267" s="39">
        <f t="shared" si="156"/>
        <v>3380940.54918441</v>
      </c>
      <c r="U267" s="39">
        <f t="shared" si="157"/>
        <v>475515.513466364</v>
      </c>
      <c r="V267" s="39">
        <f t="shared" si="158"/>
        <v>3380937.75459409</v>
      </c>
      <c r="AI267" t="str">
        <f t="array" ref="AI267">IFERROR(INDEX($L$2:$L$789,SMALL(IF(ISNUMBER(FIND($AH$2,$C$2:$C$789)),ROW($2:$789)-1,4^8),ROW(A266)))&amp;"","")</f>
        <v/>
      </c>
      <c r="AS267" t="str">
        <f t="shared" si="174"/>
        <v>-text 475513.2176,3380941.0795 10 0 IP136</v>
      </c>
      <c r="AT267" t="str">
        <f t="shared" si="159"/>
        <v>475513.2176,3380941.0795</v>
      </c>
      <c r="AV267">
        <f t="shared" si="173"/>
        <v>459.328</v>
      </c>
      <c r="AX267" t="str">
        <f t="shared" si="160"/>
        <v>pl 23360.1212160024,279 23360.1212160024,400 </v>
      </c>
      <c r="AY267" t="str">
        <f t="shared" si="161"/>
        <v>23360.1212160024,453.528</v>
      </c>
      <c r="AZ267" t="str">
        <f t="shared" si="162"/>
        <v>23360.1212160024,</v>
      </c>
      <c r="BA267" t="str">
        <f t="shared" si="163"/>
        <v>23360.1212160024,459.328</v>
      </c>
      <c r="BB267" t="str">
        <f t="shared" si="164"/>
        <v>-text 23359.1212160024,337 3.5 90 453.528 </v>
      </c>
      <c r="BC267" t="str">
        <f t="shared" si="165"/>
        <v>-text 23359.1212160024,320 3.5 90 459.328 </v>
      </c>
      <c r="BD267" t="str">
        <f t="shared" si="166"/>
        <v>-text 23359.1212160024,306 3.5 90 0.000 </v>
      </c>
      <c r="BE267" t="str">
        <f t="shared" si="167"/>
        <v>-text 23359.1212160024,352 3.5 90 ZG46+720.242 </v>
      </c>
      <c r="BF267" t="str">
        <f t="shared" si="168"/>
        <v>-text 23359.1212160024,280 3.5 90 IP136 </v>
      </c>
      <c r="BG267" t="str">
        <f t="shared" si="169"/>
        <v>-TEXT 23361.1212160024,300 3.5 0 R=12</v>
      </c>
      <c r="BH267" t="str">
        <f t="shared" si="170"/>
        <v>-TEXT 23361.1212160024,295 3.5 0 α=37.22° </v>
      </c>
      <c r="BI267" t="str">
        <f t="shared" si="171"/>
        <v>-TEXT 23361.1212160024,290 3.5 0 T=4.04 </v>
      </c>
      <c r="BJ267" t="str">
        <f t="shared" si="172"/>
        <v>-TEXT 23361.1212160024,285 3.5 0 S=7.79 </v>
      </c>
    </row>
    <row r="268" spans="1:62">
      <c r="A268">
        <v>0</v>
      </c>
      <c r="B268">
        <v>267</v>
      </c>
      <c r="C268" t="s">
        <v>826</v>
      </c>
      <c r="D268" s="47">
        <v>475646.9836</v>
      </c>
      <c r="E268" s="47">
        <v>3380747.3577</v>
      </c>
      <c r="F268" s="54">
        <v>12</v>
      </c>
      <c r="G268" s="54">
        <f t="shared" si="146"/>
        <v>31.446</v>
      </c>
      <c r="H268" s="54">
        <f t="shared" si="147"/>
        <v>3.37824617295967</v>
      </c>
      <c r="I268" s="54">
        <f t="shared" si="148"/>
        <v>6.58603483898564</v>
      </c>
      <c r="J268" s="54">
        <f t="shared" si="149"/>
        <v>235.417668307241</v>
      </c>
      <c r="K268" s="55">
        <f t="shared" si="150"/>
        <v>46952.1387692572</v>
      </c>
      <c r="L268" s="55">
        <f t="shared" si="151"/>
        <v>46955.4317866767</v>
      </c>
      <c r="M268" s="55">
        <f t="shared" si="152"/>
        <v>46958.7248040962</v>
      </c>
      <c r="N268" s="47"/>
      <c r="O268" s="47">
        <v>453.528</v>
      </c>
      <c r="P268" s="47">
        <v>0</v>
      </c>
      <c r="Q268" s="39">
        <f t="shared" si="153"/>
        <v>475645.064056404</v>
      </c>
      <c r="R268" s="39">
        <f t="shared" si="154"/>
        <v>3380750.13761</v>
      </c>
      <c r="S268" s="39">
        <f t="shared" si="155"/>
        <v>475646.542291561</v>
      </c>
      <c r="T268" s="39">
        <f t="shared" si="156"/>
        <v>3380747.20658843</v>
      </c>
      <c r="U268" s="39">
        <f t="shared" si="157"/>
        <v>475647.170934676</v>
      </c>
      <c r="V268" s="39">
        <f t="shared" si="158"/>
        <v>3380743.98465198</v>
      </c>
      <c r="AI268" t="str">
        <f t="array" ref="AI268">IFERROR(INDEX($L$2:$L$789,SMALL(IF(ISNUMBER(FIND($AH$2,$C$2:$C$789)),ROW($2:$789)-1,4^8),ROW(A267)))&amp;"","")</f>
        <v/>
      </c>
      <c r="AS268" t="str">
        <f t="shared" si="174"/>
        <v>-text 475646.9836,3380747.3577 10 0 IP137</v>
      </c>
      <c r="AT268" t="str">
        <f t="shared" si="159"/>
        <v>475646.9836,3380747.3577</v>
      </c>
      <c r="AV268">
        <f t="shared" si="173"/>
        <v>459.328</v>
      </c>
      <c r="AX268" t="str">
        <f t="shared" si="160"/>
        <v>pl 23477.7158933384,279 23477.7158933384,400 </v>
      </c>
      <c r="AY268" t="str">
        <f t="shared" si="161"/>
        <v>23477.7158933384,453.528</v>
      </c>
      <c r="AZ268" t="str">
        <f t="shared" si="162"/>
        <v>23477.7158933384,</v>
      </c>
      <c r="BA268" t="str">
        <f t="shared" si="163"/>
        <v>23477.7158933384,459.328</v>
      </c>
      <c r="BB268" t="str">
        <f t="shared" si="164"/>
        <v>-text 23476.7158933384,337 3.5 90 453.528 </v>
      </c>
      <c r="BC268" t="str">
        <f t="shared" si="165"/>
        <v>-text 23476.7158933384,320 3.5 90 459.328 </v>
      </c>
      <c r="BD268" t="str">
        <f t="shared" si="166"/>
        <v>-text 23476.7158933384,306 3.5 90 0.000 </v>
      </c>
      <c r="BE268" t="str">
        <f t="shared" si="167"/>
        <v>-text 23476.7158933384,352 3.5 90 ZG46+955.432 </v>
      </c>
      <c r="BF268" t="str">
        <f t="shared" si="168"/>
        <v>-text 23476.7158933384,280 3.5 90 IP137 </v>
      </c>
      <c r="BG268" t="str">
        <f t="shared" si="169"/>
        <v>-TEXT 23478.7158933384,300 3.5 0 R=12</v>
      </c>
      <c r="BH268" t="str">
        <f t="shared" si="170"/>
        <v>-TEXT 23478.7158933384,295 3.5 0 α=31.45° </v>
      </c>
      <c r="BI268" t="str">
        <f t="shared" si="171"/>
        <v>-TEXT 23478.7158933384,290 3.5 0 T=3.38 </v>
      </c>
      <c r="BJ268" t="str">
        <f t="shared" si="172"/>
        <v>-TEXT 23478.7158933384,285 3.5 0 S=6.59 </v>
      </c>
    </row>
    <row r="269" spans="1:62">
      <c r="A269">
        <v>0</v>
      </c>
      <c r="B269">
        <v>268</v>
      </c>
      <c r="C269" t="s">
        <v>827</v>
      </c>
      <c r="D269" s="47">
        <v>475666.653</v>
      </c>
      <c r="E269" s="47">
        <v>3380393.201</v>
      </c>
      <c r="F269" s="54">
        <v>12</v>
      </c>
      <c r="G269" s="54">
        <f t="shared" si="146"/>
        <v>35.094</v>
      </c>
      <c r="H269" s="54">
        <f t="shared" si="147"/>
        <v>3.79441051644301</v>
      </c>
      <c r="I269" s="54">
        <f t="shared" si="148"/>
        <v>7.35007017233868</v>
      </c>
      <c r="J269" s="54">
        <f t="shared" si="149"/>
        <v>354.702485826317</v>
      </c>
      <c r="K269" s="55">
        <f t="shared" si="150"/>
        <v>47306.2546332331</v>
      </c>
      <c r="L269" s="55">
        <f t="shared" si="151"/>
        <v>47309.9296683193</v>
      </c>
      <c r="M269" s="55">
        <f t="shared" si="152"/>
        <v>47313.6047034055</v>
      </c>
      <c r="N269" s="47"/>
      <c r="O269" s="47">
        <v>453.528</v>
      </c>
      <c r="P269" s="47">
        <v>0</v>
      </c>
      <c r="Q269" s="39">
        <f t="shared" si="153"/>
        <v>475666.442587665</v>
      </c>
      <c r="R269" s="39">
        <f t="shared" si="154"/>
        <v>3380396.989572</v>
      </c>
      <c r="S269" s="39">
        <f t="shared" si="155"/>
        <v>475667.200704816</v>
      </c>
      <c r="T269" s="39">
        <f t="shared" si="156"/>
        <v>3380393.40824056</v>
      </c>
      <c r="U269" s="39">
        <f t="shared" si="157"/>
        <v>475669.003262146</v>
      </c>
      <c r="V269" s="39">
        <f t="shared" si="158"/>
        <v>3380390.2221044</v>
      </c>
      <c r="AI269" t="str">
        <f t="array" ref="AI269">IFERROR(INDEX($L$2:$L$789,SMALL(IF(ISNUMBER(FIND($AH$2,$C$2:$C$789)),ROW($2:$789)-1,4^8),ROW(A268)))&amp;"","")</f>
        <v/>
      </c>
      <c r="AS269" t="str">
        <f t="shared" si="174"/>
        <v>-text 475666.653,3380393.201 10 0 IP138</v>
      </c>
      <c r="AT269" t="str">
        <f t="shared" si="159"/>
        <v>475666.653,3380393.201</v>
      </c>
      <c r="AV269">
        <f t="shared" si="173"/>
        <v>459.328</v>
      </c>
      <c r="AX269" t="str">
        <f t="shared" si="160"/>
        <v>pl 23654.9648341596,279 23654.9648341596,400 </v>
      </c>
      <c r="AY269" t="str">
        <f t="shared" si="161"/>
        <v>23654.9648341596,453.528</v>
      </c>
      <c r="AZ269" t="str">
        <f t="shared" si="162"/>
        <v>23654.9648341596,</v>
      </c>
      <c r="BA269" t="str">
        <f t="shared" si="163"/>
        <v>23654.9648341596,459.328</v>
      </c>
      <c r="BB269" t="str">
        <f t="shared" si="164"/>
        <v>-text 23653.9648341596,337 3.5 90 453.528 </v>
      </c>
      <c r="BC269" t="str">
        <f t="shared" si="165"/>
        <v>-text 23653.9648341596,320 3.5 90 459.328 </v>
      </c>
      <c r="BD269" t="str">
        <f t="shared" si="166"/>
        <v>-text 23653.9648341596,306 3.5 90 0.000 </v>
      </c>
      <c r="BE269" t="str">
        <f t="shared" si="167"/>
        <v>-text 23653.9648341596,352 3.5 90 ZG47+309.930 </v>
      </c>
      <c r="BF269" t="str">
        <f t="shared" si="168"/>
        <v>-text 23653.9648341596,280 3.5 90 IP138 </v>
      </c>
      <c r="BG269" t="str">
        <f t="shared" si="169"/>
        <v>-TEXT 23655.9648341596,300 3.5 0 R=12</v>
      </c>
      <c r="BH269" t="str">
        <f t="shared" si="170"/>
        <v>-TEXT 23655.9648341596,295 3.5 0 α=35.09° </v>
      </c>
      <c r="BI269" t="str">
        <f t="shared" si="171"/>
        <v>-TEXT 23655.9648341596,290 3.5 0 T=3.79 </v>
      </c>
      <c r="BJ269" t="str">
        <f t="shared" si="172"/>
        <v>-TEXT 23655.9648341596,285 3.5 0 S=7.35 </v>
      </c>
    </row>
    <row r="270" spans="1:62">
      <c r="A270">
        <v>0</v>
      </c>
      <c r="B270">
        <v>269</v>
      </c>
      <c r="C270" t="s">
        <v>828</v>
      </c>
      <c r="D270" s="47">
        <v>475770.6804</v>
      </c>
      <c r="E270" s="47">
        <v>3380261.349</v>
      </c>
      <c r="F270" s="54">
        <v>12</v>
      </c>
      <c r="G270" s="54">
        <f t="shared" si="146"/>
        <v>17.165</v>
      </c>
      <c r="H270" s="54">
        <f t="shared" si="147"/>
        <v>1.81108052164523</v>
      </c>
      <c r="I270" s="54">
        <f t="shared" si="148"/>
        <v>3.59502919325792</v>
      </c>
      <c r="J270" s="54">
        <f t="shared" si="149"/>
        <v>167.948354724756</v>
      </c>
      <c r="K270" s="55">
        <f t="shared" si="150"/>
        <v>47475.9475670921</v>
      </c>
      <c r="L270" s="55">
        <f t="shared" si="151"/>
        <v>47477.7450816888</v>
      </c>
      <c r="M270" s="55">
        <f t="shared" si="152"/>
        <v>47479.5425962854</v>
      </c>
      <c r="N270" s="47"/>
      <c r="O270" s="47">
        <v>453.528</v>
      </c>
      <c r="P270" s="47">
        <v>0</v>
      </c>
      <c r="Q270" s="39">
        <f t="shared" si="153"/>
        <v>475769.558614686</v>
      </c>
      <c r="R270" s="39">
        <f t="shared" si="154"/>
        <v>3380262.77083345</v>
      </c>
      <c r="S270" s="39">
        <f t="shared" si="155"/>
        <v>475770.773331462</v>
      </c>
      <c r="T270" s="39">
        <f t="shared" si="156"/>
        <v>3380261.44815149</v>
      </c>
      <c r="U270" s="39">
        <f t="shared" si="157"/>
        <v>475772.171829869</v>
      </c>
      <c r="V270" s="39">
        <f t="shared" si="158"/>
        <v>3380260.3215519</v>
      </c>
      <c r="AI270" t="str">
        <f t="array" ref="AI270">IFERROR(INDEX($L$2:$L$789,SMALL(IF(ISNUMBER(FIND($AH$2,$C$2:$C$789)),ROW($2:$789)-1,4^8),ROW(A269)))&amp;"","")</f>
        <v/>
      </c>
      <c r="AS270" t="str">
        <f t="shared" si="174"/>
        <v>-text 475770.6804,3380261.349 10 0 IP139</v>
      </c>
      <c r="AT270" t="str">
        <f t="shared" si="159"/>
        <v>475770.6804,3380261.349</v>
      </c>
      <c r="AV270">
        <f t="shared" si="173"/>
        <v>459.328</v>
      </c>
      <c r="AX270" t="str">
        <f t="shared" si="160"/>
        <v>pl 23738.8725408444,279 23738.8725408444,400 </v>
      </c>
      <c r="AY270" t="str">
        <f t="shared" si="161"/>
        <v>23738.8725408444,453.528</v>
      </c>
      <c r="AZ270" t="str">
        <f t="shared" si="162"/>
        <v>23738.8725408444,</v>
      </c>
      <c r="BA270" t="str">
        <f t="shared" si="163"/>
        <v>23738.8725408444,459.328</v>
      </c>
      <c r="BB270" t="str">
        <f t="shared" si="164"/>
        <v>-text 23737.8725408444,337 3.5 90 453.528 </v>
      </c>
      <c r="BC270" t="str">
        <f t="shared" si="165"/>
        <v>-text 23737.8725408444,320 3.5 90 459.328 </v>
      </c>
      <c r="BD270" t="str">
        <f t="shared" si="166"/>
        <v>-text 23737.8725408444,306 3.5 90 0.000 </v>
      </c>
      <c r="BE270" t="str">
        <f t="shared" si="167"/>
        <v>-text 23737.8725408444,352 3.5 90 ZG47+477.745 </v>
      </c>
      <c r="BF270" t="str">
        <f t="shared" si="168"/>
        <v>-text 23737.8725408444,280 3.5 90 IP139 </v>
      </c>
      <c r="BG270" t="str">
        <f t="shared" si="169"/>
        <v>-TEXT 23739.8725408444,300 3.5 0 R=12</v>
      </c>
      <c r="BH270" t="str">
        <f t="shared" si="170"/>
        <v>-TEXT 23739.8725408444,295 3.5 0 α=17.17° </v>
      </c>
      <c r="BI270" t="str">
        <f t="shared" si="171"/>
        <v>-TEXT 23739.8725408444,290 3.5 0 T=1.81 </v>
      </c>
      <c r="BJ270" t="str">
        <f t="shared" si="172"/>
        <v>-TEXT 23739.8725408444,285 3.5 0 S=3.60 </v>
      </c>
    </row>
    <row r="271" spans="1:62">
      <c r="A271">
        <v>0</v>
      </c>
      <c r="B271">
        <v>270</v>
      </c>
      <c r="C271" t="s">
        <v>829</v>
      </c>
      <c r="D271" s="47">
        <v>475939.9772</v>
      </c>
      <c r="E271" s="47">
        <v>3380144.7202</v>
      </c>
      <c r="F271" s="54">
        <v>12</v>
      </c>
      <c r="G271" s="54">
        <f t="shared" si="146"/>
        <v>22.822</v>
      </c>
      <c r="H271" s="54">
        <f t="shared" si="147"/>
        <v>2.42202202650855</v>
      </c>
      <c r="I271" s="54">
        <f t="shared" si="148"/>
        <v>4.77982850268175</v>
      </c>
      <c r="J271" s="54">
        <f t="shared" si="149"/>
        <v>205.581330571866</v>
      </c>
      <c r="K271" s="55">
        <f t="shared" si="150"/>
        <v>47680.8908243091</v>
      </c>
      <c r="L271" s="55">
        <f t="shared" si="151"/>
        <v>47683.2807385604</v>
      </c>
      <c r="M271" s="55">
        <f t="shared" si="152"/>
        <v>47685.6706528118</v>
      </c>
      <c r="N271" s="47"/>
      <c r="O271" s="47">
        <v>453.528</v>
      </c>
      <c r="P271" s="47">
        <v>0</v>
      </c>
      <c r="Q271" s="39">
        <f t="shared" si="153"/>
        <v>475937.982658095</v>
      </c>
      <c r="R271" s="39">
        <f t="shared" si="154"/>
        <v>3380146.09424268</v>
      </c>
      <c r="S271" s="39">
        <f t="shared" si="155"/>
        <v>475940.07234198</v>
      </c>
      <c r="T271" s="39">
        <f t="shared" si="156"/>
        <v>3380144.94269828</v>
      </c>
      <c r="U271" s="39">
        <f t="shared" si="157"/>
        <v>475942.348548522</v>
      </c>
      <c r="V271" s="39">
        <f t="shared" si="158"/>
        <v>3380144.2273543</v>
      </c>
      <c r="AI271" t="str">
        <f t="array" ref="AI271">IFERROR(INDEX($L$2:$L$789,SMALL(IF(ISNUMBER(FIND($AH$2,$C$2:$C$789)),ROW($2:$789)-1,4^8),ROW(A270)))&amp;"","")</f>
        <v/>
      </c>
      <c r="AS271" t="str">
        <f t="shared" si="174"/>
        <v>-text 475939.9772,3380144.7202 10 0 IP140</v>
      </c>
      <c r="AT271" t="str">
        <f t="shared" si="159"/>
        <v>475939.9772,3380144.7202</v>
      </c>
      <c r="AV271">
        <f t="shared" si="173"/>
        <v>459.328</v>
      </c>
      <c r="AX271" t="str">
        <f t="shared" si="160"/>
        <v>pl 23841.6403692802,279 23841.6403692802,400 </v>
      </c>
      <c r="AY271" t="str">
        <f t="shared" si="161"/>
        <v>23841.6403692802,453.528</v>
      </c>
      <c r="AZ271" t="str">
        <f t="shared" si="162"/>
        <v>23841.6403692802,</v>
      </c>
      <c r="BA271" t="str">
        <f t="shared" si="163"/>
        <v>23841.6403692802,459.328</v>
      </c>
      <c r="BB271" t="str">
        <f t="shared" si="164"/>
        <v>-text 23840.6403692802,337 3.5 90 453.528 </v>
      </c>
      <c r="BC271" t="str">
        <f t="shared" si="165"/>
        <v>-text 23840.6403692802,320 3.5 90 459.328 </v>
      </c>
      <c r="BD271" t="str">
        <f t="shared" si="166"/>
        <v>-text 23840.6403692802,306 3.5 90 0.000 </v>
      </c>
      <c r="BE271" t="str">
        <f t="shared" si="167"/>
        <v>-text 23840.6403692802,352 3.5 90 ZG47+683.281 </v>
      </c>
      <c r="BF271" t="str">
        <f t="shared" si="168"/>
        <v>-text 23840.6403692802,280 3.5 90 IP140 </v>
      </c>
      <c r="BG271" t="str">
        <f t="shared" si="169"/>
        <v>-TEXT 23842.6403692802,300 3.5 0 R=12</v>
      </c>
      <c r="BH271" t="str">
        <f t="shared" si="170"/>
        <v>-TEXT 23842.6403692802,295 3.5 0 α=22.82° </v>
      </c>
      <c r="BI271" t="str">
        <f t="shared" si="171"/>
        <v>-TEXT 23842.6403692802,290 3.5 0 T=2.42 </v>
      </c>
      <c r="BJ271" t="str">
        <f t="shared" si="172"/>
        <v>-TEXT 23842.6403692802,285 3.5 0 S=4.78 </v>
      </c>
    </row>
    <row r="272" spans="1:62">
      <c r="A272">
        <v>0</v>
      </c>
      <c r="B272">
        <v>271</v>
      </c>
      <c r="C272" t="s">
        <v>830</v>
      </c>
      <c r="D272" s="47">
        <v>476327.8184</v>
      </c>
      <c r="E272" s="47">
        <v>3380064.1138</v>
      </c>
      <c r="F272" s="54">
        <v>12</v>
      </c>
      <c r="G272" s="54">
        <f t="shared" si="146"/>
        <v>22.16</v>
      </c>
      <c r="H272" s="54">
        <f t="shared" si="147"/>
        <v>2.34995667437811</v>
      </c>
      <c r="I272" s="54">
        <f t="shared" si="148"/>
        <v>4.64117954690332</v>
      </c>
      <c r="J272" s="54">
        <f t="shared" si="149"/>
        <v>396.129004414424</v>
      </c>
      <c r="K272" s="55">
        <f t="shared" si="150"/>
        <v>48077.0276785253</v>
      </c>
      <c r="L272" s="55">
        <f t="shared" si="151"/>
        <v>48079.3482682988</v>
      </c>
      <c r="M272" s="55">
        <f t="shared" si="152"/>
        <v>48081.6688580722</v>
      </c>
      <c r="N272" s="47"/>
      <c r="O272" s="47">
        <v>453.528</v>
      </c>
      <c r="P272" s="47">
        <v>0</v>
      </c>
      <c r="Q272" s="39">
        <f t="shared" si="153"/>
        <v>476325.51760908</v>
      </c>
      <c r="R272" s="39">
        <f t="shared" si="154"/>
        <v>3380064.59198146</v>
      </c>
      <c r="S272" s="39">
        <f t="shared" si="155"/>
        <v>476327.729996127</v>
      </c>
      <c r="T272" s="39">
        <f t="shared" si="156"/>
        <v>3380063.90371001</v>
      </c>
      <c r="U272" s="39">
        <f t="shared" si="157"/>
        <v>476329.76887116</v>
      </c>
      <c r="V272" s="39">
        <f t="shared" si="158"/>
        <v>3380062.80309079</v>
      </c>
      <c r="AI272" t="str">
        <f t="array" ref="AI272">IFERROR(INDEX($L$2:$L$789,SMALL(IF(ISNUMBER(FIND($AH$2,$C$2:$C$789)),ROW($2:$789)-1,4^8),ROW(A271)))&amp;"","")</f>
        <v/>
      </c>
      <c r="AS272" t="str">
        <f t="shared" si="174"/>
        <v>-text 476327.8184,3380064.1138 10 0 IP141</v>
      </c>
      <c r="AT272" t="str">
        <f t="shared" si="159"/>
        <v>476327.8184,3380064.1138</v>
      </c>
      <c r="AV272">
        <f t="shared" si="173"/>
        <v>459.328</v>
      </c>
      <c r="AX272" t="str">
        <f t="shared" si="160"/>
        <v>pl 24039.6741341494,279 24039.6741341494,400 </v>
      </c>
      <c r="AY272" t="str">
        <f t="shared" si="161"/>
        <v>24039.6741341494,453.528</v>
      </c>
      <c r="AZ272" t="str">
        <f t="shared" si="162"/>
        <v>24039.6741341494,</v>
      </c>
      <c r="BA272" t="str">
        <f t="shared" si="163"/>
        <v>24039.6741341494,459.328</v>
      </c>
      <c r="BB272" t="str">
        <f t="shared" si="164"/>
        <v>-text 24038.6741341494,337 3.5 90 453.528 </v>
      </c>
      <c r="BC272" t="str">
        <f t="shared" si="165"/>
        <v>-text 24038.6741341494,320 3.5 90 459.328 </v>
      </c>
      <c r="BD272" t="str">
        <f t="shared" si="166"/>
        <v>-text 24038.6741341494,306 3.5 90 0.000 </v>
      </c>
      <c r="BE272" t="str">
        <f t="shared" si="167"/>
        <v>-text 24038.6741341494,352 3.5 90 ZG48+079.348 </v>
      </c>
      <c r="BF272" t="str">
        <f t="shared" si="168"/>
        <v>-text 24038.6741341494,280 3.5 90 IP141 </v>
      </c>
      <c r="BG272" t="str">
        <f t="shared" si="169"/>
        <v>-TEXT 24040.6741341494,300 3.5 0 R=12</v>
      </c>
      <c r="BH272" t="str">
        <f t="shared" si="170"/>
        <v>-TEXT 24040.6741341494,295 3.5 0 α=22.16° </v>
      </c>
      <c r="BI272" t="str">
        <f t="shared" si="171"/>
        <v>-TEXT 24040.6741341494,290 3.5 0 T=2.35 </v>
      </c>
      <c r="BJ272" t="str">
        <f t="shared" si="172"/>
        <v>-TEXT 24040.6741341494,285 3.5 0 S=4.64 </v>
      </c>
    </row>
    <row r="273" spans="1:62">
      <c r="A273">
        <v>0</v>
      </c>
      <c r="B273">
        <v>272</v>
      </c>
      <c r="C273" t="s">
        <v>831</v>
      </c>
      <c r="D273" s="47">
        <v>476504.8633</v>
      </c>
      <c r="E273" s="47">
        <v>3379945.1403</v>
      </c>
      <c r="F273" s="54">
        <v>12</v>
      </c>
      <c r="G273" s="54">
        <f t="shared" si="146"/>
        <v>25.727</v>
      </c>
      <c r="H273" s="54">
        <f t="shared" si="147"/>
        <v>2.74032252636514</v>
      </c>
      <c r="I273" s="54">
        <f t="shared" si="148"/>
        <v>5.38825027992697</v>
      </c>
      <c r="J273" s="54">
        <f t="shared" si="149"/>
        <v>213.306329765989</v>
      </c>
      <c r="K273" s="55">
        <f t="shared" si="150"/>
        <v>48289.8849086375</v>
      </c>
      <c r="L273" s="55">
        <f t="shared" si="151"/>
        <v>48292.5790337774</v>
      </c>
      <c r="M273" s="55">
        <f t="shared" si="152"/>
        <v>48295.2731589174</v>
      </c>
      <c r="N273" s="47"/>
      <c r="O273" s="47">
        <v>453.528</v>
      </c>
      <c r="P273" s="47">
        <v>0</v>
      </c>
      <c r="Q273" s="39">
        <f t="shared" si="153"/>
        <v>476502.588824</v>
      </c>
      <c r="R273" s="39">
        <f t="shared" si="154"/>
        <v>3379946.66873923</v>
      </c>
      <c r="S273" s="39">
        <f t="shared" si="155"/>
        <v>476504.638238643</v>
      </c>
      <c r="T273" s="39">
        <f t="shared" si="156"/>
        <v>3379944.92869176</v>
      </c>
      <c r="U273" s="39">
        <f t="shared" si="157"/>
        <v>476506.248827204</v>
      </c>
      <c r="V273" s="39">
        <f t="shared" si="158"/>
        <v>3379942.77604919</v>
      </c>
      <c r="AI273" t="str">
        <f t="array" ref="AI273">IFERROR(INDEX($L$2:$L$789,SMALL(IF(ISNUMBER(FIND($AH$2,$C$2:$C$789)),ROW($2:$789)-1,4^8),ROW(A272)))&amp;"","")</f>
        <v/>
      </c>
      <c r="AS273" t="str">
        <f t="shared" si="174"/>
        <v>-text 476504.8633,3379945.1403 10 0 IP142</v>
      </c>
      <c r="AT273" t="str">
        <f t="shared" si="159"/>
        <v>476504.8633,3379945.1403</v>
      </c>
      <c r="AV273">
        <f t="shared" si="173"/>
        <v>459.328</v>
      </c>
      <c r="AX273" t="str">
        <f t="shared" si="160"/>
        <v>pl 24146.2895168887,279 24146.2895168887,400 </v>
      </c>
      <c r="AY273" t="str">
        <f t="shared" si="161"/>
        <v>24146.2895168887,453.528</v>
      </c>
      <c r="AZ273" t="str">
        <f t="shared" si="162"/>
        <v>24146.2895168887,</v>
      </c>
      <c r="BA273" t="str">
        <f t="shared" si="163"/>
        <v>24146.2895168887,459.328</v>
      </c>
      <c r="BB273" t="str">
        <f t="shared" si="164"/>
        <v>-text 24145.2895168887,337 3.5 90 453.528 </v>
      </c>
      <c r="BC273" t="str">
        <f t="shared" si="165"/>
        <v>-text 24145.2895168887,320 3.5 90 459.328 </v>
      </c>
      <c r="BD273" t="str">
        <f t="shared" si="166"/>
        <v>-text 24145.2895168887,306 3.5 90 0.000 </v>
      </c>
      <c r="BE273" t="str">
        <f t="shared" si="167"/>
        <v>-text 24145.2895168887,352 3.5 90 ZG48+292.579 </v>
      </c>
      <c r="BF273" t="str">
        <f t="shared" si="168"/>
        <v>-text 24145.2895168887,280 3.5 90 IP142 </v>
      </c>
      <c r="BG273" t="str">
        <f t="shared" si="169"/>
        <v>-TEXT 24147.2895168887,300 3.5 0 R=12</v>
      </c>
      <c r="BH273" t="str">
        <f t="shared" si="170"/>
        <v>-TEXT 24147.2895168887,295 3.5 0 α=25.73° </v>
      </c>
      <c r="BI273" t="str">
        <f t="shared" si="171"/>
        <v>-TEXT 24147.2895168887,290 3.5 0 T=2.74 </v>
      </c>
      <c r="BJ273" t="str">
        <f t="shared" si="172"/>
        <v>-TEXT 24147.2895168887,285 3.5 0 S=5.39 </v>
      </c>
    </row>
    <row r="274" spans="1:62">
      <c r="A274">
        <v>0</v>
      </c>
      <c r="B274">
        <v>273</v>
      </c>
      <c r="C274" t="s">
        <v>832</v>
      </c>
      <c r="D274" s="47">
        <v>476667.1586</v>
      </c>
      <c r="E274" s="47">
        <v>3379668.2011</v>
      </c>
      <c r="F274" s="54">
        <v>12</v>
      </c>
      <c r="G274" s="54">
        <f t="shared" si="146"/>
        <v>48.264</v>
      </c>
      <c r="H274" s="54">
        <f t="shared" si="147"/>
        <v>5.37590454179013</v>
      </c>
      <c r="I274" s="54">
        <f t="shared" si="148"/>
        <v>10.1083885221905</v>
      </c>
      <c r="J274" s="54">
        <f t="shared" si="149"/>
        <v>320.990786314307</v>
      </c>
      <c r="K274" s="55">
        <f t="shared" si="150"/>
        <v>48608.1477181636</v>
      </c>
      <c r="L274" s="55">
        <f t="shared" si="151"/>
        <v>48613.2019124247</v>
      </c>
      <c r="M274" s="55">
        <f t="shared" si="152"/>
        <v>48618.2561066858</v>
      </c>
      <c r="N274" s="47"/>
      <c r="O274" s="47">
        <v>453.528</v>
      </c>
      <c r="P274" s="47">
        <v>0</v>
      </c>
      <c r="Q274" s="39">
        <f t="shared" si="153"/>
        <v>476664.440503165</v>
      </c>
      <c r="R274" s="39">
        <f t="shared" si="154"/>
        <v>3379672.83923532</v>
      </c>
      <c r="S274" s="39">
        <f t="shared" si="155"/>
        <v>476667.825859868</v>
      </c>
      <c r="T274" s="39">
        <f t="shared" si="156"/>
        <v>3379669.13669306</v>
      </c>
      <c r="U274" s="39">
        <f t="shared" si="157"/>
        <v>476672.429107264</v>
      </c>
      <c r="V274" s="39">
        <f t="shared" si="158"/>
        <v>3379667.14180645</v>
      </c>
      <c r="AI274" t="str">
        <f t="array" ref="AI274">IFERROR(INDEX($L$2:$L$789,SMALL(IF(ISNUMBER(FIND($AH$2,$C$2:$C$789)),ROW($2:$789)-1,4^8),ROW(A273)))&amp;"","")</f>
        <v/>
      </c>
      <c r="AS274" t="str">
        <f t="shared" si="174"/>
        <v>-text 476667.1586,3379668.2011 10 0 IP143</v>
      </c>
      <c r="AT274" t="str">
        <f t="shared" si="159"/>
        <v>476667.1586,3379668.2011</v>
      </c>
      <c r="AV274">
        <f t="shared" si="173"/>
        <v>459.328</v>
      </c>
      <c r="AX274" t="str">
        <f t="shared" si="160"/>
        <v>pl 24306.6009562123,279 24306.6009562123,400 </v>
      </c>
      <c r="AY274" t="str">
        <f t="shared" si="161"/>
        <v>24306.6009562123,453.528</v>
      </c>
      <c r="AZ274" t="str">
        <f t="shared" si="162"/>
        <v>24306.6009562123,</v>
      </c>
      <c r="BA274" t="str">
        <f t="shared" si="163"/>
        <v>24306.6009562123,459.328</v>
      </c>
      <c r="BB274" t="str">
        <f t="shared" si="164"/>
        <v>-text 24305.6009562123,337 3.5 90 453.528 </v>
      </c>
      <c r="BC274" t="str">
        <f t="shared" si="165"/>
        <v>-text 24305.6009562123,320 3.5 90 459.328 </v>
      </c>
      <c r="BD274" t="str">
        <f t="shared" si="166"/>
        <v>-text 24305.6009562123,306 3.5 90 0.000 </v>
      </c>
      <c r="BE274" t="str">
        <f t="shared" si="167"/>
        <v>-text 24305.6009562123,352 3.5 90 ZG48+613.202 </v>
      </c>
      <c r="BF274" t="str">
        <f t="shared" si="168"/>
        <v>-text 24305.6009562123,280 3.5 90 IP143 </v>
      </c>
      <c r="BG274" t="str">
        <f t="shared" si="169"/>
        <v>-TEXT 24307.6009562123,300 3.5 0 R=12</v>
      </c>
      <c r="BH274" t="str">
        <f t="shared" si="170"/>
        <v>-TEXT 24307.6009562123,295 3.5 0 α=48.26° </v>
      </c>
      <c r="BI274" t="str">
        <f t="shared" si="171"/>
        <v>-TEXT 24307.6009562123,290 3.5 0 T=5.38 </v>
      </c>
      <c r="BJ274" t="str">
        <f t="shared" si="172"/>
        <v>-TEXT 24307.6009562123,285 3.5 0 S=10.11 </v>
      </c>
    </row>
    <row r="275" spans="1:62">
      <c r="A275">
        <v>0</v>
      </c>
      <c r="B275">
        <v>274</v>
      </c>
      <c r="C275" t="s">
        <v>833</v>
      </c>
      <c r="D275" s="47">
        <v>476919.7161</v>
      </c>
      <c r="E275" s="47">
        <v>3379617.4408</v>
      </c>
      <c r="F275" s="54">
        <v>12</v>
      </c>
      <c r="G275" s="54">
        <f t="shared" si="146"/>
        <v>7.005</v>
      </c>
      <c r="H275" s="54">
        <f t="shared" si="147"/>
        <v>0.734477000697226</v>
      </c>
      <c r="I275" s="54">
        <f t="shared" si="148"/>
        <v>1.46712376922643</v>
      </c>
      <c r="J275" s="54">
        <f t="shared" si="149"/>
        <v>257.608033380867</v>
      </c>
      <c r="K275" s="55">
        <f t="shared" si="150"/>
        <v>48869.7537585241</v>
      </c>
      <c r="L275" s="55">
        <f t="shared" si="151"/>
        <v>48870.4873204087</v>
      </c>
      <c r="M275" s="55">
        <f t="shared" si="152"/>
        <v>48871.2208822934</v>
      </c>
      <c r="N275" s="47"/>
      <c r="O275" s="47">
        <v>453.528</v>
      </c>
      <c r="P275" s="47">
        <v>0</v>
      </c>
      <c r="Q275" s="39">
        <f t="shared" si="153"/>
        <v>476918.996022786</v>
      </c>
      <c r="R275" s="39">
        <f t="shared" si="154"/>
        <v>3379617.58552481</v>
      </c>
      <c r="S275" s="39">
        <f t="shared" si="155"/>
        <v>476919.719171645</v>
      </c>
      <c r="T275" s="39">
        <f t="shared" si="156"/>
        <v>3379617.46304547</v>
      </c>
      <c r="U275" s="39">
        <f t="shared" si="157"/>
        <v>476920.448452319</v>
      </c>
      <c r="V275" s="39">
        <f t="shared" si="158"/>
        <v>3379617.38497397</v>
      </c>
      <c r="AI275" t="str">
        <f t="array" ref="AI275">IFERROR(INDEX($L$2:$L$789,SMALL(IF(ISNUMBER(FIND($AH$2,$C$2:$C$789)),ROW($2:$789)-1,4^8),ROW(A274)))&amp;"","")</f>
        <v/>
      </c>
      <c r="AS275" t="str">
        <f t="shared" si="174"/>
        <v>-text 476919.7161,3379617.4408 10 0 IP144</v>
      </c>
      <c r="AT275" t="str">
        <f t="shared" si="159"/>
        <v>476919.7161,3379617.4408</v>
      </c>
      <c r="AV275">
        <f t="shared" si="173"/>
        <v>459.328</v>
      </c>
      <c r="AX275" t="str">
        <f t="shared" si="160"/>
        <v>pl 24435.2436602044,279 24435.2436602044,400 </v>
      </c>
      <c r="AY275" t="str">
        <f t="shared" si="161"/>
        <v>24435.2436602044,453.528</v>
      </c>
      <c r="AZ275" t="str">
        <f t="shared" si="162"/>
        <v>24435.2436602044,</v>
      </c>
      <c r="BA275" t="str">
        <f t="shared" si="163"/>
        <v>24435.2436602044,459.328</v>
      </c>
      <c r="BB275" t="str">
        <f t="shared" si="164"/>
        <v>-text 24434.2436602044,337 3.5 90 453.528 </v>
      </c>
      <c r="BC275" t="str">
        <f t="shared" si="165"/>
        <v>-text 24434.2436602044,320 3.5 90 459.328 </v>
      </c>
      <c r="BD275" t="str">
        <f t="shared" si="166"/>
        <v>-text 24434.2436602044,306 3.5 90 0.000 </v>
      </c>
      <c r="BE275" t="str">
        <f t="shared" si="167"/>
        <v>-text 24434.2436602044,352 3.5 90 ZG48+870.487 </v>
      </c>
      <c r="BF275" t="str">
        <f t="shared" si="168"/>
        <v>-text 24434.2436602044,280 3.5 90 IP144 </v>
      </c>
      <c r="BG275" t="str">
        <f t="shared" si="169"/>
        <v>-TEXT 24436.2436602044,300 3.5 0 R=12</v>
      </c>
      <c r="BH275" t="str">
        <f t="shared" si="170"/>
        <v>-TEXT 24436.2436602044,295 3.5 0 α=7.01° </v>
      </c>
      <c r="BI275" t="str">
        <f t="shared" si="171"/>
        <v>-TEXT 24436.2436602044,290 3.5 0 T=0.73 </v>
      </c>
      <c r="BJ275" t="str">
        <f t="shared" si="172"/>
        <v>-TEXT 24436.2436602044,285 3.5 0 S=1.47 </v>
      </c>
    </row>
    <row r="276" spans="1:62">
      <c r="A276">
        <v>0</v>
      </c>
      <c r="B276">
        <v>275</v>
      </c>
      <c r="C276" t="s">
        <v>834</v>
      </c>
      <c r="D276" s="47">
        <v>477129.3598</v>
      </c>
      <c r="E276" s="47">
        <v>3379601.46</v>
      </c>
      <c r="F276" s="54">
        <v>12</v>
      </c>
      <c r="G276">
        <f t="shared" si="146"/>
        <v>15.425</v>
      </c>
      <c r="H276">
        <f t="shared" si="147"/>
        <v>1.62512958650147</v>
      </c>
      <c r="I276">
        <f t="shared" si="148"/>
        <v>3.2306044454415</v>
      </c>
      <c r="J276">
        <f t="shared" si="149"/>
        <v>210.251912995608</v>
      </c>
      <c r="K276" s="40">
        <f t="shared" si="150"/>
        <v>49079.1131887018</v>
      </c>
      <c r="L276" s="40">
        <f t="shared" si="151"/>
        <v>49080.7284909245</v>
      </c>
      <c r="M276" s="40">
        <f t="shared" si="152"/>
        <v>49082.3437931472</v>
      </c>
      <c r="N276" s="47"/>
      <c r="O276" s="47">
        <v>453.528</v>
      </c>
      <c r="P276" s="47">
        <v>0</v>
      </c>
      <c r="Q276" s="39">
        <f t="shared" si="153"/>
        <v>477127.739371559</v>
      </c>
      <c r="R276" s="39">
        <f t="shared" si="154"/>
        <v>3379601.58352264</v>
      </c>
      <c r="S276" s="39">
        <f t="shared" si="155"/>
        <v>477129.353392829</v>
      </c>
      <c r="T276" s="39">
        <f t="shared" si="156"/>
        <v>3379601.5693537</v>
      </c>
      <c r="U276" s="39">
        <f t="shared" si="157"/>
        <v>477130.954715676</v>
      </c>
      <c r="V276" s="39">
        <f t="shared" si="158"/>
        <v>3379601.7719137</v>
      </c>
      <c r="AI276" t="str">
        <f t="array" ref="AI276">IFERROR(INDEX($L$2:$L$789,SMALL(IF(ISNUMBER(FIND($AH$2,$C$2:$C$789)),ROW($2:$789)-1,4^8),ROW(A275)))&amp;"","")</f>
        <v/>
      </c>
      <c r="AS276" t="str">
        <f t="shared" si="174"/>
        <v>-text 477129.3598,3379601.46 10 0 IP145</v>
      </c>
      <c r="AT276" t="str">
        <f t="shared" si="159"/>
        <v>477129.3598,3379601.46</v>
      </c>
      <c r="AV276">
        <f t="shared" si="173"/>
        <v>459.328</v>
      </c>
      <c r="AX276" t="str">
        <f t="shared" si="160"/>
        <v>pl 24540.3642454622,279 24540.3642454622,400 </v>
      </c>
      <c r="AY276" t="str">
        <f t="shared" si="161"/>
        <v>24540.3642454622,453.528</v>
      </c>
      <c r="AZ276" t="str">
        <f t="shared" si="162"/>
        <v>24540.3642454622,</v>
      </c>
      <c r="BA276" t="str">
        <f t="shared" si="163"/>
        <v>24540.3642454622,459.328</v>
      </c>
      <c r="BB276" t="str">
        <f t="shared" si="164"/>
        <v>-text 24539.3642454622,337 3.5 90 453.528 </v>
      </c>
      <c r="BC276" t="str">
        <f t="shared" si="165"/>
        <v>-text 24539.3642454622,320 3.5 90 459.328 </v>
      </c>
      <c r="BD276" t="str">
        <f t="shared" si="166"/>
        <v>-text 24539.3642454622,306 3.5 90 0.000 </v>
      </c>
      <c r="BE276" t="str">
        <f t="shared" si="167"/>
        <v>-text 24539.3642454622,352 3.5 90 ZG49+080.728 </v>
      </c>
      <c r="BF276" t="str">
        <f t="shared" si="168"/>
        <v>-text 24539.3642454622,280 3.5 90 IP145 </v>
      </c>
      <c r="BG276" t="str">
        <f t="shared" si="169"/>
        <v>-TEXT 24541.3642454622,300 3.5 0 R=12</v>
      </c>
      <c r="BH276" t="str">
        <f t="shared" si="170"/>
        <v>-TEXT 24541.3642454622,295 3.5 0 α=15.43° </v>
      </c>
      <c r="BI276" t="str">
        <f t="shared" si="171"/>
        <v>-TEXT 24541.3642454622,290 3.5 0 T=1.63 </v>
      </c>
      <c r="BJ276" t="str">
        <f t="shared" si="172"/>
        <v>-TEXT 24541.3642454622,285 3.5 0 S=3.23 </v>
      </c>
    </row>
    <row r="277" spans="1:62">
      <c r="A277">
        <v>0</v>
      </c>
      <c r="B277">
        <v>276</v>
      </c>
      <c r="C277" t="s">
        <v>835</v>
      </c>
      <c r="D277" s="47">
        <v>477310.9196</v>
      </c>
      <c r="E277" s="47">
        <v>3379636.9672</v>
      </c>
      <c r="F277" s="54">
        <v>12</v>
      </c>
      <c r="G277">
        <f t="shared" si="146"/>
        <v>43.962</v>
      </c>
      <c r="H277">
        <f t="shared" si="147"/>
        <v>4.84368640122925</v>
      </c>
      <c r="I277">
        <f t="shared" si="148"/>
        <v>9.20737974914097</v>
      </c>
      <c r="J277">
        <f t="shared" si="149"/>
        <v>184.999249263039</v>
      </c>
      <c r="K277" s="40">
        <f t="shared" si="150"/>
        <v>49260.8742264225</v>
      </c>
      <c r="L277" s="40">
        <f t="shared" si="151"/>
        <v>49265.4779162971</v>
      </c>
      <c r="M277" s="40">
        <f t="shared" si="152"/>
        <v>49270.0816061717</v>
      </c>
      <c r="N277" s="47"/>
      <c r="O277" s="47">
        <v>453.528</v>
      </c>
      <c r="P277" s="47">
        <v>0</v>
      </c>
      <c r="Q277" s="39">
        <f t="shared" si="153"/>
        <v>477306.16596593</v>
      </c>
      <c r="R277" s="39">
        <f t="shared" si="154"/>
        <v>3379636.03754357</v>
      </c>
      <c r="S277" s="39">
        <f t="shared" si="155"/>
        <v>477310.406619079</v>
      </c>
      <c r="T277" s="39">
        <f t="shared" si="156"/>
        <v>3379637.75571258</v>
      </c>
      <c r="U277" s="39">
        <f t="shared" si="157"/>
        <v>477313.695889577</v>
      </c>
      <c r="V277" s="39">
        <f t="shared" si="158"/>
        <v>3379640.93626968</v>
      </c>
      <c r="AI277" t="str">
        <f t="array" ref="AI277">IFERROR(INDEX($L$2:$L$789,SMALL(IF(ISNUMBER(FIND($AH$2,$C$2:$C$789)),ROW($2:$789)-1,4^8),ROW(A276)))&amp;"","")</f>
        <v/>
      </c>
      <c r="AS277" t="str">
        <f t="shared" si="174"/>
        <v>-text 477310.9196,3379636.9672 10 0 IP146</v>
      </c>
      <c r="AT277" t="str">
        <f t="shared" si="159"/>
        <v>477310.9196,3379636.9672</v>
      </c>
      <c r="AV277">
        <f t="shared" si="173"/>
        <v>459.328</v>
      </c>
      <c r="AX277" t="str">
        <f t="shared" si="160"/>
        <v>pl 24632.7389581485,279 24632.7389581485,400 </v>
      </c>
      <c r="AY277" t="str">
        <f t="shared" si="161"/>
        <v>24632.7389581485,453.528</v>
      </c>
      <c r="AZ277" t="str">
        <f t="shared" si="162"/>
        <v>24632.7389581485,</v>
      </c>
      <c r="BA277" t="str">
        <f t="shared" si="163"/>
        <v>24632.7389581485,459.328</v>
      </c>
      <c r="BB277" t="str">
        <f t="shared" si="164"/>
        <v>-text 24631.7389581485,337 3.5 90 453.528 </v>
      </c>
      <c r="BC277" t="str">
        <f t="shared" si="165"/>
        <v>-text 24631.7389581485,320 3.5 90 459.328 </v>
      </c>
      <c r="BD277" t="str">
        <f t="shared" si="166"/>
        <v>-text 24631.7389581485,306 3.5 90 0.000 </v>
      </c>
      <c r="BE277" t="str">
        <f t="shared" si="167"/>
        <v>-text 24631.7389581485,352 3.5 90 ZG49+265.478 </v>
      </c>
      <c r="BF277" t="str">
        <f t="shared" si="168"/>
        <v>-text 24631.7389581485,280 3.5 90 IP146 </v>
      </c>
      <c r="BG277" t="str">
        <f t="shared" si="169"/>
        <v>-TEXT 24633.7389581485,300 3.5 0 R=12</v>
      </c>
      <c r="BH277" t="str">
        <f t="shared" si="170"/>
        <v>-TEXT 24633.7389581485,295 3.5 0 α=43.96° </v>
      </c>
      <c r="BI277" t="str">
        <f t="shared" si="171"/>
        <v>-TEXT 24633.7389581485,290 3.5 0 T=4.84 </v>
      </c>
      <c r="BJ277" t="str">
        <f t="shared" si="172"/>
        <v>-TEXT 24633.7389581485,285 3.5 0 S=9.21 </v>
      </c>
    </row>
    <row r="278" spans="1:62">
      <c r="A278">
        <v>0</v>
      </c>
      <c r="B278">
        <v>277</v>
      </c>
      <c r="C278" t="s">
        <v>836</v>
      </c>
      <c r="D278" s="47">
        <v>477399.7684</v>
      </c>
      <c r="E278" s="47">
        <v>3379763.9882</v>
      </c>
      <c r="F278" s="54">
        <v>12</v>
      </c>
      <c r="G278">
        <f t="shared" si="146"/>
        <v>33.72</v>
      </c>
      <c r="H278">
        <f t="shared" si="147"/>
        <v>3.63672979610972</v>
      </c>
      <c r="I278">
        <f t="shared" si="148"/>
        <v>7.06230028526985</v>
      </c>
      <c r="J278">
        <f t="shared" si="149"/>
        <v>155.011108319638</v>
      </c>
      <c r="K278" s="40">
        <f t="shared" si="150"/>
        <v>49416.612298294</v>
      </c>
      <c r="L278" s="40">
        <f t="shared" si="151"/>
        <v>49420.1434484366</v>
      </c>
      <c r="M278" s="40">
        <f t="shared" si="152"/>
        <v>49423.6745985792</v>
      </c>
      <c r="N278" s="47"/>
      <c r="O278" s="47">
        <v>453.528</v>
      </c>
      <c r="P278" s="47">
        <v>0</v>
      </c>
      <c r="Q278" s="39">
        <f t="shared" si="153"/>
        <v>477397.683910173</v>
      </c>
      <c r="R278" s="39">
        <f t="shared" si="154"/>
        <v>3379761.0081487</v>
      </c>
      <c r="S278" s="39">
        <f t="shared" si="155"/>
        <v>477400.101467438</v>
      </c>
      <c r="T278" s="39">
        <f t="shared" si="156"/>
        <v>3379763.56445891</v>
      </c>
      <c r="U278" s="39">
        <f t="shared" si="157"/>
        <v>477403.156526637</v>
      </c>
      <c r="V278" s="39">
        <f t="shared" si="158"/>
        <v>3379765.30971485</v>
      </c>
      <c r="AI278" t="str">
        <f t="array" ref="AI278">IFERROR(INDEX($L$2:$L$789,SMALL(IF(ISNUMBER(FIND($AH$2,$C$2:$C$789)),ROW($2:$789)-1,4^8),ROW(A277)))&amp;"","")</f>
        <v/>
      </c>
      <c r="AS278" t="str">
        <f t="shared" si="174"/>
        <v>-text 477399.7684,3379763.9882 10 0 IP147</v>
      </c>
      <c r="AT278" t="str">
        <f t="shared" si="159"/>
        <v>477399.7684,3379763.9882</v>
      </c>
      <c r="AV278">
        <f t="shared" si="173"/>
        <v>459.328</v>
      </c>
      <c r="AX278" t="str">
        <f t="shared" si="160"/>
        <v>pl 24710.0717242183,279 24710.0717242183,400 </v>
      </c>
      <c r="AY278" t="str">
        <f t="shared" si="161"/>
        <v>24710.0717242183,453.528</v>
      </c>
      <c r="AZ278" t="str">
        <f t="shared" si="162"/>
        <v>24710.0717242183,</v>
      </c>
      <c r="BA278" t="str">
        <f t="shared" si="163"/>
        <v>24710.0717242183,459.328</v>
      </c>
      <c r="BB278" t="str">
        <f t="shared" si="164"/>
        <v>-text 24709.0717242183,337 3.5 90 453.528 </v>
      </c>
      <c r="BC278" t="str">
        <f t="shared" si="165"/>
        <v>-text 24709.0717242183,320 3.5 90 459.328 </v>
      </c>
      <c r="BD278" t="str">
        <f t="shared" si="166"/>
        <v>-text 24709.0717242183,306 3.5 90 0.000 </v>
      </c>
      <c r="BE278" t="str">
        <f t="shared" si="167"/>
        <v>-text 24709.0717242183,352 3.5 90 ZG49+420.143 </v>
      </c>
      <c r="BF278" t="str">
        <f t="shared" si="168"/>
        <v>-text 24709.0717242183,280 3.5 90 IP147 </v>
      </c>
      <c r="BG278" t="str">
        <f t="shared" si="169"/>
        <v>-TEXT 24711.0717242183,300 3.5 0 R=12</v>
      </c>
      <c r="BH278" t="str">
        <f t="shared" si="170"/>
        <v>-TEXT 24711.0717242183,295 3.5 0 α=33.72° </v>
      </c>
      <c r="BI278" t="str">
        <f t="shared" si="171"/>
        <v>-TEXT 24711.0717242183,290 3.5 0 T=3.64 </v>
      </c>
      <c r="BJ278" t="str">
        <f t="shared" si="172"/>
        <v>-TEXT 24711.0717242183,285 3.5 0 S=7.06 </v>
      </c>
    </row>
    <row r="279" spans="1:62">
      <c r="A279">
        <v>0</v>
      </c>
      <c r="B279">
        <v>278</v>
      </c>
      <c r="C279" t="s">
        <v>837</v>
      </c>
      <c r="D279" s="47">
        <v>477558.6445</v>
      </c>
      <c r="E279" s="47">
        <v>3379825.9567</v>
      </c>
      <c r="F279" s="54">
        <v>12</v>
      </c>
      <c r="G279">
        <f t="shared" si="146"/>
        <v>29.533</v>
      </c>
      <c r="H279">
        <f t="shared" si="147"/>
        <v>3.16303191001225</v>
      </c>
      <c r="I279">
        <f t="shared" si="148"/>
        <v>6.18537705589782</v>
      </c>
      <c r="J279">
        <f t="shared" si="149"/>
        <v>170.533604147256</v>
      </c>
      <c r="K279" s="40">
        <f t="shared" si="150"/>
        <v>49587.4084410204</v>
      </c>
      <c r="L279" s="40">
        <f t="shared" si="151"/>
        <v>49590.5011295483</v>
      </c>
      <c r="M279" s="40">
        <f t="shared" si="152"/>
        <v>49593.5938180762</v>
      </c>
      <c r="N279" s="47"/>
      <c r="O279" s="47">
        <v>453.528</v>
      </c>
      <c r="P279" s="47">
        <v>0</v>
      </c>
      <c r="Q279" s="39">
        <f t="shared" si="153"/>
        <v>477555.697689742</v>
      </c>
      <c r="R279" s="39">
        <f t="shared" si="154"/>
        <v>3379824.80731748</v>
      </c>
      <c r="S279" s="39">
        <f t="shared" si="155"/>
        <v>477558.691193311</v>
      </c>
      <c r="T279" s="39">
        <f t="shared" si="156"/>
        <v>3379825.54950803</v>
      </c>
      <c r="U279" s="39">
        <f t="shared" si="157"/>
        <v>477561.774999182</v>
      </c>
      <c r="V279" s="39">
        <f t="shared" si="158"/>
        <v>3379825.50421162</v>
      </c>
      <c r="AI279" t="str">
        <f t="array" ref="AI279">IFERROR(INDEX($L$2:$L$789,SMALL(IF(ISNUMBER(FIND($AH$2,$C$2:$C$789)),ROW($2:$789)-1,4^8),ROW(A278)))&amp;"","")</f>
        <v/>
      </c>
      <c r="AS279" t="str">
        <f t="shared" si="174"/>
        <v>-text 477558.6445,3379825.9567 10 0 IP148</v>
      </c>
      <c r="AT279" t="str">
        <f t="shared" si="159"/>
        <v>477558.6445,3379825.9567</v>
      </c>
      <c r="AV279">
        <f t="shared" si="173"/>
        <v>459.328</v>
      </c>
      <c r="AX279" t="str">
        <f t="shared" si="160"/>
        <v>pl 24795.2505647741,279 24795.2505647741,400 </v>
      </c>
      <c r="AY279" t="str">
        <f t="shared" si="161"/>
        <v>24795.2505647741,453.528</v>
      </c>
      <c r="AZ279" t="str">
        <f t="shared" si="162"/>
        <v>24795.2505647741,</v>
      </c>
      <c r="BA279" t="str">
        <f t="shared" si="163"/>
        <v>24795.2505647741,459.328</v>
      </c>
      <c r="BB279" t="str">
        <f t="shared" si="164"/>
        <v>-text 24794.2505647741,337 3.5 90 453.528 </v>
      </c>
      <c r="BC279" t="str">
        <f t="shared" si="165"/>
        <v>-text 24794.2505647741,320 3.5 90 459.328 </v>
      </c>
      <c r="BD279" t="str">
        <f t="shared" si="166"/>
        <v>-text 24794.2505647741,306 3.5 90 0.000 </v>
      </c>
      <c r="BE279" t="str">
        <f t="shared" si="167"/>
        <v>-text 24794.2505647741,352 3.5 90 ZG49+590.501 </v>
      </c>
      <c r="BF279" t="str">
        <f t="shared" si="168"/>
        <v>-text 24794.2505647741,280 3.5 90 IP148 </v>
      </c>
      <c r="BG279" t="str">
        <f t="shared" si="169"/>
        <v>-TEXT 24796.2505647741,300 3.5 0 R=12</v>
      </c>
      <c r="BH279" t="str">
        <f t="shared" si="170"/>
        <v>-TEXT 24796.2505647741,295 3.5 0 α=29.53° </v>
      </c>
      <c r="BI279" t="str">
        <f t="shared" si="171"/>
        <v>-TEXT 24796.2505647741,290 3.5 0 T=3.16 </v>
      </c>
      <c r="BJ279" t="str">
        <f t="shared" si="172"/>
        <v>-TEXT 24796.2505647741,285 3.5 0 S=6.19 </v>
      </c>
    </row>
    <row r="280" spans="1:62">
      <c r="A280">
        <v>0</v>
      </c>
      <c r="B280">
        <v>279</v>
      </c>
      <c r="C280" t="s">
        <v>838</v>
      </c>
      <c r="D280" s="47">
        <v>477710.1265</v>
      </c>
      <c r="E280" s="47">
        <v>3379804.0612</v>
      </c>
      <c r="F280">
        <v>12</v>
      </c>
      <c r="G280">
        <f t="shared" si="146"/>
        <v>15.022</v>
      </c>
      <c r="H280">
        <f t="shared" si="147"/>
        <v>1.58217379586868</v>
      </c>
      <c r="I280">
        <f t="shared" si="148"/>
        <v>3.14620032281506</v>
      </c>
      <c r="J280">
        <f t="shared" si="149"/>
        <v>153.056229027962</v>
      </c>
      <c r="K280" s="40">
        <f t="shared" si="150"/>
        <v>49741.9048413983</v>
      </c>
      <c r="L280" s="40">
        <f t="shared" si="151"/>
        <v>49743.4779415597</v>
      </c>
      <c r="M280" s="40">
        <f t="shared" si="152"/>
        <v>49745.0510417211</v>
      </c>
      <c r="N280" s="47"/>
      <c r="O280" s="47">
        <v>453.528</v>
      </c>
      <c r="P280" s="47">
        <v>0</v>
      </c>
      <c r="Q280" s="39">
        <f t="shared" si="153"/>
        <v>477708.560599334</v>
      </c>
      <c r="R280" s="39">
        <f t="shared" si="154"/>
        <v>3379804.2875383</v>
      </c>
      <c r="S280" s="39">
        <f t="shared" si="155"/>
        <v>477710.127793936</v>
      </c>
      <c r="T280" s="39">
        <f t="shared" si="156"/>
        <v>3379804.1650426</v>
      </c>
      <c r="U280" s="39">
        <f t="shared" si="157"/>
        <v>477711.697554207</v>
      </c>
      <c r="V280" s="39">
        <f t="shared" si="158"/>
        <v>3379804.2484501</v>
      </c>
      <c r="AI280" t="str">
        <f t="array" ref="AI280">IFERROR(INDEX($L$2:$L$789,SMALL(IF(ISNUMBER(FIND($AH$2,$C$2:$C$789)),ROW($2:$789)-1,4^8),ROW(A279)))&amp;"","")</f>
        <v/>
      </c>
      <c r="AS280" t="str">
        <f t="shared" si="174"/>
        <v>-text 477710.1265,3379804.0612 10 0 IP149</v>
      </c>
      <c r="AT280" t="str">
        <f t="shared" si="159"/>
        <v>477710.1265,3379804.0612</v>
      </c>
      <c r="AV280">
        <f t="shared" si="173"/>
        <v>459.328</v>
      </c>
      <c r="AX280" t="str">
        <f t="shared" si="160"/>
        <v>pl 24871.7389707799,279 24871.7389707799,400 </v>
      </c>
      <c r="AY280" t="str">
        <f t="shared" si="161"/>
        <v>24871.7389707799,453.528</v>
      </c>
      <c r="AZ280" t="str">
        <f t="shared" si="162"/>
        <v>24871.7389707799,</v>
      </c>
      <c r="BA280" t="str">
        <f t="shared" si="163"/>
        <v>24871.7389707799,459.328</v>
      </c>
      <c r="BB280" t="str">
        <f t="shared" si="164"/>
        <v>-text 24870.7389707799,337 3.5 90 453.528 </v>
      </c>
      <c r="BC280" t="str">
        <f t="shared" si="165"/>
        <v>-text 24870.7389707799,320 3.5 90 459.328 </v>
      </c>
      <c r="BD280" t="str">
        <f t="shared" si="166"/>
        <v>-text 24870.7389707799,306 3.5 90 0.000 </v>
      </c>
      <c r="BE280" t="str">
        <f t="shared" si="167"/>
        <v>-text 24870.7389707799,352 3.5 90 ZG49+743.478 </v>
      </c>
      <c r="BF280" t="str">
        <f t="shared" si="168"/>
        <v>-text 24870.7389707799,280 3.5 90 IP149 </v>
      </c>
      <c r="BG280" t="str">
        <f t="shared" si="169"/>
        <v>-TEXT 24872.7389707799,300 3.5 0 R=12</v>
      </c>
      <c r="BH280" t="str">
        <f t="shared" si="170"/>
        <v>-TEXT 24872.7389707799,295 3.5 0 α=15.02° </v>
      </c>
      <c r="BI280" t="str">
        <f t="shared" si="171"/>
        <v>-TEXT 24872.7389707799,290 3.5 0 T=1.58 </v>
      </c>
      <c r="BJ280" t="str">
        <f t="shared" si="172"/>
        <v>-TEXT 24872.7389707799,285 3.5 0 S=3.15 </v>
      </c>
    </row>
    <row r="281" spans="1:62">
      <c r="A281">
        <v>0</v>
      </c>
      <c r="B281">
        <v>280</v>
      </c>
      <c r="C281" s="47" t="str">
        <f>Sheet1!C254</f>
        <v>资水河倒虹管出</v>
      </c>
      <c r="D281" s="47">
        <v>477827.8049</v>
      </c>
      <c r="E281" s="47">
        <v>3379818.087</v>
      </c>
      <c r="G281">
        <f t="shared" si="146"/>
        <v>0</v>
      </c>
      <c r="H281">
        <f t="shared" si="147"/>
        <v>0</v>
      </c>
      <c r="I281">
        <f t="shared" si="148"/>
        <v>0</v>
      </c>
      <c r="J281">
        <f t="shared" si="149"/>
        <v>118.511302803541</v>
      </c>
      <c r="K281" s="40">
        <f t="shared" si="150"/>
        <v>49861.9801707288</v>
      </c>
      <c r="L281" s="40">
        <f t="shared" si="151"/>
        <v>49861.9801707288</v>
      </c>
      <c r="M281" s="40">
        <f t="shared" si="152"/>
        <v>49861.9801707288</v>
      </c>
      <c r="N281" s="47">
        <v>454.642</v>
      </c>
      <c r="O281" s="47">
        <v>450.628</v>
      </c>
      <c r="P281" s="47">
        <v>0</v>
      </c>
      <c r="Q281" s="39">
        <f t="shared" si="153"/>
        <v>477827.8049</v>
      </c>
      <c r="R281" s="39">
        <f t="shared" si="154"/>
        <v>3379818.087</v>
      </c>
      <c r="S281" s="39" t="str">
        <f t="shared" si="155"/>
        <v> </v>
      </c>
      <c r="T281" s="39" t="str">
        <f t="shared" si="156"/>
        <v> </v>
      </c>
      <c r="U281" s="39" t="str">
        <f t="shared" si="157"/>
        <v> </v>
      </c>
      <c r="V281" s="39" t="str">
        <f t="shared" si="158"/>
        <v> </v>
      </c>
      <c r="AI281" t="str">
        <f t="array" ref="AI281">IFERROR(INDEX($L$2:$L$789,SMALL(IF(ISNUMBER(FIND($AH$2,$C$2:$C$789)),ROW($2:$789)-1,4^8),ROW(A280)))&amp;"","")</f>
        <v/>
      </c>
      <c r="AT281" t="str">
        <f t="shared" si="159"/>
        <v>477827.8049,3379818.087</v>
      </c>
      <c r="AV281">
        <f t="shared" si="173"/>
        <v>456.428</v>
      </c>
      <c r="AX281" t="str">
        <f t="shared" si="160"/>
        <v>pl 24930.9900853644,279 24930.9900853644,400 </v>
      </c>
      <c r="AY281" t="str">
        <f t="shared" si="161"/>
        <v>24930.9900853644,450.628</v>
      </c>
      <c r="AZ281" t="str">
        <f t="shared" si="162"/>
        <v>24930.9900853644,454.642</v>
      </c>
      <c r="BA281" t="str">
        <f t="shared" si="163"/>
        <v>24930.9900853644,456.428</v>
      </c>
      <c r="BB281" t="str">
        <f t="shared" si="164"/>
        <v>-text 24929.9900853644,337 3.5 90 450.628 </v>
      </c>
      <c r="BC281" t="str">
        <f t="shared" si="165"/>
        <v>-text 24929.9900853644,320 3.5 90 456.428 </v>
      </c>
      <c r="BD281" t="str">
        <f t="shared" si="166"/>
        <v>-text 24929.9900853644,306 3.5 90 454.642 </v>
      </c>
      <c r="BE281" t="str">
        <f t="shared" si="167"/>
        <v>-text 24929.9900853644,352 3.5 90 ZG49+861.980 </v>
      </c>
      <c r="BF281" t="str">
        <f t="shared" si="168"/>
        <v>-text 24929.9900853644,280 3.5 90 资水河倒虹管出 </v>
      </c>
      <c r="BG281" t="str">
        <f t="shared" si="169"/>
        <v/>
      </c>
      <c r="BH281" t="str">
        <f t="shared" si="170"/>
        <v> </v>
      </c>
      <c r="BI281" t="str">
        <f t="shared" si="171"/>
        <v> </v>
      </c>
      <c r="BJ281" t="str">
        <f t="shared" si="172"/>
        <v> </v>
      </c>
    </row>
    <row r="282" spans="1:62">
      <c r="A282">
        <v>0</v>
      </c>
      <c r="B282">
        <v>281</v>
      </c>
      <c r="C282" t="s">
        <v>275</v>
      </c>
      <c r="D282">
        <v>478041.7976</v>
      </c>
      <c r="E282">
        <v>3379843.5924</v>
      </c>
      <c r="F282">
        <v>80</v>
      </c>
      <c r="G282">
        <f t="shared" si="146"/>
        <v>42.573</v>
      </c>
      <c r="H282">
        <f t="shared" si="147"/>
        <v>31.1689837661828</v>
      </c>
      <c r="I282">
        <f t="shared" si="148"/>
        <v>59.4431217961237</v>
      </c>
      <c r="J282">
        <f t="shared" si="149"/>
        <v>215.507310972176</v>
      </c>
      <c r="K282" s="40">
        <f t="shared" si="150"/>
        <v>50046.3184979348</v>
      </c>
      <c r="L282" s="40">
        <f t="shared" si="151"/>
        <v>50076.0400588329</v>
      </c>
      <c r="M282" s="40">
        <f t="shared" si="152"/>
        <v>50105.7616197309</v>
      </c>
      <c r="N282">
        <v>454.601</v>
      </c>
      <c r="O282">
        <v>450.355</v>
      </c>
      <c r="P282">
        <v>0.002</v>
      </c>
      <c r="Q282" s="39">
        <f t="shared" si="153"/>
        <v>478010.847675553</v>
      </c>
      <c r="R282" s="39">
        <f t="shared" si="154"/>
        <v>3379839.9035349</v>
      </c>
      <c r="S282" s="39">
        <f t="shared" si="155"/>
        <v>478040.332038892</v>
      </c>
      <c r="T282" s="39">
        <f t="shared" si="156"/>
        <v>3379837.9212382</v>
      </c>
      <c r="U282" s="39">
        <f t="shared" si="157"/>
        <v>478067.085250577</v>
      </c>
      <c r="V282" s="39">
        <f t="shared" si="158"/>
        <v>3379825.37042762</v>
      </c>
      <c r="AI282" t="str">
        <f t="array" ref="AI282">IFERROR(INDEX($L$2:$L$789,SMALL(IF(ISNUMBER(FIND($AH$2,$C$2:$C$789)),ROW($2:$789)-1,4^8),ROW(A281)))&amp;"","")</f>
        <v/>
      </c>
      <c r="AS282" t="str">
        <f>"-text"&amp;" "&amp;D282&amp;","&amp;E282&amp;" "&amp;"10"&amp;" "&amp;"0"&amp;" "&amp;C282</f>
        <v>-text 478041.7976,3379843.5924 10 0 IP150</v>
      </c>
      <c r="AT282" t="str">
        <f t="shared" si="159"/>
        <v>478041.7976,3379843.5924</v>
      </c>
      <c r="AV282">
        <f t="shared" si="173"/>
        <v>456.155</v>
      </c>
      <c r="AX282" t="str">
        <f t="shared" si="160"/>
        <v>pl 25038.0200294164,279 25038.0200294164,400 </v>
      </c>
      <c r="AY282" t="str">
        <f t="shared" si="161"/>
        <v>25038.0200294164,450.355</v>
      </c>
      <c r="AZ282" t="str">
        <f t="shared" si="162"/>
        <v>25038.0200294164,454.601</v>
      </c>
      <c r="BA282" t="str">
        <f t="shared" si="163"/>
        <v>25038.0200294164,456.155</v>
      </c>
      <c r="BB282" t="str">
        <f t="shared" si="164"/>
        <v>-text 25037.0200294164,337 3.5 90 450.355 </v>
      </c>
      <c r="BC282" t="str">
        <f t="shared" si="165"/>
        <v>-text 25037.0200294164,320 3.5 90 456.155 </v>
      </c>
      <c r="BD282" t="str">
        <f t="shared" si="166"/>
        <v>-text 25037.0200294164,306 3.5 90 454.601 </v>
      </c>
      <c r="BE282" t="str">
        <f t="shared" si="167"/>
        <v>-text 25037.0200294164,352 3.5 90 ZG50+076.040 </v>
      </c>
      <c r="BF282" t="str">
        <f t="shared" si="168"/>
        <v>-text 25037.0200294164,280 3.5 90 IP150 </v>
      </c>
      <c r="BG282" t="str">
        <f t="shared" si="169"/>
        <v>-TEXT 25039.0200294164,300 3.5 0 R=80</v>
      </c>
      <c r="BH282" t="str">
        <f t="shared" si="170"/>
        <v>-TEXT 25039.0200294164,295 3.5 0 α=42.57° </v>
      </c>
      <c r="BI282" t="str">
        <f t="shared" si="171"/>
        <v>-TEXT 25039.0200294164,290 3.5 0 T=31.17 </v>
      </c>
      <c r="BJ282" t="str">
        <f t="shared" si="172"/>
        <v>-TEXT 25039.0200294164,285 3.5 0 S=59.44 </v>
      </c>
    </row>
    <row r="283" spans="1:62">
      <c r="A283">
        <v>0</v>
      </c>
      <c r="B283">
        <v>282</v>
      </c>
      <c r="C283" t="s">
        <v>276</v>
      </c>
      <c r="D283">
        <v>478142.057</v>
      </c>
      <c r="E283">
        <v>3379771.3467</v>
      </c>
      <c r="F283">
        <v>80</v>
      </c>
      <c r="G283">
        <f t="shared" si="146"/>
        <v>21.575</v>
      </c>
      <c r="H283">
        <f t="shared" si="147"/>
        <v>15.2427285216416</v>
      </c>
      <c r="I283">
        <f t="shared" si="148"/>
        <v>30.1243828894221</v>
      </c>
      <c r="J283">
        <f t="shared" si="149"/>
        <v>123.577459339578</v>
      </c>
      <c r="K283" s="40">
        <f t="shared" si="150"/>
        <v>50182.9273667827</v>
      </c>
      <c r="L283" s="40">
        <f t="shared" si="151"/>
        <v>50197.9895582274</v>
      </c>
      <c r="M283" s="40">
        <f t="shared" si="152"/>
        <v>50213.0517496721</v>
      </c>
      <c r="N283">
        <v>454.577</v>
      </c>
      <c r="O283">
        <v>450.331</v>
      </c>
      <c r="P283">
        <v>0.001</v>
      </c>
      <c r="Q283" s="39">
        <f t="shared" si="153"/>
        <v>478129.690450112</v>
      </c>
      <c r="R283" s="39">
        <f t="shared" si="154"/>
        <v>3379780.25788492</v>
      </c>
      <c r="S283" s="39">
        <f t="shared" si="155"/>
        <v>478141.011943958</v>
      </c>
      <c r="T283" s="39">
        <f t="shared" si="156"/>
        <v>3379770.35718298</v>
      </c>
      <c r="U283" s="39">
        <f t="shared" si="157"/>
        <v>478150.280261954</v>
      </c>
      <c r="V283" s="39">
        <f t="shared" si="158"/>
        <v>3379758.51242029</v>
      </c>
      <c r="AI283" t="str">
        <f t="array" ref="AI283">IFERROR(INDEX($L$2:$L$789,SMALL(IF(ISNUMBER(FIND($AH$2,$C$2:$C$789)),ROW($2:$789)-1,4^8),ROW(A282)))&amp;"","")</f>
        <v/>
      </c>
      <c r="AS283" t="str">
        <f>"-text"&amp;" "&amp;D283&amp;","&amp;E283&amp;" "&amp;"10"&amp;" "&amp;"0"&amp;" "&amp;C283</f>
        <v>-text 478142.057,3379771.3467 10 0 IP151</v>
      </c>
      <c r="AT283" t="str">
        <f t="shared" si="159"/>
        <v>478142.057,3379771.3467</v>
      </c>
      <c r="AV283">
        <f t="shared" si="173"/>
        <v>456.131</v>
      </c>
      <c r="AX283" t="str">
        <f t="shared" si="160"/>
        <v>pl 25098.9947791137,279 25098.9947791137,400 </v>
      </c>
      <c r="AY283" t="str">
        <f t="shared" si="161"/>
        <v>25098.9947791137,450.331</v>
      </c>
      <c r="AZ283" t="str">
        <f t="shared" si="162"/>
        <v>25098.9947791137,454.577</v>
      </c>
      <c r="BA283" t="str">
        <f t="shared" si="163"/>
        <v>25098.9947791137,456.131</v>
      </c>
      <c r="BB283" t="str">
        <f t="shared" si="164"/>
        <v>-text 25097.9947791137,337 3.5 90 450.331 </v>
      </c>
      <c r="BC283" t="str">
        <f t="shared" si="165"/>
        <v>-text 25097.9947791137,320 3.5 90 456.131 </v>
      </c>
      <c r="BD283" t="str">
        <f t="shared" si="166"/>
        <v>-text 25097.9947791137,306 3.5 90 454.577 </v>
      </c>
      <c r="BE283" t="str">
        <f t="shared" si="167"/>
        <v>-text 25097.9947791137,352 3.5 90 ZG50+197.990 </v>
      </c>
      <c r="BF283" t="str">
        <f t="shared" si="168"/>
        <v>-text 25097.9947791137,280 3.5 90 IP151 </v>
      </c>
      <c r="BG283" t="str">
        <f t="shared" si="169"/>
        <v>-TEXT 25099.9947791137,300 3.5 0 R=80</v>
      </c>
      <c r="BH283" t="str">
        <f t="shared" si="170"/>
        <v>-TEXT 25099.9947791137,295 3.5 0 α=21.58° </v>
      </c>
      <c r="BI283" t="str">
        <f t="shared" si="171"/>
        <v>-TEXT 25099.9947791137,290 3.5 0 T=15.24 </v>
      </c>
      <c r="BJ283" t="str">
        <f t="shared" si="172"/>
        <v>-TEXT 25099.9947791137,285 3.5 0 S=30.12 </v>
      </c>
    </row>
    <row r="284" spans="1:62">
      <c r="A284">
        <v>0</v>
      </c>
      <c r="B284">
        <v>283</v>
      </c>
      <c r="C284" t="s">
        <v>277</v>
      </c>
      <c r="D284">
        <v>478198.1904</v>
      </c>
      <c r="E284">
        <v>3379683.7377</v>
      </c>
      <c r="F284">
        <v>80</v>
      </c>
      <c r="G284">
        <f t="shared" si="146"/>
        <v>29.285</v>
      </c>
      <c r="H284">
        <f t="shared" si="147"/>
        <v>20.9018189025566</v>
      </c>
      <c r="I284">
        <f t="shared" si="148"/>
        <v>40.8895737157232</v>
      </c>
      <c r="J284">
        <f t="shared" si="149"/>
        <v>104.049485710385</v>
      </c>
      <c r="K284" s="40">
        <f t="shared" si="150"/>
        <v>50280.9566879583</v>
      </c>
      <c r="L284" s="40">
        <f t="shared" si="151"/>
        <v>50301.4014748161</v>
      </c>
      <c r="M284" s="40">
        <f t="shared" si="152"/>
        <v>50321.846261674</v>
      </c>
      <c r="N284">
        <v>454.556</v>
      </c>
      <c r="O284">
        <v>450.31</v>
      </c>
      <c r="P284">
        <v>0.001</v>
      </c>
      <c r="Q284" s="39">
        <f t="shared" si="153"/>
        <v>478186.914129357</v>
      </c>
      <c r="R284" s="39">
        <f t="shared" si="154"/>
        <v>3379701.33689753</v>
      </c>
      <c r="S284" s="39">
        <f t="shared" si="155"/>
        <v>478200.011868156</v>
      </c>
      <c r="T284" s="39">
        <f t="shared" si="156"/>
        <v>3379685.71099684</v>
      </c>
      <c r="U284" s="39">
        <f t="shared" si="157"/>
        <v>478216.634227719</v>
      </c>
      <c r="V284" s="39">
        <f t="shared" si="158"/>
        <v>3379673.90351206</v>
      </c>
      <c r="AI284" t="str">
        <f t="array" ref="AI284">IFERROR(INDEX($L$2:$L$789,SMALL(IF(ISNUMBER(FIND($AH$2,$C$2:$C$789)),ROW($2:$789)-1,4^8),ROW(A283)))&amp;"","")</f>
        <v/>
      </c>
      <c r="AS284" t="str">
        <f>"-text"&amp;" "&amp;D284&amp;","&amp;E284&amp;" "&amp;"10"&amp;" "&amp;"0"&amp;" "&amp;C284</f>
        <v>-text 478198.1904,3379683.7377 10 0 IP152</v>
      </c>
      <c r="AT284" t="str">
        <f t="shared" si="159"/>
        <v>478198.1904,3379683.7377</v>
      </c>
      <c r="AV284">
        <f t="shared" si="173"/>
        <v>456.11</v>
      </c>
      <c r="AX284" t="str">
        <f t="shared" si="160"/>
        <v>pl 25150.7007374081,279 25150.7007374081,400 </v>
      </c>
      <c r="AY284" t="str">
        <f t="shared" si="161"/>
        <v>25150.7007374081,450.31</v>
      </c>
      <c r="AZ284" t="str">
        <f t="shared" si="162"/>
        <v>25150.7007374081,454.556</v>
      </c>
      <c r="BA284" t="str">
        <f t="shared" si="163"/>
        <v>25150.7007374081,456.11</v>
      </c>
      <c r="BB284" t="str">
        <f t="shared" si="164"/>
        <v>-text 25149.7007374081,337 3.5 90 450.310 </v>
      </c>
      <c r="BC284" t="str">
        <f t="shared" si="165"/>
        <v>-text 25149.7007374081,320 3.5 90 456.110 </v>
      </c>
      <c r="BD284" t="str">
        <f t="shared" si="166"/>
        <v>-text 25149.7007374081,306 3.5 90 454.556 </v>
      </c>
      <c r="BE284" t="str">
        <f t="shared" si="167"/>
        <v>-text 25149.7007374081,352 3.5 90 ZG50+301.401 </v>
      </c>
      <c r="BF284" t="str">
        <f t="shared" si="168"/>
        <v>-text 25149.7007374081,280 3.5 90 IP152 </v>
      </c>
      <c r="BG284" t="str">
        <f t="shared" si="169"/>
        <v>-TEXT 25151.7007374081,300 3.5 0 R=80</v>
      </c>
      <c r="BH284" t="str">
        <f t="shared" si="170"/>
        <v>-TEXT 25151.7007374081,295 3.5 0 α=29.29° </v>
      </c>
      <c r="BI284" t="str">
        <f t="shared" si="171"/>
        <v>-TEXT 25151.7007374081,290 3.5 0 T=20.90 </v>
      </c>
      <c r="BJ284" t="str">
        <f t="shared" si="172"/>
        <v>-TEXT 25151.7007374081,285 3.5 0 S=40.89 </v>
      </c>
    </row>
    <row r="285" spans="1:62">
      <c r="A285">
        <v>1</v>
      </c>
      <c r="B285">
        <v>284</v>
      </c>
      <c r="C285" t="str">
        <f>Sheet1!C258</f>
        <v>金鸡山隧进</v>
      </c>
      <c r="D285">
        <v>478264.447</v>
      </c>
      <c r="E285">
        <v>3379648.4099</v>
      </c>
      <c r="G285">
        <f t="shared" si="146"/>
        <v>0</v>
      </c>
      <c r="H285">
        <f t="shared" si="147"/>
        <v>0</v>
      </c>
      <c r="I285">
        <f t="shared" si="148"/>
        <v>0</v>
      </c>
      <c r="J285">
        <f t="shared" si="149"/>
        <v>75.0865533661079</v>
      </c>
      <c r="K285" s="40">
        <f t="shared" si="150"/>
        <v>50376.0309961376</v>
      </c>
      <c r="L285" s="40">
        <f t="shared" si="151"/>
        <v>50376.0309961376</v>
      </c>
      <c r="M285" s="40">
        <f t="shared" si="152"/>
        <v>50376.0309961376</v>
      </c>
      <c r="N285">
        <v>454.538</v>
      </c>
      <c r="O285">
        <v>450.313</v>
      </c>
      <c r="P285">
        <v>0</v>
      </c>
      <c r="Q285" s="39">
        <f t="shared" si="153"/>
        <v>478264.447</v>
      </c>
      <c r="R285" s="39">
        <f t="shared" si="154"/>
        <v>3379648.4099</v>
      </c>
      <c r="S285" s="39" t="str">
        <f t="shared" si="155"/>
        <v> </v>
      </c>
      <c r="T285" s="39" t="str">
        <f t="shared" si="156"/>
        <v> </v>
      </c>
      <c r="U285" s="39" t="str">
        <f t="shared" si="157"/>
        <v> </v>
      </c>
      <c r="V285" s="39" t="str">
        <f t="shared" si="158"/>
        <v> </v>
      </c>
      <c r="AI285" t="str">
        <f t="array" ref="AI285">IFERROR(INDEX($L$2:$L$789,SMALL(IF(ISNUMBER(FIND($AH$2,$C$2:$C$789)),ROW($2:$789)-1,4^8),ROW(A284)))&amp;"","")</f>
        <v/>
      </c>
      <c r="AT285" t="str">
        <f t="shared" si="159"/>
        <v>478264.447,3379648.4099</v>
      </c>
      <c r="AV285">
        <f t="shared" si="173"/>
        <v>455.813</v>
      </c>
      <c r="AX285" t="str">
        <f t="shared" si="160"/>
        <v>pl 25188.0154980688,279 25188.0154980688,400 </v>
      </c>
      <c r="AY285" t="str">
        <f t="shared" si="161"/>
        <v>25188.0154980688,450.313</v>
      </c>
      <c r="AZ285" t="str">
        <f t="shared" si="162"/>
        <v>25188.0154980688,454.538</v>
      </c>
      <c r="BA285" t="str">
        <f t="shared" si="163"/>
        <v>25188.0154980688,455.813</v>
      </c>
      <c r="BB285" t="str">
        <f t="shared" si="164"/>
        <v>-text 25187.0154980688,337 3.5 90 450.313 </v>
      </c>
      <c r="BC285" t="str">
        <f t="shared" si="165"/>
        <v>-text 25187.0154980688,320 3.5 90 455.813 </v>
      </c>
      <c r="BD285" t="str">
        <f t="shared" si="166"/>
        <v>-text 25187.0154980688,306 3.5 90 454.538 </v>
      </c>
      <c r="BE285" t="str">
        <f t="shared" si="167"/>
        <v>-text 25187.0154980688,352 3.5 90 ZG50+376.031 </v>
      </c>
      <c r="BF285" t="str">
        <f t="shared" si="168"/>
        <v>-text 25187.0154980688,280 3.5 90 金鸡山隧进 </v>
      </c>
      <c r="BG285" t="str">
        <f t="shared" si="169"/>
        <v/>
      </c>
      <c r="BH285" t="str">
        <f t="shared" si="170"/>
        <v> </v>
      </c>
      <c r="BI285" t="str">
        <f t="shared" si="171"/>
        <v> </v>
      </c>
      <c r="BJ285" t="str">
        <f t="shared" si="172"/>
        <v> </v>
      </c>
    </row>
    <row r="286" spans="1:62">
      <c r="A286">
        <v>1</v>
      </c>
      <c r="B286">
        <v>285</v>
      </c>
      <c r="C286" t="s">
        <v>279</v>
      </c>
      <c r="D286">
        <v>478523.6175</v>
      </c>
      <c r="E286">
        <v>3379510.2211</v>
      </c>
      <c r="F286">
        <v>80</v>
      </c>
      <c r="G286">
        <f t="shared" si="146"/>
        <v>55.895</v>
      </c>
      <c r="H286">
        <f t="shared" si="147"/>
        <v>42.4427723805195</v>
      </c>
      <c r="I286">
        <f t="shared" si="148"/>
        <v>78.0441428321785</v>
      </c>
      <c r="J286">
        <f t="shared" si="149"/>
        <v>293.709878137591</v>
      </c>
      <c r="K286" s="40">
        <f t="shared" si="150"/>
        <v>50627.2981018946</v>
      </c>
      <c r="L286" s="40">
        <f t="shared" si="151"/>
        <v>50666.3201733107</v>
      </c>
      <c r="M286" s="40">
        <f t="shared" si="152"/>
        <v>50705.3422447268</v>
      </c>
      <c r="N286">
        <v>454.484</v>
      </c>
      <c r="O286">
        <v>450.259</v>
      </c>
      <c r="P286">
        <v>0.003</v>
      </c>
      <c r="Q286" s="39">
        <f t="shared" si="153"/>
        <v>478486.165867086</v>
      </c>
      <c r="R286" s="39">
        <f t="shared" si="154"/>
        <v>3379530.19017908</v>
      </c>
      <c r="S286" s="39">
        <f t="shared" si="155"/>
        <v>478514.860208819</v>
      </c>
      <c r="T286" s="39">
        <f t="shared" si="156"/>
        <v>3379504.3172984</v>
      </c>
      <c r="U286" s="39">
        <f t="shared" si="157"/>
        <v>478528.082564359</v>
      </c>
      <c r="V286" s="39">
        <f t="shared" si="158"/>
        <v>3379468.01384793</v>
      </c>
      <c r="AI286" t="str">
        <f t="array" ref="AI286">IFERROR(INDEX($L$2:$L$789,SMALL(IF(ISNUMBER(FIND($AH$2,$C$2:$C$789)),ROW($2:$789)-1,4^8),ROW(A285)))&amp;"","")</f>
        <v/>
      </c>
      <c r="AS286" t="str">
        <f>"-text"&amp;" "&amp;D286&amp;","&amp;E286&amp;" "&amp;"10"&amp;" "&amp;"0"&amp;" "&amp;C286</f>
        <v>-text 478523.6175,3379510.2211 10 0 IP153</v>
      </c>
      <c r="AT286" t="str">
        <f t="shared" si="159"/>
        <v>478523.6175,3379510.2211</v>
      </c>
      <c r="AV286">
        <f t="shared" si="173"/>
        <v>455.759</v>
      </c>
      <c r="AX286" t="str">
        <f t="shared" si="160"/>
        <v>pl 25333.1600866554,279 25333.1600866554,400 </v>
      </c>
      <c r="AY286" t="str">
        <f t="shared" si="161"/>
        <v>25333.1600866554,450.259</v>
      </c>
      <c r="AZ286" t="str">
        <f t="shared" si="162"/>
        <v>25333.1600866554,454.484</v>
      </c>
      <c r="BA286" t="str">
        <f t="shared" si="163"/>
        <v>25333.1600866554,455.759</v>
      </c>
      <c r="BB286" t="str">
        <f t="shared" si="164"/>
        <v>-text 25332.1600866554,337 3.5 90 450.259 </v>
      </c>
      <c r="BC286" t="str">
        <f t="shared" si="165"/>
        <v>-text 25332.1600866554,320 3.5 90 455.759 </v>
      </c>
      <c r="BD286" t="str">
        <f t="shared" si="166"/>
        <v>-text 25332.1600866554,306 3.5 90 454.484 </v>
      </c>
      <c r="BE286" t="str">
        <f t="shared" si="167"/>
        <v>-text 25332.1600866554,352 3.5 90 ZG50+666.320 </v>
      </c>
      <c r="BF286" t="str">
        <f t="shared" si="168"/>
        <v>-text 25332.1600866554,280 3.5 90 IP153 </v>
      </c>
      <c r="BG286" t="str">
        <f t="shared" si="169"/>
        <v>-TEXT 25334.1600866554,300 3.5 0 R=80</v>
      </c>
      <c r="BH286" t="str">
        <f t="shared" si="170"/>
        <v>-TEXT 25334.1600866554,295 3.5 0 α=55.90° </v>
      </c>
      <c r="BI286" t="str">
        <f t="shared" si="171"/>
        <v>-TEXT 25334.1600866554,290 3.5 0 T=42.44 </v>
      </c>
      <c r="BJ286" t="str">
        <f t="shared" si="172"/>
        <v>-TEXT 25334.1600866554,285 3.5 0 S=78.04 </v>
      </c>
    </row>
    <row r="287" spans="1:62">
      <c r="A287">
        <v>1</v>
      </c>
      <c r="B287">
        <v>286</v>
      </c>
      <c r="C287" t="s">
        <v>280</v>
      </c>
      <c r="D287">
        <v>478580.7661</v>
      </c>
      <c r="E287">
        <v>3378970.0082</v>
      </c>
      <c r="F287">
        <v>80</v>
      </c>
      <c r="G287">
        <f t="shared" si="146"/>
        <v>20.736</v>
      </c>
      <c r="H287">
        <f t="shared" si="147"/>
        <v>14.6365668132943</v>
      </c>
      <c r="I287">
        <f t="shared" si="148"/>
        <v>28.9529178954835</v>
      </c>
      <c r="J287">
        <f t="shared" si="149"/>
        <v>543.227337132938</v>
      </c>
      <c r="K287" s="40">
        <f t="shared" si="150"/>
        <v>51191.4902426659</v>
      </c>
      <c r="L287" s="40">
        <f t="shared" si="151"/>
        <v>51205.9667016137</v>
      </c>
      <c r="M287" s="40">
        <f t="shared" si="152"/>
        <v>51220.4431605614</v>
      </c>
      <c r="N287">
        <v>454.384</v>
      </c>
      <c r="O287">
        <v>450.159</v>
      </c>
      <c r="P287">
        <v>0.001</v>
      </c>
      <c r="Q287" s="39">
        <f t="shared" si="153"/>
        <v>478579.226303961</v>
      </c>
      <c r="R287" s="39">
        <f t="shared" si="154"/>
        <v>3378984.56354665</v>
      </c>
      <c r="S287" s="39">
        <f t="shared" si="155"/>
        <v>478582.039928385</v>
      </c>
      <c r="T287" s="39">
        <f t="shared" si="156"/>
        <v>3378970.38327026</v>
      </c>
      <c r="U287" s="39">
        <f t="shared" si="157"/>
        <v>478587.359611791</v>
      </c>
      <c r="V287" s="39">
        <f t="shared" si="158"/>
        <v>3378956.94088619</v>
      </c>
      <c r="AI287" t="str">
        <f t="array" ref="AI287">IFERROR(INDEX($L$2:$L$789,SMALL(IF(ISNUMBER(FIND($AH$2,$C$2:$C$789)),ROW($2:$789)-1,4^8),ROW(A286)))&amp;"","")</f>
        <v/>
      </c>
      <c r="AS287" t="str">
        <f>"-text"&amp;" "&amp;D287&amp;","&amp;E287&amp;" "&amp;"10"&amp;" "&amp;"0"&amp;" "&amp;C287</f>
        <v>-text 478580.7661,3378970.0082 10 0 IP154</v>
      </c>
      <c r="AT287" t="str">
        <f t="shared" si="159"/>
        <v>478580.7661,3378970.0082</v>
      </c>
      <c r="AV287">
        <f t="shared" si="173"/>
        <v>455.659</v>
      </c>
      <c r="AX287" t="str">
        <f t="shared" si="160"/>
        <v>pl 25602.9833508068,279 25602.9833508068,400 </v>
      </c>
      <c r="AY287" t="str">
        <f t="shared" si="161"/>
        <v>25602.9833508068,450.159</v>
      </c>
      <c r="AZ287" t="str">
        <f t="shared" si="162"/>
        <v>25602.9833508068,454.384</v>
      </c>
      <c r="BA287" t="str">
        <f t="shared" si="163"/>
        <v>25602.9833508068,455.659</v>
      </c>
      <c r="BB287" t="str">
        <f t="shared" si="164"/>
        <v>-text 25601.9833508068,337 3.5 90 450.159 </v>
      </c>
      <c r="BC287" t="str">
        <f t="shared" si="165"/>
        <v>-text 25601.9833508068,320 3.5 90 455.659 </v>
      </c>
      <c r="BD287" t="str">
        <f t="shared" si="166"/>
        <v>-text 25601.9833508068,306 3.5 90 454.384 </v>
      </c>
      <c r="BE287" t="str">
        <f t="shared" si="167"/>
        <v>-text 25601.9833508068,352 3.5 90 ZG51+205.967 </v>
      </c>
      <c r="BF287" t="str">
        <f t="shared" si="168"/>
        <v>-text 25601.9833508068,280 3.5 90 IP154 </v>
      </c>
      <c r="BG287" t="str">
        <f t="shared" si="169"/>
        <v>-TEXT 25603.9833508068,300 3.5 0 R=80</v>
      </c>
      <c r="BH287" t="str">
        <f t="shared" si="170"/>
        <v>-TEXT 25603.9833508068,295 3.5 0 α=20.74° </v>
      </c>
      <c r="BI287" t="str">
        <f t="shared" si="171"/>
        <v>-TEXT 25603.9833508068,290 3.5 0 T=14.64 </v>
      </c>
      <c r="BJ287" t="str">
        <f t="shared" si="172"/>
        <v>-TEXT 25603.9833508068,285 3.5 0 S=28.95 </v>
      </c>
    </row>
    <row r="288" spans="1:62">
      <c r="A288">
        <v>1</v>
      </c>
      <c r="B288">
        <v>287</v>
      </c>
      <c r="C288" t="str">
        <f>Sheet1!C261</f>
        <v>金鸡山隧出</v>
      </c>
      <c r="D288">
        <v>478777.0131</v>
      </c>
      <c r="E288">
        <v>3378581.0772</v>
      </c>
      <c r="G288">
        <f t="shared" si="146"/>
        <v>0</v>
      </c>
      <c r="H288">
        <f t="shared" si="147"/>
        <v>0</v>
      </c>
      <c r="I288">
        <f t="shared" si="148"/>
        <v>0</v>
      </c>
      <c r="J288">
        <f t="shared" si="149"/>
        <v>435.637702420125</v>
      </c>
      <c r="K288" s="40">
        <f t="shared" si="150"/>
        <v>51641.4442961683</v>
      </c>
      <c r="L288" s="40">
        <f t="shared" si="151"/>
        <v>51641.4442961683</v>
      </c>
      <c r="M288" s="40">
        <f t="shared" si="152"/>
        <v>51641.4442961683</v>
      </c>
      <c r="N288">
        <v>454.304</v>
      </c>
      <c r="O288">
        <v>450.079</v>
      </c>
      <c r="P288">
        <v>0</v>
      </c>
      <c r="Q288" s="39">
        <f t="shared" si="153"/>
        <v>478777.0131</v>
      </c>
      <c r="R288" s="39">
        <f t="shared" si="154"/>
        <v>3378581.0772</v>
      </c>
      <c r="S288" s="39" t="str">
        <f t="shared" si="155"/>
        <v> </v>
      </c>
      <c r="T288" s="39" t="str">
        <f t="shared" si="156"/>
        <v> </v>
      </c>
      <c r="U288" s="39" t="str">
        <f t="shared" si="157"/>
        <v> </v>
      </c>
      <c r="V288" s="39" t="str">
        <f t="shared" si="158"/>
        <v> </v>
      </c>
      <c r="AI288" t="str">
        <f t="array" ref="AI288">IFERROR(INDEX($L$2:$L$789,SMALL(IF(ISNUMBER(FIND($AH$2,$C$2:$C$789)),ROW($2:$789)-1,4^8),ROW(A287)))&amp;"","")</f>
        <v/>
      </c>
      <c r="AT288" t="str">
        <f t="shared" si="159"/>
        <v>478777.0131,3378581.0772</v>
      </c>
      <c r="AV288">
        <f t="shared" si="173"/>
        <v>455.579</v>
      </c>
      <c r="AX288" t="str">
        <f t="shared" si="160"/>
        <v>pl 25820.7221480841,279 25820.7221480841,400 </v>
      </c>
      <c r="AY288" t="str">
        <f t="shared" si="161"/>
        <v>25820.7221480841,450.079</v>
      </c>
      <c r="AZ288" t="str">
        <f t="shared" si="162"/>
        <v>25820.7221480841,454.304</v>
      </c>
      <c r="BA288" t="str">
        <f t="shared" si="163"/>
        <v>25820.7221480841,455.579</v>
      </c>
      <c r="BB288" t="str">
        <f t="shared" si="164"/>
        <v>-text 25819.7221480841,337 3.5 90 450.079 </v>
      </c>
      <c r="BC288" t="str">
        <f t="shared" si="165"/>
        <v>-text 25819.7221480841,320 3.5 90 455.579 </v>
      </c>
      <c r="BD288" t="str">
        <f t="shared" si="166"/>
        <v>-text 25819.7221480841,306 3.5 90 454.304 </v>
      </c>
      <c r="BE288" t="str">
        <f t="shared" si="167"/>
        <v>-text 25819.7221480841,352 3.5 90 ZG51+641.444 </v>
      </c>
      <c r="BF288" t="str">
        <f t="shared" si="168"/>
        <v>-text 25819.7221480841,280 3.5 90 金鸡山隧出 </v>
      </c>
      <c r="BG288" t="str">
        <f t="shared" si="169"/>
        <v/>
      </c>
      <c r="BH288" t="str">
        <f t="shared" si="170"/>
        <v> </v>
      </c>
      <c r="BI288" t="str">
        <f t="shared" si="171"/>
        <v> </v>
      </c>
      <c r="BJ288" t="str">
        <f t="shared" si="172"/>
        <v> </v>
      </c>
    </row>
    <row r="289" spans="1:62">
      <c r="A289">
        <v>1</v>
      </c>
      <c r="B289">
        <v>288</v>
      </c>
      <c r="C289" t="s">
        <v>282</v>
      </c>
      <c r="D289">
        <v>478833.8309</v>
      </c>
      <c r="E289">
        <v>3378468.4731</v>
      </c>
      <c r="F289">
        <v>80</v>
      </c>
      <c r="G289">
        <f t="shared" si="146"/>
        <v>6.388</v>
      </c>
      <c r="H289">
        <f t="shared" si="147"/>
        <v>4.46429066702486</v>
      </c>
      <c r="I289">
        <f t="shared" si="148"/>
        <v>8.91933060939182</v>
      </c>
      <c r="J289">
        <f t="shared" si="149"/>
        <v>126.126705077385</v>
      </c>
      <c r="K289" s="40">
        <f t="shared" si="150"/>
        <v>51763.1067105786</v>
      </c>
      <c r="L289" s="40">
        <f t="shared" si="151"/>
        <v>51767.5663758833</v>
      </c>
      <c r="M289" s="40">
        <f t="shared" si="152"/>
        <v>51772.026041188</v>
      </c>
      <c r="N289">
        <v>454.284</v>
      </c>
      <c r="O289">
        <v>450.038</v>
      </c>
      <c r="P289">
        <v>0</v>
      </c>
      <c r="Q289" s="39">
        <f t="shared" si="153"/>
        <v>478831.819817778</v>
      </c>
      <c r="R289" s="39">
        <f t="shared" si="154"/>
        <v>3378472.45875421</v>
      </c>
      <c r="S289" s="39">
        <f t="shared" si="155"/>
        <v>478833.716831836</v>
      </c>
      <c r="T289" s="39">
        <f t="shared" si="156"/>
        <v>3378468.42331057</v>
      </c>
      <c r="U289" s="39">
        <f t="shared" si="157"/>
        <v>478835.386063952</v>
      </c>
      <c r="V289" s="39">
        <f t="shared" si="158"/>
        <v>3378464.28844276</v>
      </c>
      <c r="AI289" t="str">
        <f t="array" ref="AI289">IFERROR(INDEX($L$2:$L$789,SMALL(IF(ISNUMBER(FIND($AH$2,$C$2:$C$789)),ROW($2:$789)-1,4^8),ROW(A288)))&amp;"","")</f>
        <v/>
      </c>
      <c r="AS289" t="str">
        <f>"-text"&amp;" "&amp;D289&amp;","&amp;E289&amp;" "&amp;"10"&amp;" "&amp;"0"&amp;" "&amp;C289</f>
        <v>-text 478833.8309,3378468.4731 10 0 IP155</v>
      </c>
      <c r="AT289" t="str">
        <f t="shared" si="159"/>
        <v>478833.8309,3378468.4731</v>
      </c>
      <c r="AV289">
        <f t="shared" si="173"/>
        <v>455.538</v>
      </c>
      <c r="AX289" t="str">
        <f t="shared" si="160"/>
        <v>pl 25883.7831879417,279 25883.7831879417,400 </v>
      </c>
      <c r="AY289" t="str">
        <f t="shared" si="161"/>
        <v>25883.7831879417,450.038</v>
      </c>
      <c r="AZ289" t="str">
        <f t="shared" si="162"/>
        <v>25883.7831879417,454.284</v>
      </c>
      <c r="BA289" t="str">
        <f t="shared" si="163"/>
        <v>25883.7831879417,455.538</v>
      </c>
      <c r="BB289" t="str">
        <f t="shared" si="164"/>
        <v>-text 25882.7831879417,337 3.5 90 450.038 </v>
      </c>
      <c r="BC289" t="str">
        <f t="shared" si="165"/>
        <v>-text 25882.7831879417,320 3.5 90 455.538 </v>
      </c>
      <c r="BD289" t="str">
        <f t="shared" si="166"/>
        <v>-text 25882.7831879417,306 3.5 90 454.284 </v>
      </c>
      <c r="BE289" t="str">
        <f t="shared" si="167"/>
        <v>-text 25882.7831879417,352 3.5 90 ZG51+767.566 </v>
      </c>
      <c r="BF289" t="str">
        <f t="shared" si="168"/>
        <v>-text 25882.7831879417,280 3.5 90 IP155 </v>
      </c>
      <c r="BG289" t="str">
        <f t="shared" si="169"/>
        <v>-TEXT 25884.7831879417,300 3.5 0 R=80</v>
      </c>
      <c r="BH289" t="str">
        <f t="shared" si="170"/>
        <v>-TEXT 25884.7831879417,295 3.5 0 α=6.39° </v>
      </c>
      <c r="BI289" t="str">
        <f t="shared" si="171"/>
        <v>-TEXT 25884.7831879417,290 3.5 0 T=4.46 </v>
      </c>
      <c r="BJ289" t="str">
        <f t="shared" si="172"/>
        <v>-TEXT 25884.7831879417,285 3.5 0 S=8.92 </v>
      </c>
    </row>
    <row r="290" spans="1:62">
      <c r="A290">
        <v>1</v>
      </c>
      <c r="B290">
        <v>289</v>
      </c>
      <c r="C290" t="str">
        <f>Sheet1!C263</f>
        <v>大梁子1#隧进</v>
      </c>
      <c r="D290">
        <v>478853.5472</v>
      </c>
      <c r="E290">
        <v>3378415.4202</v>
      </c>
      <c r="G290">
        <f t="shared" si="146"/>
        <v>0</v>
      </c>
      <c r="H290">
        <f t="shared" si="147"/>
        <v>0</v>
      </c>
      <c r="I290">
        <f t="shared" si="148"/>
        <v>0</v>
      </c>
      <c r="J290">
        <f t="shared" si="149"/>
        <v>56.5980802156741</v>
      </c>
      <c r="K290" s="40">
        <f t="shared" si="150"/>
        <v>51824.1598307367</v>
      </c>
      <c r="L290" s="40">
        <f t="shared" si="151"/>
        <v>51824.1598307367</v>
      </c>
      <c r="M290" s="40">
        <f t="shared" si="152"/>
        <v>51824.1598307367</v>
      </c>
      <c r="N290">
        <v>454.27</v>
      </c>
      <c r="O290">
        <v>450.045</v>
      </c>
      <c r="P290">
        <v>0</v>
      </c>
      <c r="Q290" s="39">
        <f t="shared" si="153"/>
        <v>478853.5472</v>
      </c>
      <c r="R290" s="39">
        <f t="shared" si="154"/>
        <v>3378415.4202</v>
      </c>
      <c r="S290" s="39" t="str">
        <f t="shared" si="155"/>
        <v> </v>
      </c>
      <c r="T290" s="39" t="str">
        <f t="shared" si="156"/>
        <v> </v>
      </c>
      <c r="U290" s="39" t="str">
        <f t="shared" si="157"/>
        <v> </v>
      </c>
      <c r="V290" s="39" t="str">
        <f t="shared" si="158"/>
        <v> </v>
      </c>
      <c r="AI290" t="str">
        <f t="array" ref="AI290">IFERROR(INDEX($L$2:$L$789,SMALL(IF(ISNUMBER(FIND($AH$2,$C$2:$C$789)),ROW($2:$789)-1,4^8),ROW(A289)))&amp;"","")</f>
        <v/>
      </c>
      <c r="AT290" t="str">
        <f t="shared" si="159"/>
        <v>478853.5472,3378415.4202</v>
      </c>
      <c r="AV290">
        <f t="shared" si="173"/>
        <v>455.545</v>
      </c>
      <c r="AX290" t="str">
        <f t="shared" si="160"/>
        <v>pl 25912.0799153683,279 25912.0799153683,400 </v>
      </c>
      <c r="AY290" t="str">
        <f t="shared" si="161"/>
        <v>25912.0799153683,450.045</v>
      </c>
      <c r="AZ290" t="str">
        <f t="shared" si="162"/>
        <v>25912.0799153683,454.27</v>
      </c>
      <c r="BA290" t="str">
        <f t="shared" si="163"/>
        <v>25912.0799153683,455.545</v>
      </c>
      <c r="BB290" t="str">
        <f t="shared" si="164"/>
        <v>-text 25911.0799153683,337 3.5 90 450.045 </v>
      </c>
      <c r="BC290" t="str">
        <f t="shared" si="165"/>
        <v>-text 25911.0799153683,320 3.5 90 455.545 </v>
      </c>
      <c r="BD290" t="str">
        <f t="shared" si="166"/>
        <v>-text 25911.0799153683,306 3.5 90 454.270 </v>
      </c>
      <c r="BE290" t="str">
        <f t="shared" si="167"/>
        <v>-text 25911.0799153683,352 3.5 90 ZG51+824.160 </v>
      </c>
      <c r="BF290" t="str">
        <f t="shared" si="168"/>
        <v>-text 25911.0799153683,280 3.5 90 大梁子1#隧进 </v>
      </c>
      <c r="BG290" t="str">
        <f t="shared" si="169"/>
        <v/>
      </c>
      <c r="BH290" t="str">
        <f t="shared" si="170"/>
        <v> </v>
      </c>
      <c r="BI290" t="str">
        <f t="shared" si="171"/>
        <v> </v>
      </c>
      <c r="BJ290" t="str">
        <f t="shared" si="172"/>
        <v> </v>
      </c>
    </row>
    <row r="291" spans="1:62">
      <c r="A291">
        <v>1</v>
      </c>
      <c r="B291">
        <v>290</v>
      </c>
      <c r="C291" t="str">
        <f>Sheet1!C264</f>
        <v>大梁子1#隧出</v>
      </c>
      <c r="D291">
        <v>478898.5557</v>
      </c>
      <c r="E291">
        <v>3378294.3105</v>
      </c>
      <c r="G291">
        <f t="shared" si="146"/>
        <v>0</v>
      </c>
      <c r="H291">
        <f t="shared" si="147"/>
        <v>0</v>
      </c>
      <c r="I291">
        <f t="shared" si="148"/>
        <v>0</v>
      </c>
      <c r="J291">
        <f t="shared" si="149"/>
        <v>129.202648991125</v>
      </c>
      <c r="K291" s="40">
        <f t="shared" si="150"/>
        <v>51953.3624797278</v>
      </c>
      <c r="L291" s="40">
        <f t="shared" si="151"/>
        <v>51953.3624797278</v>
      </c>
      <c r="M291" s="40">
        <f t="shared" si="152"/>
        <v>51953.3624797278</v>
      </c>
      <c r="N291">
        <v>454.246</v>
      </c>
      <c r="O291">
        <v>450.021</v>
      </c>
      <c r="P291">
        <v>0</v>
      </c>
      <c r="Q291" s="39">
        <f t="shared" si="153"/>
        <v>478898.5557</v>
      </c>
      <c r="R291" s="39">
        <f t="shared" si="154"/>
        <v>3378294.3105</v>
      </c>
      <c r="S291" s="39" t="str">
        <f t="shared" si="155"/>
        <v> </v>
      </c>
      <c r="T291" s="39" t="str">
        <f t="shared" si="156"/>
        <v> </v>
      </c>
      <c r="U291" s="39" t="str">
        <f t="shared" si="157"/>
        <v> </v>
      </c>
      <c r="V291" s="39" t="str">
        <f t="shared" si="158"/>
        <v> </v>
      </c>
      <c r="AI291" t="str">
        <f t="array" ref="AI291">IFERROR(INDEX($L$2:$L$789,SMALL(IF(ISNUMBER(FIND($AH$2,$C$2:$C$789)),ROW($2:$789)-1,4^8),ROW(A290)))&amp;"","")</f>
        <v/>
      </c>
      <c r="AT291" t="str">
        <f t="shared" si="159"/>
        <v>478898.5557,3378294.3105</v>
      </c>
      <c r="AV291">
        <f t="shared" si="173"/>
        <v>455.521</v>
      </c>
      <c r="AX291" t="str">
        <f t="shared" si="160"/>
        <v>pl 25976.6812398639,279 25976.6812398639,400 </v>
      </c>
      <c r="AY291" t="str">
        <f t="shared" si="161"/>
        <v>25976.6812398639,450.021</v>
      </c>
      <c r="AZ291" t="str">
        <f t="shared" si="162"/>
        <v>25976.6812398639,454.246</v>
      </c>
      <c r="BA291" t="str">
        <f t="shared" si="163"/>
        <v>25976.6812398639,455.521</v>
      </c>
      <c r="BB291" t="str">
        <f t="shared" si="164"/>
        <v>-text 25975.6812398639,337 3.5 90 450.021 </v>
      </c>
      <c r="BC291" t="str">
        <f t="shared" si="165"/>
        <v>-text 25975.6812398639,320 3.5 90 455.521 </v>
      </c>
      <c r="BD291" t="str">
        <f t="shared" si="166"/>
        <v>-text 25975.6812398639,306 3.5 90 454.246 </v>
      </c>
      <c r="BE291" t="str">
        <f t="shared" si="167"/>
        <v>-text 25975.6812398639,352 3.5 90 ZG51+953.362 </v>
      </c>
      <c r="BF291" t="str">
        <f t="shared" si="168"/>
        <v>-text 25975.6812398639,280 3.5 90 大梁子1#隧出 </v>
      </c>
      <c r="BG291" t="str">
        <f t="shared" si="169"/>
        <v/>
      </c>
      <c r="BH291" t="str">
        <f t="shared" si="170"/>
        <v> </v>
      </c>
      <c r="BI291" t="str">
        <f t="shared" si="171"/>
        <v> </v>
      </c>
      <c r="BJ291" t="str">
        <f t="shared" si="172"/>
        <v> </v>
      </c>
    </row>
    <row r="292" spans="1:62">
      <c r="A292">
        <v>1</v>
      </c>
      <c r="B292">
        <v>291</v>
      </c>
      <c r="C292" t="s">
        <v>285</v>
      </c>
      <c r="D292">
        <v>478908.8974</v>
      </c>
      <c r="E292">
        <v>3378266.4831</v>
      </c>
      <c r="F292">
        <v>80</v>
      </c>
      <c r="G292">
        <f t="shared" si="146"/>
        <v>5.582</v>
      </c>
      <c r="H292">
        <f t="shared" si="147"/>
        <v>3.90005642086089</v>
      </c>
      <c r="I292">
        <f t="shared" si="148"/>
        <v>7.79394230770588</v>
      </c>
      <c r="J292">
        <f t="shared" si="149"/>
        <v>29.6869491471674</v>
      </c>
      <c r="K292" s="40">
        <f t="shared" si="150"/>
        <v>51979.1493724541</v>
      </c>
      <c r="L292" s="40">
        <f t="shared" si="151"/>
        <v>51983.0463436079</v>
      </c>
      <c r="M292" s="40">
        <f t="shared" si="152"/>
        <v>51986.9433147618</v>
      </c>
      <c r="N292">
        <v>454.244</v>
      </c>
      <c r="O292">
        <v>449.998</v>
      </c>
      <c r="P292">
        <v>0</v>
      </c>
      <c r="Q292" s="39">
        <f t="shared" si="153"/>
        <v>478907.538782337</v>
      </c>
      <c r="R292" s="39">
        <f t="shared" si="154"/>
        <v>3378270.13886232</v>
      </c>
      <c r="S292" s="39">
        <f t="shared" si="155"/>
        <v>478908.984734608</v>
      </c>
      <c r="T292" s="39">
        <f t="shared" si="156"/>
        <v>3378266.52049153</v>
      </c>
      <c r="U292" s="39">
        <f t="shared" si="157"/>
        <v>478910.605148901</v>
      </c>
      <c r="V292" s="39">
        <f t="shared" si="158"/>
        <v>3378262.9768151</v>
      </c>
      <c r="AI292" t="str">
        <f t="array" ref="AI292">IFERROR(INDEX($L$2:$L$789,SMALL(IF(ISNUMBER(FIND($AH$2,$C$2:$C$789)),ROW($2:$789)-1,4^8),ROW(A291)))&amp;"","")</f>
        <v/>
      </c>
      <c r="AS292" t="str">
        <f>"-text"&amp;" "&amp;D292&amp;","&amp;E292&amp;" "&amp;"10"&amp;" "&amp;"0"&amp;" "&amp;C292</f>
        <v>-text 478908.8974,3378266.4831 10 0 IP156</v>
      </c>
      <c r="AT292" t="str">
        <f t="shared" si="159"/>
        <v>478908.8974,3378266.4831</v>
      </c>
      <c r="AV292">
        <f t="shared" si="173"/>
        <v>455.498</v>
      </c>
      <c r="AX292" t="str">
        <f t="shared" si="160"/>
        <v>pl 25991.523171804,279 25991.523171804,400 </v>
      </c>
      <c r="AY292" t="str">
        <f t="shared" si="161"/>
        <v>25991.523171804,449.998</v>
      </c>
      <c r="AZ292" t="str">
        <f t="shared" si="162"/>
        <v>25991.523171804,454.244</v>
      </c>
      <c r="BA292" t="str">
        <f t="shared" si="163"/>
        <v>25991.523171804,455.498</v>
      </c>
      <c r="BB292" t="str">
        <f t="shared" si="164"/>
        <v>-text 25990.523171804,337 3.5 90 449.998 </v>
      </c>
      <c r="BC292" t="str">
        <f t="shared" si="165"/>
        <v>-text 25990.523171804,320 3.5 90 455.498 </v>
      </c>
      <c r="BD292" t="str">
        <f t="shared" si="166"/>
        <v>-text 25990.523171804,306 3.5 90 454.244 </v>
      </c>
      <c r="BE292" t="str">
        <f t="shared" si="167"/>
        <v>-text 25990.523171804,352 3.5 90 ZG51+983.046 </v>
      </c>
      <c r="BF292" t="str">
        <f t="shared" si="168"/>
        <v>-text 25990.523171804,280 3.5 90 IP156 </v>
      </c>
      <c r="BG292" t="str">
        <f t="shared" si="169"/>
        <v>-TEXT 25992.523171804,300 3.5 0 R=80</v>
      </c>
      <c r="BH292" t="str">
        <f t="shared" si="170"/>
        <v>-TEXT 25992.523171804,295 3.5 0 α=5.58° </v>
      </c>
      <c r="BI292" t="str">
        <f t="shared" si="171"/>
        <v>-TEXT 25992.523171804,290 3.5 0 T=3.90 </v>
      </c>
      <c r="BJ292" t="str">
        <f t="shared" si="172"/>
        <v>-TEXT 25992.523171804,285 3.5 0 S=7.79 </v>
      </c>
    </row>
    <row r="293" spans="1:62">
      <c r="A293">
        <v>1</v>
      </c>
      <c r="B293">
        <v>292</v>
      </c>
      <c r="C293" t="str">
        <f>Sheet1!C266</f>
        <v>大梁子2#隧进</v>
      </c>
      <c r="D293">
        <v>478927.9938</v>
      </c>
      <c r="E293">
        <v>3378227.2751</v>
      </c>
      <c r="G293">
        <f t="shared" si="146"/>
        <v>0</v>
      </c>
      <c r="H293">
        <f t="shared" si="147"/>
        <v>0</v>
      </c>
      <c r="I293">
        <f t="shared" si="148"/>
        <v>0</v>
      </c>
      <c r="J293">
        <f t="shared" si="149"/>
        <v>43.6112342972613</v>
      </c>
      <c r="K293" s="40">
        <f t="shared" si="150"/>
        <v>52026.6544926382</v>
      </c>
      <c r="L293" s="40">
        <f t="shared" si="151"/>
        <v>52026.6544926382</v>
      </c>
      <c r="M293" s="40">
        <f t="shared" si="152"/>
        <v>52026.6544926382</v>
      </c>
      <c r="N293">
        <v>454.232</v>
      </c>
      <c r="O293">
        <v>450.007</v>
      </c>
      <c r="P293">
        <v>0</v>
      </c>
      <c r="Q293" s="39">
        <f t="shared" si="153"/>
        <v>478927.9938</v>
      </c>
      <c r="R293" s="39">
        <f t="shared" si="154"/>
        <v>3378227.2751</v>
      </c>
      <c r="S293" s="39" t="str">
        <f t="shared" si="155"/>
        <v> </v>
      </c>
      <c r="T293" s="39" t="str">
        <f t="shared" si="156"/>
        <v> </v>
      </c>
      <c r="U293" s="39" t="str">
        <f t="shared" si="157"/>
        <v> </v>
      </c>
      <c r="V293" s="39" t="str">
        <f t="shared" si="158"/>
        <v> </v>
      </c>
      <c r="AI293" t="str">
        <f t="array" ref="AI293">IFERROR(INDEX($L$2:$L$789,SMALL(IF(ISNUMBER(FIND($AH$2,$C$2:$C$789)),ROW($2:$789)-1,4^8),ROW(A292)))&amp;"","")</f>
        <v/>
      </c>
      <c r="AT293" t="str">
        <f t="shared" si="159"/>
        <v>478927.9938,3378227.2751</v>
      </c>
      <c r="AV293">
        <f t="shared" si="173"/>
        <v>455.507</v>
      </c>
      <c r="AX293" t="str">
        <f t="shared" si="160"/>
        <v>pl 26013.3272463191,279 26013.3272463191,400 </v>
      </c>
      <c r="AY293" t="str">
        <f t="shared" si="161"/>
        <v>26013.3272463191,450.007</v>
      </c>
      <c r="AZ293" t="str">
        <f t="shared" si="162"/>
        <v>26013.3272463191,454.232</v>
      </c>
      <c r="BA293" t="str">
        <f t="shared" si="163"/>
        <v>26013.3272463191,455.507</v>
      </c>
      <c r="BB293" t="str">
        <f t="shared" si="164"/>
        <v>-text 26012.3272463191,337 3.5 90 450.007 </v>
      </c>
      <c r="BC293" t="str">
        <f t="shared" si="165"/>
        <v>-text 26012.3272463191,320 3.5 90 455.507 </v>
      </c>
      <c r="BD293" t="str">
        <f t="shared" si="166"/>
        <v>-text 26012.3272463191,306 3.5 90 454.232 </v>
      </c>
      <c r="BE293" t="str">
        <f t="shared" si="167"/>
        <v>-text 26012.3272463191,352 3.5 90 ZG52+026.654 </v>
      </c>
      <c r="BF293" t="str">
        <f t="shared" si="168"/>
        <v>-text 26012.3272463191,280 3.5 90 大梁子2#隧进 </v>
      </c>
      <c r="BG293" t="str">
        <f t="shared" si="169"/>
        <v/>
      </c>
      <c r="BH293" t="str">
        <f t="shared" si="170"/>
        <v> </v>
      </c>
      <c r="BI293" t="str">
        <f t="shared" si="171"/>
        <v> </v>
      </c>
      <c r="BJ293" t="str">
        <f t="shared" si="172"/>
        <v> </v>
      </c>
    </row>
    <row r="294" spans="1:62">
      <c r="A294">
        <v>1</v>
      </c>
      <c r="B294">
        <v>293</v>
      </c>
      <c r="C294" t="s">
        <v>287</v>
      </c>
      <c r="D294">
        <v>479000.9961</v>
      </c>
      <c r="E294">
        <v>3378077.3896</v>
      </c>
      <c r="F294">
        <v>80</v>
      </c>
      <c r="G294">
        <f t="shared" si="146"/>
        <v>28.517</v>
      </c>
      <c r="H294">
        <f t="shared" si="147"/>
        <v>20.3300459292718</v>
      </c>
      <c r="I294">
        <f t="shared" si="148"/>
        <v>39.8172434232978</v>
      </c>
      <c r="J294">
        <f t="shared" si="149"/>
        <v>166.718322075398</v>
      </c>
      <c r="K294" s="40">
        <f t="shared" si="150"/>
        <v>52173.0427687843</v>
      </c>
      <c r="L294" s="40">
        <f t="shared" si="151"/>
        <v>52192.951390496</v>
      </c>
      <c r="M294" s="40">
        <f t="shared" si="152"/>
        <v>52212.8600122076</v>
      </c>
      <c r="N294">
        <v>454.201</v>
      </c>
      <c r="O294">
        <v>449.976</v>
      </c>
      <c r="P294">
        <v>0.001</v>
      </c>
      <c r="Q294" s="39">
        <f t="shared" si="153"/>
        <v>478992.094018372</v>
      </c>
      <c r="R294" s="39">
        <f t="shared" si="154"/>
        <v>3378095.66700983</v>
      </c>
      <c r="S294" s="39">
        <f t="shared" si="155"/>
        <v>479002.937486924</v>
      </c>
      <c r="T294" s="39">
        <f t="shared" si="156"/>
        <v>3378079.03177014</v>
      </c>
      <c r="U294" s="39">
        <f t="shared" si="157"/>
        <v>479017.544118072</v>
      </c>
      <c r="V294" s="39">
        <f t="shared" si="158"/>
        <v>3378065.57969461</v>
      </c>
      <c r="AI294" t="str">
        <f t="array" ref="AI294">IFERROR(INDEX($L$2:$L$789,SMALL(IF(ISNUMBER(FIND($AH$2,$C$2:$C$789)),ROW($2:$789)-1,4^8),ROW(A293)))&amp;"","")</f>
        <v/>
      </c>
      <c r="AS294" t="str">
        <f>"-text"&amp;" "&amp;D294&amp;","&amp;E294&amp;" "&amp;"10"&amp;" "&amp;"0"&amp;" "&amp;C294</f>
        <v>-text 479000.9961,3378077.3896 10 0 IP157</v>
      </c>
      <c r="AT294" t="str">
        <f t="shared" si="159"/>
        <v>479000.9961,3378077.3896</v>
      </c>
      <c r="AV294">
        <f t="shared" si="173"/>
        <v>455.476</v>
      </c>
      <c r="AX294" t="str">
        <f t="shared" si="160"/>
        <v>pl 26096.475695248,279 26096.475695248,400 </v>
      </c>
      <c r="AY294" t="str">
        <f t="shared" si="161"/>
        <v>26096.475695248,449.976</v>
      </c>
      <c r="AZ294" t="str">
        <f t="shared" si="162"/>
        <v>26096.475695248,454.201</v>
      </c>
      <c r="BA294" t="str">
        <f t="shared" si="163"/>
        <v>26096.475695248,455.476</v>
      </c>
      <c r="BB294" t="str">
        <f t="shared" si="164"/>
        <v>-text 26095.475695248,337 3.5 90 449.976 </v>
      </c>
      <c r="BC294" t="str">
        <f t="shared" si="165"/>
        <v>-text 26095.475695248,320 3.5 90 455.476 </v>
      </c>
      <c r="BD294" t="str">
        <f t="shared" si="166"/>
        <v>-text 26095.475695248,306 3.5 90 454.201 </v>
      </c>
      <c r="BE294" t="str">
        <f t="shared" si="167"/>
        <v>-text 26095.475695248,352 3.5 90 ZG52+192.951 </v>
      </c>
      <c r="BF294" t="str">
        <f t="shared" si="168"/>
        <v>-text 26095.475695248,280 3.5 90 IP157 </v>
      </c>
      <c r="BG294" t="str">
        <f t="shared" si="169"/>
        <v>-TEXT 26097.475695248,300 3.5 0 R=80</v>
      </c>
      <c r="BH294" t="str">
        <f t="shared" si="170"/>
        <v>-TEXT 26097.475695248,295 3.5 0 α=28.52° </v>
      </c>
      <c r="BI294" t="str">
        <f t="shared" si="171"/>
        <v>-TEXT 26097.475695248,290 3.5 0 T=20.33 </v>
      </c>
      <c r="BJ294" t="str">
        <f t="shared" si="172"/>
        <v>-TEXT 26097.475695248,285 3.5 0 S=39.82 </v>
      </c>
    </row>
    <row r="295" spans="1:62">
      <c r="A295">
        <v>1</v>
      </c>
      <c r="B295">
        <v>294</v>
      </c>
      <c r="C295" t="str">
        <f>Sheet1!C268</f>
        <v>大梁子2#隧出</v>
      </c>
      <c r="D295">
        <v>479045.3642</v>
      </c>
      <c r="E295">
        <v>3378045.7252</v>
      </c>
      <c r="G295">
        <f t="shared" si="146"/>
        <v>0</v>
      </c>
      <c r="H295">
        <f t="shared" si="147"/>
        <v>0</v>
      </c>
      <c r="I295">
        <f t="shared" si="148"/>
        <v>0</v>
      </c>
      <c r="J295">
        <f t="shared" si="149"/>
        <v>54.5083711456355</v>
      </c>
      <c r="K295" s="40">
        <f t="shared" si="150"/>
        <v>52247.038337424</v>
      </c>
      <c r="L295" s="40">
        <f t="shared" si="151"/>
        <v>52247.038337424</v>
      </c>
      <c r="M295" s="40">
        <f t="shared" si="152"/>
        <v>52247.038337424</v>
      </c>
      <c r="N295">
        <v>454.19</v>
      </c>
      <c r="O295">
        <v>449.965</v>
      </c>
      <c r="P295">
        <v>0</v>
      </c>
      <c r="Q295" s="39">
        <f t="shared" si="153"/>
        <v>479045.3642</v>
      </c>
      <c r="R295" s="39">
        <f t="shared" si="154"/>
        <v>3378045.7252</v>
      </c>
      <c r="S295" s="39" t="str">
        <f t="shared" si="155"/>
        <v> </v>
      </c>
      <c r="T295" s="39" t="str">
        <f t="shared" si="156"/>
        <v> </v>
      </c>
      <c r="U295" s="39" t="str">
        <f t="shared" si="157"/>
        <v> </v>
      </c>
      <c r="V295" s="39" t="str">
        <f t="shared" si="158"/>
        <v> </v>
      </c>
      <c r="AI295" t="str">
        <f t="array" ref="AI295">IFERROR(INDEX($L$2:$L$789,SMALL(IF(ISNUMBER(FIND($AH$2,$C$2:$C$789)),ROW($2:$789)-1,4^8),ROW(A294)))&amp;"","")</f>
        <v/>
      </c>
      <c r="AT295" t="str">
        <f t="shared" si="159"/>
        <v>479045.3642,3378045.7252</v>
      </c>
      <c r="AV295">
        <f t="shared" si="173"/>
        <v>455.465</v>
      </c>
      <c r="AX295" t="str">
        <f t="shared" si="160"/>
        <v>pl 26123.519168712,279 26123.519168712,400 </v>
      </c>
      <c r="AY295" t="str">
        <f t="shared" si="161"/>
        <v>26123.519168712,449.965</v>
      </c>
      <c r="AZ295" t="str">
        <f t="shared" si="162"/>
        <v>26123.519168712,454.19</v>
      </c>
      <c r="BA295" t="str">
        <f t="shared" si="163"/>
        <v>26123.519168712,455.465</v>
      </c>
      <c r="BB295" t="str">
        <f t="shared" si="164"/>
        <v>-text 26122.519168712,337 3.5 90 449.965 </v>
      </c>
      <c r="BC295" t="str">
        <f t="shared" si="165"/>
        <v>-text 26122.519168712,320 3.5 90 455.465 </v>
      </c>
      <c r="BD295" t="str">
        <f t="shared" si="166"/>
        <v>-text 26122.519168712,306 3.5 90 454.190 </v>
      </c>
      <c r="BE295" t="str">
        <f t="shared" si="167"/>
        <v>-text 26122.519168712,352 3.5 90 ZG52+247.038 </v>
      </c>
      <c r="BF295" t="str">
        <f t="shared" si="168"/>
        <v>-text 26122.519168712,280 3.5 90 大梁子2#隧出 </v>
      </c>
      <c r="BG295" t="str">
        <f t="shared" si="169"/>
        <v/>
      </c>
      <c r="BH295" t="str">
        <f t="shared" si="170"/>
        <v> </v>
      </c>
      <c r="BI295" t="str">
        <f t="shared" si="171"/>
        <v> </v>
      </c>
      <c r="BJ295" t="str">
        <f t="shared" si="172"/>
        <v> </v>
      </c>
    </row>
    <row r="296" spans="1:62">
      <c r="A296">
        <v>2</v>
      </c>
      <c r="B296">
        <v>295</v>
      </c>
      <c r="C296" t="str">
        <f>Sheet1!C269</f>
        <v>大梁子渡槽进</v>
      </c>
      <c r="D296">
        <v>479069.8889</v>
      </c>
      <c r="E296">
        <v>3378028.2225</v>
      </c>
      <c r="G296">
        <f t="shared" si="146"/>
        <v>0</v>
      </c>
      <c r="H296">
        <f t="shared" si="147"/>
        <v>0</v>
      </c>
      <c r="I296">
        <f t="shared" si="148"/>
        <v>0</v>
      </c>
      <c r="J296">
        <f t="shared" si="149"/>
        <v>30.1298094481677</v>
      </c>
      <c r="K296" s="40">
        <f t="shared" si="150"/>
        <v>52277.1681468721</v>
      </c>
      <c r="L296" s="40">
        <f t="shared" si="151"/>
        <v>52277.1681468721</v>
      </c>
      <c r="M296" s="40">
        <f t="shared" si="152"/>
        <v>52277.1681468721</v>
      </c>
      <c r="N296">
        <v>454.122</v>
      </c>
      <c r="O296">
        <v>450.368</v>
      </c>
      <c r="P296">
        <v>0</v>
      </c>
      <c r="Q296" s="39">
        <f t="shared" si="153"/>
        <v>479069.8889</v>
      </c>
      <c r="R296" s="39">
        <f t="shared" si="154"/>
        <v>3378028.2225</v>
      </c>
      <c r="S296" s="39" t="str">
        <f t="shared" si="155"/>
        <v> </v>
      </c>
      <c r="T296" s="39" t="str">
        <f t="shared" si="156"/>
        <v> </v>
      </c>
      <c r="U296" s="39" t="str">
        <f t="shared" si="157"/>
        <v> </v>
      </c>
      <c r="V296" s="39" t="str">
        <f t="shared" si="158"/>
        <v> </v>
      </c>
      <c r="AI296" t="str">
        <f t="array" ref="AI296">IFERROR(INDEX($L$2:$L$789,SMALL(IF(ISNUMBER(FIND($AH$2,$C$2:$C$789)),ROW($2:$789)-1,4^8),ROW(A295)))&amp;"","")</f>
        <v/>
      </c>
      <c r="AT296" t="str">
        <f t="shared" si="159"/>
        <v>479069.8889,3378028.2225</v>
      </c>
      <c r="AV296">
        <f t="shared" si="173"/>
        <v>454.868</v>
      </c>
      <c r="AX296" t="str">
        <f t="shared" si="160"/>
        <v>pl 26138.5840734361,279 26138.5840734361,400 </v>
      </c>
      <c r="AY296" t="str">
        <f t="shared" si="161"/>
        <v>26138.5840734361,450.368</v>
      </c>
      <c r="AZ296" t="str">
        <f t="shared" si="162"/>
        <v>26138.5840734361,454.122</v>
      </c>
      <c r="BA296" t="str">
        <f t="shared" si="163"/>
        <v>26138.5840734361,454.868</v>
      </c>
      <c r="BB296" t="str">
        <f t="shared" si="164"/>
        <v>-text 26137.5840734361,337 3.5 90 450.368 </v>
      </c>
      <c r="BC296" t="str">
        <f t="shared" si="165"/>
        <v>-text 26137.5840734361,320 3.5 90 454.868 </v>
      </c>
      <c r="BD296" t="str">
        <f t="shared" si="166"/>
        <v>-text 26137.5840734361,306 3.5 90 454.122 </v>
      </c>
      <c r="BE296" t="str">
        <f t="shared" si="167"/>
        <v>-text 26137.5840734361,352 3.5 90 ZG52+277.168 </v>
      </c>
      <c r="BF296" t="str">
        <f t="shared" si="168"/>
        <v>-text 26137.5840734361,280 3.5 90 大梁子渡槽进 </v>
      </c>
      <c r="BG296" t="str">
        <f t="shared" si="169"/>
        <v/>
      </c>
      <c r="BH296" t="str">
        <f t="shared" si="170"/>
        <v> </v>
      </c>
      <c r="BI296" t="str">
        <f t="shared" si="171"/>
        <v> </v>
      </c>
      <c r="BJ296" t="str">
        <f t="shared" si="172"/>
        <v> </v>
      </c>
    </row>
    <row r="297" spans="1:62">
      <c r="A297">
        <v>2</v>
      </c>
      <c r="B297">
        <v>296</v>
      </c>
      <c r="C297" t="str">
        <f>Sheet1!C270</f>
        <v>大梁子渡槽出</v>
      </c>
      <c r="D297">
        <v>479192.3219</v>
      </c>
      <c r="E297">
        <v>3377940.8451</v>
      </c>
      <c r="G297">
        <f t="shared" si="146"/>
        <v>0</v>
      </c>
      <c r="H297">
        <f t="shared" si="147"/>
        <v>0</v>
      </c>
      <c r="I297">
        <f t="shared" si="148"/>
        <v>0</v>
      </c>
      <c r="J297">
        <f t="shared" si="149"/>
        <v>150.414924524697</v>
      </c>
      <c r="K297" s="40">
        <f t="shared" si="150"/>
        <v>52427.5830713968</v>
      </c>
      <c r="L297" s="40">
        <f t="shared" si="151"/>
        <v>52427.5830713968</v>
      </c>
      <c r="M297" s="40">
        <f t="shared" si="152"/>
        <v>52427.5830713968</v>
      </c>
      <c r="N297">
        <v>454.072</v>
      </c>
      <c r="O297">
        <v>450.318</v>
      </c>
      <c r="P297">
        <v>0</v>
      </c>
      <c r="Q297" s="39">
        <f t="shared" si="153"/>
        <v>479192.3219</v>
      </c>
      <c r="R297" s="39">
        <f t="shared" si="154"/>
        <v>3377940.8451</v>
      </c>
      <c r="S297" s="39" t="str">
        <f t="shared" si="155"/>
        <v> </v>
      </c>
      <c r="T297" s="39" t="str">
        <f t="shared" si="156"/>
        <v> </v>
      </c>
      <c r="U297" s="39" t="str">
        <f t="shared" si="157"/>
        <v> </v>
      </c>
      <c r="V297" s="39" t="str">
        <f t="shared" si="158"/>
        <v> </v>
      </c>
      <c r="AI297" t="str">
        <f t="array" ref="AI297">IFERROR(INDEX($L$2:$L$789,SMALL(IF(ISNUMBER(FIND($AH$2,$C$2:$C$789)),ROW($2:$789)-1,4^8),ROW(A296)))&amp;"","")</f>
        <v/>
      </c>
      <c r="AT297" t="str">
        <f t="shared" si="159"/>
        <v>479192.3219,3377940.8451</v>
      </c>
      <c r="AV297">
        <f t="shared" si="173"/>
        <v>454.818</v>
      </c>
      <c r="AX297" t="str">
        <f t="shared" si="160"/>
        <v>pl 26213.7915356984,279 26213.7915356984,400 </v>
      </c>
      <c r="AY297" t="str">
        <f t="shared" si="161"/>
        <v>26213.7915356984,450.318</v>
      </c>
      <c r="AZ297" t="str">
        <f t="shared" si="162"/>
        <v>26213.7915356984,454.072</v>
      </c>
      <c r="BA297" t="str">
        <f t="shared" si="163"/>
        <v>26213.7915356984,454.818</v>
      </c>
      <c r="BB297" t="str">
        <f t="shared" si="164"/>
        <v>-text 26212.7915356984,337 3.5 90 450.318 </v>
      </c>
      <c r="BC297" t="str">
        <f t="shared" si="165"/>
        <v>-text 26212.7915356984,320 3.5 90 454.818 </v>
      </c>
      <c r="BD297" t="str">
        <f t="shared" si="166"/>
        <v>-text 26212.7915356984,306 3.5 90 454.072 </v>
      </c>
      <c r="BE297" t="str">
        <f t="shared" si="167"/>
        <v>-text 26212.7915356984,352 3.5 90 ZG52+427.583 </v>
      </c>
      <c r="BF297" t="str">
        <f t="shared" si="168"/>
        <v>-text 26212.7915356984,280 3.5 90 大梁子渡槽出 </v>
      </c>
      <c r="BG297" t="str">
        <f t="shared" si="169"/>
        <v/>
      </c>
      <c r="BH297" t="str">
        <f t="shared" si="170"/>
        <v> </v>
      </c>
      <c r="BI297" t="str">
        <f t="shared" si="171"/>
        <v> </v>
      </c>
      <c r="BJ297" t="str">
        <f t="shared" si="172"/>
        <v> </v>
      </c>
    </row>
    <row r="298" spans="1:62">
      <c r="A298">
        <v>0</v>
      </c>
      <c r="B298">
        <v>297</v>
      </c>
      <c r="C298" t="s">
        <v>291</v>
      </c>
      <c r="D298">
        <v>479206.4636</v>
      </c>
      <c r="E298">
        <v>3377930.7525</v>
      </c>
      <c r="F298">
        <v>60</v>
      </c>
      <c r="G298">
        <f t="shared" si="146"/>
        <v>20.855</v>
      </c>
      <c r="H298">
        <f t="shared" si="147"/>
        <v>11.0418312868879</v>
      </c>
      <c r="I298">
        <f t="shared" si="148"/>
        <v>21.839304930205</v>
      </c>
      <c r="J298">
        <f t="shared" si="149"/>
        <v>17.3737806378712</v>
      </c>
      <c r="K298" s="40">
        <f t="shared" si="150"/>
        <v>52433.9150207478</v>
      </c>
      <c r="L298" s="40">
        <f t="shared" si="151"/>
        <v>52444.8346732129</v>
      </c>
      <c r="M298" s="40">
        <f t="shared" si="152"/>
        <v>52455.754325678</v>
      </c>
      <c r="N298">
        <v>454.104</v>
      </c>
      <c r="O298">
        <v>449.858</v>
      </c>
      <c r="P298">
        <v>0.001</v>
      </c>
      <c r="Q298" s="39">
        <f t="shared" si="153"/>
        <v>479197.475903611</v>
      </c>
      <c r="R298" s="39">
        <f t="shared" si="154"/>
        <v>3377937.16680836</v>
      </c>
      <c r="S298" s="39">
        <f t="shared" si="155"/>
        <v>479206.890804756</v>
      </c>
      <c r="T298" s="39">
        <f t="shared" si="156"/>
        <v>3377931.66503039</v>
      </c>
      <c r="U298" s="39">
        <f t="shared" si="157"/>
        <v>479217.146004598</v>
      </c>
      <c r="V298" s="39">
        <f t="shared" si="158"/>
        <v>3377927.95817178</v>
      </c>
      <c r="AI298" t="str">
        <f t="array" ref="AI298">IFERROR(INDEX($L$2:$L$789,SMALL(IF(ISNUMBER(FIND($AH$2,$C$2:$C$789)),ROW($2:$789)-1,4^8),ROW(A297)))&amp;"","")</f>
        <v/>
      </c>
      <c r="AS298" t="str">
        <f>"-text"&amp;" "&amp;D298&amp;","&amp;E298&amp;" "&amp;"10"&amp;" "&amp;"0"&amp;" "&amp;C298</f>
        <v>-text 479206.4636,3377930.7525 10 0 IP158</v>
      </c>
      <c r="AT298" t="str">
        <f t="shared" si="159"/>
        <v>479206.4636,3377930.7525</v>
      </c>
      <c r="AV298">
        <f t="shared" si="173"/>
        <v>455.658</v>
      </c>
      <c r="AX298" t="str">
        <f t="shared" si="160"/>
        <v>pl 26222.4173366065,279 26222.4173366065,400 </v>
      </c>
      <c r="AY298" t="str">
        <f t="shared" si="161"/>
        <v>26222.4173366065,449.858</v>
      </c>
      <c r="AZ298" t="str">
        <f t="shared" si="162"/>
        <v>26222.4173366065,454.104</v>
      </c>
      <c r="BA298" t="str">
        <f t="shared" si="163"/>
        <v>26222.4173366065,455.658</v>
      </c>
      <c r="BB298" t="str">
        <f t="shared" si="164"/>
        <v>-text 26221.4173366065,337 3.5 90 449.858 </v>
      </c>
      <c r="BC298" t="str">
        <f t="shared" si="165"/>
        <v>-text 26221.4173366065,320 3.5 90 455.658 </v>
      </c>
      <c r="BD298" t="str">
        <f t="shared" si="166"/>
        <v>-text 26221.4173366065,306 3.5 90 454.104 </v>
      </c>
      <c r="BE298" t="str">
        <f t="shared" si="167"/>
        <v>-text 26221.4173366065,352 3.5 90 ZG52+444.835 </v>
      </c>
      <c r="BF298" t="str">
        <f t="shared" si="168"/>
        <v>-text 26221.4173366065,280 3.5 90 IP158 </v>
      </c>
      <c r="BG298" t="str">
        <f t="shared" si="169"/>
        <v>-TEXT 26223.4173366065,300 3.5 0 R=60</v>
      </c>
      <c r="BH298" t="str">
        <f t="shared" si="170"/>
        <v>-TEXT 26223.4173366065,295 3.5 0 α=20.86° </v>
      </c>
      <c r="BI298" t="str">
        <f t="shared" si="171"/>
        <v>-TEXT 26223.4173366065,290 3.5 0 T=11.04 </v>
      </c>
      <c r="BJ298" t="str">
        <f t="shared" si="172"/>
        <v>-TEXT 26223.4173366065,285 3.5 0 S=21.84 </v>
      </c>
    </row>
    <row r="299" spans="1:62">
      <c r="A299">
        <v>0</v>
      </c>
      <c r="B299">
        <v>298</v>
      </c>
      <c r="C299" t="s">
        <v>292</v>
      </c>
      <c r="D299">
        <v>479271.9837</v>
      </c>
      <c r="E299">
        <v>3377913.6136</v>
      </c>
      <c r="F299">
        <v>60</v>
      </c>
      <c r="G299">
        <f t="shared" si="146"/>
        <v>14.029</v>
      </c>
      <c r="H299">
        <f t="shared" si="147"/>
        <v>7.38248741816809</v>
      </c>
      <c r="I299">
        <f t="shared" si="148"/>
        <v>14.6911344457371</v>
      </c>
      <c r="J299">
        <f t="shared" si="149"/>
        <v>67.7246291774278</v>
      </c>
      <c r="K299" s="40">
        <f t="shared" si="150"/>
        <v>52505.0546361504</v>
      </c>
      <c r="L299" s="40">
        <f t="shared" si="151"/>
        <v>52512.4002033733</v>
      </c>
      <c r="M299" s="40">
        <f t="shared" si="152"/>
        <v>52519.7457705961</v>
      </c>
      <c r="N299">
        <v>454.091</v>
      </c>
      <c r="O299">
        <v>449.845</v>
      </c>
      <c r="P299">
        <v>0.001</v>
      </c>
      <c r="Q299" s="39">
        <f t="shared" si="153"/>
        <v>479264.84152263</v>
      </c>
      <c r="R299" s="39">
        <f t="shared" si="154"/>
        <v>3377915.48186735</v>
      </c>
      <c r="S299" s="39">
        <f t="shared" si="155"/>
        <v>479271.816588696</v>
      </c>
      <c r="T299" s="39">
        <f t="shared" si="156"/>
        <v>3377913.19310797</v>
      </c>
      <c r="U299" s="39">
        <f t="shared" si="157"/>
        <v>479278.459933718</v>
      </c>
      <c r="V299" s="39">
        <f t="shared" si="158"/>
        <v>3377910.06965907</v>
      </c>
      <c r="AI299" t="str">
        <f t="array" ref="AI299">IFERROR(INDEX($L$2:$L$789,SMALL(IF(ISNUMBER(FIND($AH$2,$C$2:$C$789)),ROW($2:$789)-1,4^8),ROW(A298)))&amp;"","")</f>
        <v/>
      </c>
      <c r="AS299" t="str">
        <f>"-text"&amp;" "&amp;D299&amp;","&amp;E299&amp;" "&amp;"10"&amp;" "&amp;"0"&amp;" "&amp;C299</f>
        <v>-text 479271.9837,3377913.6136 10 0 IP159</v>
      </c>
      <c r="AT299" t="str">
        <f t="shared" si="159"/>
        <v>479271.9837,3377913.6136</v>
      </c>
      <c r="AV299">
        <f t="shared" si="173"/>
        <v>455.645</v>
      </c>
      <c r="AX299" t="str">
        <f t="shared" si="160"/>
        <v>pl 26256.2001016866,279 26256.2001016866,400 </v>
      </c>
      <c r="AY299" t="str">
        <f t="shared" si="161"/>
        <v>26256.2001016866,449.845</v>
      </c>
      <c r="AZ299" t="str">
        <f t="shared" si="162"/>
        <v>26256.2001016866,454.091</v>
      </c>
      <c r="BA299" t="str">
        <f t="shared" si="163"/>
        <v>26256.2001016866,455.645</v>
      </c>
      <c r="BB299" t="str">
        <f t="shared" si="164"/>
        <v>-text 26255.2001016866,337 3.5 90 449.845 </v>
      </c>
      <c r="BC299" t="str">
        <f t="shared" si="165"/>
        <v>-text 26255.2001016866,320 3.5 90 455.645 </v>
      </c>
      <c r="BD299" t="str">
        <f t="shared" si="166"/>
        <v>-text 26255.2001016866,306 3.5 90 454.091 </v>
      </c>
      <c r="BE299" t="str">
        <f t="shared" si="167"/>
        <v>-text 26255.2001016866,352 3.5 90 ZG52+512.400 </v>
      </c>
      <c r="BF299" t="str">
        <f t="shared" si="168"/>
        <v>-text 26255.2001016866,280 3.5 90 IP159 </v>
      </c>
      <c r="BG299" t="str">
        <f t="shared" si="169"/>
        <v>-TEXT 26257.2001016866,300 3.5 0 R=60</v>
      </c>
      <c r="BH299" t="str">
        <f t="shared" si="170"/>
        <v>-TEXT 26257.2001016866,295 3.5 0 α=14.03° </v>
      </c>
      <c r="BI299" t="str">
        <f t="shared" si="171"/>
        <v>-TEXT 26257.2001016866,290 3.5 0 T=7.38 </v>
      </c>
      <c r="BJ299" t="str">
        <f t="shared" si="172"/>
        <v>-TEXT 26257.2001016866,285 3.5 0 S=14.69 </v>
      </c>
    </row>
    <row r="300" spans="1:62">
      <c r="A300">
        <v>0</v>
      </c>
      <c r="B300">
        <v>299</v>
      </c>
      <c r="C300" s="42" t="str">
        <f>Sheet1!C273</f>
        <v>麻柳湾泄水闸进</v>
      </c>
      <c r="D300" s="42">
        <v>479279.4653</v>
      </c>
      <c r="E300" s="42">
        <v>3377909.5195</v>
      </c>
      <c r="F300">
        <v>0</v>
      </c>
      <c r="G300">
        <f t="shared" si="146"/>
        <v>0</v>
      </c>
      <c r="H300">
        <f t="shared" si="147"/>
        <v>0</v>
      </c>
      <c r="I300">
        <f t="shared" si="148"/>
        <v>0</v>
      </c>
      <c r="J300">
        <f t="shared" si="149"/>
        <v>8.52853993183663</v>
      </c>
      <c r="K300" s="40">
        <f t="shared" si="150"/>
        <v>52520.8918231098</v>
      </c>
      <c r="L300" s="40">
        <f t="shared" si="151"/>
        <v>52520.8918231098</v>
      </c>
      <c r="M300" s="40">
        <f t="shared" si="152"/>
        <v>52520.8918231098</v>
      </c>
      <c r="N300">
        <v>454.089</v>
      </c>
      <c r="O300">
        <v>449.843</v>
      </c>
      <c r="P300">
        <v>0</v>
      </c>
      <c r="Q300" s="39">
        <f t="shared" si="153"/>
        <v>479279.4653</v>
      </c>
      <c r="R300" s="39">
        <f t="shared" si="154"/>
        <v>3377909.5195</v>
      </c>
      <c r="S300" s="39" t="str">
        <f t="shared" si="155"/>
        <v> </v>
      </c>
      <c r="T300" s="39" t="str">
        <f t="shared" si="156"/>
        <v> </v>
      </c>
      <c r="U300" s="39" t="str">
        <f t="shared" si="157"/>
        <v> </v>
      </c>
      <c r="V300" s="39" t="str">
        <f t="shared" si="158"/>
        <v> </v>
      </c>
      <c r="AI300" t="str">
        <f t="array" ref="AI300">IFERROR(INDEX($L$2:$L$789,SMALL(IF(ISNUMBER(FIND($AH$2,$C$2:$C$789)),ROW($2:$789)-1,4^8),ROW(A299)))&amp;"","")</f>
        <v/>
      </c>
      <c r="AS300" t="str">
        <f>"c "&amp;D300&amp;","&amp;E300&amp;" 1.5"</f>
        <v>c 479279.4653,3377909.5195 1.5</v>
      </c>
      <c r="AT300" t="str">
        <f t="shared" si="159"/>
        <v>479279.4653,3377909.5195</v>
      </c>
      <c r="AV300">
        <f t="shared" si="173"/>
        <v>455.643</v>
      </c>
      <c r="AX300" t="str">
        <f t="shared" si="160"/>
        <v>pl 26260.4459115549,279 26260.4459115549,400 </v>
      </c>
      <c r="AY300" t="str">
        <f t="shared" si="161"/>
        <v>26260.4459115549,449.843</v>
      </c>
      <c r="AZ300" t="str">
        <f t="shared" si="162"/>
        <v>26260.4459115549,454.089</v>
      </c>
      <c r="BA300" t="str">
        <f t="shared" si="163"/>
        <v>26260.4459115549,455.643</v>
      </c>
      <c r="BB300" t="str">
        <f t="shared" si="164"/>
        <v>-text 26259.4459115549,337 3.5 90 449.843 </v>
      </c>
      <c r="BC300" t="str">
        <f t="shared" si="165"/>
        <v>-text 26259.4459115549,320 3.5 90 455.643 </v>
      </c>
      <c r="BD300" t="str">
        <f t="shared" si="166"/>
        <v>-text 26259.4459115549,306 3.5 90 454.089 </v>
      </c>
      <c r="BE300" t="str">
        <f t="shared" si="167"/>
        <v>-text 26259.4459115549,352 3.5 90 ZG52+520.892 </v>
      </c>
      <c r="BF300" t="str">
        <f t="shared" si="168"/>
        <v>-text 26259.4459115549,280 3.5 90 麻柳湾泄水闸进 </v>
      </c>
      <c r="BG300" t="str">
        <f t="shared" si="169"/>
        <v/>
      </c>
      <c r="BH300" t="str">
        <f t="shared" si="170"/>
        <v> </v>
      </c>
      <c r="BI300" t="str">
        <f t="shared" si="171"/>
        <v> </v>
      </c>
      <c r="BJ300" t="str">
        <f t="shared" si="172"/>
        <v> </v>
      </c>
    </row>
    <row r="301" spans="1:62">
      <c r="A301">
        <v>0</v>
      </c>
      <c r="B301">
        <v>300</v>
      </c>
      <c r="C301" s="42" t="str">
        <f>Sheet1!C274</f>
        <v>麻柳湾泄水闸出</v>
      </c>
      <c r="D301" s="42">
        <v>479279.4653</v>
      </c>
      <c r="E301" s="42">
        <v>3377909.5195</v>
      </c>
      <c r="F301">
        <v>0</v>
      </c>
      <c r="G301">
        <f t="shared" si="146"/>
        <v>0</v>
      </c>
      <c r="H301">
        <f t="shared" si="147"/>
        <v>0</v>
      </c>
      <c r="I301">
        <f t="shared" si="148"/>
        <v>0</v>
      </c>
      <c r="J301">
        <f t="shared" si="149"/>
        <v>0</v>
      </c>
      <c r="K301" s="40">
        <f t="shared" si="150"/>
        <v>52520.8918231098</v>
      </c>
      <c r="L301" s="40">
        <f t="shared" si="151"/>
        <v>52520.8918231098</v>
      </c>
      <c r="M301" s="40">
        <f t="shared" si="152"/>
        <v>52520.8918231098</v>
      </c>
      <c r="N301">
        <v>454.059</v>
      </c>
      <c r="O301">
        <v>449.813</v>
      </c>
      <c r="P301">
        <v>0</v>
      </c>
      <c r="Q301" s="39">
        <f t="shared" si="153"/>
        <v>479279.4653</v>
      </c>
      <c r="R301" s="39">
        <f t="shared" si="154"/>
        <v>3377909.5195</v>
      </c>
      <c r="S301" s="39" t="str">
        <f t="shared" si="155"/>
        <v> </v>
      </c>
      <c r="T301" s="39" t="str">
        <f t="shared" si="156"/>
        <v> </v>
      </c>
      <c r="U301" s="39" t="str">
        <f t="shared" si="157"/>
        <v> </v>
      </c>
      <c r="V301" s="39" t="str">
        <f t="shared" si="158"/>
        <v> </v>
      </c>
      <c r="AI301" t="str">
        <f t="array" ref="AI301">IFERROR(INDEX($L$2:$L$789,SMALL(IF(ISNUMBER(FIND($AH$2,$C$2:$C$789)),ROW($2:$789)-1,4^8),ROW(A300)))&amp;"","")</f>
        <v/>
      </c>
      <c r="AT301" t="str">
        <f t="shared" si="159"/>
        <v>479279.4653,3377909.5195</v>
      </c>
      <c r="AV301">
        <f t="shared" si="173"/>
        <v>455.613</v>
      </c>
      <c r="AX301" t="str">
        <f t="shared" si="160"/>
        <v>pl 26260.4459115549,279 26260.4459115549,400 </v>
      </c>
      <c r="AY301" t="str">
        <f t="shared" si="161"/>
        <v>26260.4459115549,449.813</v>
      </c>
      <c r="AZ301" t="str">
        <f t="shared" si="162"/>
        <v>26260.4459115549,454.059</v>
      </c>
      <c r="BA301" t="str">
        <f t="shared" si="163"/>
        <v>26260.4459115549,455.613</v>
      </c>
      <c r="BB301" t="str">
        <f t="shared" si="164"/>
        <v>-text 26259.4459115549,337 3.5 90 449.813 </v>
      </c>
      <c r="BC301" t="str">
        <f t="shared" si="165"/>
        <v>-text 26259.4459115549,320 3.5 90 455.613 </v>
      </c>
      <c r="BD301" t="str">
        <f t="shared" si="166"/>
        <v>-text 26259.4459115549,306 3.5 90 454.059 </v>
      </c>
      <c r="BE301" t="str">
        <f t="shared" si="167"/>
        <v>-text 26259.4459115549,352 3.5 90 ZG52+520.892 </v>
      </c>
      <c r="BF301" t="str">
        <f t="shared" si="168"/>
        <v>-text 26259.4459115549,280 3.5 90 麻柳湾泄水闸出 </v>
      </c>
      <c r="BG301" t="str">
        <f t="shared" si="169"/>
        <v/>
      </c>
      <c r="BH301" t="str">
        <f t="shared" si="170"/>
        <v> </v>
      </c>
      <c r="BI301" t="str">
        <f t="shared" si="171"/>
        <v> </v>
      </c>
      <c r="BJ301" t="str">
        <f t="shared" si="172"/>
        <v> </v>
      </c>
    </row>
    <row r="302" spans="1:62">
      <c r="A302">
        <v>2</v>
      </c>
      <c r="B302">
        <v>301</v>
      </c>
      <c r="C302" t="str">
        <f>Sheet1!C275</f>
        <v>麻柳湾渡槽进</v>
      </c>
      <c r="D302">
        <v>479282.8462</v>
      </c>
      <c r="E302">
        <v>3377907.6694</v>
      </c>
      <c r="G302">
        <f t="shared" si="146"/>
        <v>0</v>
      </c>
      <c r="H302">
        <f t="shared" si="147"/>
        <v>0</v>
      </c>
      <c r="I302">
        <f t="shared" si="148"/>
        <v>0</v>
      </c>
      <c r="J302">
        <f t="shared" si="149"/>
        <v>3.85400503632735</v>
      </c>
      <c r="K302" s="40">
        <f t="shared" si="150"/>
        <v>52524.7458281461</v>
      </c>
      <c r="L302" s="40">
        <f t="shared" si="151"/>
        <v>52524.7458281461</v>
      </c>
      <c r="M302" s="40">
        <f t="shared" si="152"/>
        <v>52524.7458281461</v>
      </c>
      <c r="N302">
        <v>453.992</v>
      </c>
      <c r="O302">
        <v>450.238</v>
      </c>
      <c r="P302">
        <v>0</v>
      </c>
      <c r="Q302" s="39">
        <f t="shared" si="153"/>
        <v>479282.8462</v>
      </c>
      <c r="R302" s="39">
        <f t="shared" si="154"/>
        <v>3377907.6694</v>
      </c>
      <c r="S302" s="39" t="str">
        <f t="shared" si="155"/>
        <v> </v>
      </c>
      <c r="T302" s="39" t="str">
        <f t="shared" si="156"/>
        <v> </v>
      </c>
      <c r="U302" s="39" t="str">
        <f t="shared" si="157"/>
        <v> </v>
      </c>
      <c r="V302" s="39" t="str">
        <f t="shared" si="158"/>
        <v> </v>
      </c>
      <c r="AI302" t="str">
        <f t="array" ref="AI302">IFERROR(INDEX($L$2:$L$789,SMALL(IF(ISNUMBER(FIND($AH$2,$C$2:$C$789)),ROW($2:$789)-1,4^8),ROW(A301)))&amp;"","")</f>
        <v/>
      </c>
      <c r="AT302" t="str">
        <f t="shared" si="159"/>
        <v>479282.8462,3377907.6694</v>
      </c>
      <c r="AV302">
        <f t="shared" si="173"/>
        <v>454.738</v>
      </c>
      <c r="AX302" t="str">
        <f t="shared" si="160"/>
        <v>pl 26262.3729140731,279 26262.3729140731,400 </v>
      </c>
      <c r="AY302" t="str">
        <f t="shared" si="161"/>
        <v>26262.3729140731,450.238</v>
      </c>
      <c r="AZ302" t="str">
        <f t="shared" si="162"/>
        <v>26262.3729140731,453.992</v>
      </c>
      <c r="BA302" t="str">
        <f t="shared" si="163"/>
        <v>26262.3729140731,454.738</v>
      </c>
      <c r="BB302" t="str">
        <f t="shared" si="164"/>
        <v>-text 26261.3729140731,337 3.5 90 450.238 </v>
      </c>
      <c r="BC302" t="str">
        <f t="shared" si="165"/>
        <v>-text 26261.3729140731,320 3.5 90 454.738 </v>
      </c>
      <c r="BD302" t="str">
        <f t="shared" si="166"/>
        <v>-text 26261.3729140731,306 3.5 90 453.992 </v>
      </c>
      <c r="BE302" t="str">
        <f t="shared" si="167"/>
        <v>-text 26261.3729140731,352 3.5 90 ZG52+524.746 </v>
      </c>
      <c r="BF302" t="str">
        <f t="shared" si="168"/>
        <v>-text 26261.3729140731,280 3.5 90 麻柳湾渡槽进 </v>
      </c>
      <c r="BG302" t="str">
        <f t="shared" si="169"/>
        <v/>
      </c>
      <c r="BH302" t="str">
        <f t="shared" si="170"/>
        <v> </v>
      </c>
      <c r="BI302" t="str">
        <f t="shared" si="171"/>
        <v> </v>
      </c>
      <c r="BJ302" t="str">
        <f t="shared" si="172"/>
        <v> </v>
      </c>
    </row>
    <row r="303" spans="1:62">
      <c r="A303">
        <v>2</v>
      </c>
      <c r="B303">
        <v>302</v>
      </c>
      <c r="C303" t="s">
        <v>296</v>
      </c>
      <c r="D303">
        <v>479708.5986</v>
      </c>
      <c r="E303">
        <v>3377674.6907</v>
      </c>
      <c r="F303">
        <v>60</v>
      </c>
      <c r="G303">
        <f t="shared" si="146"/>
        <v>13.692</v>
      </c>
      <c r="H303">
        <f t="shared" si="147"/>
        <v>7.20342755334901</v>
      </c>
      <c r="I303">
        <f t="shared" si="148"/>
        <v>14.3382288709838</v>
      </c>
      <c r="J303">
        <f t="shared" si="149"/>
        <v>485.328940780769</v>
      </c>
      <c r="K303" s="40">
        <f t="shared" si="150"/>
        <v>53002.8713413736</v>
      </c>
      <c r="L303" s="40">
        <f t="shared" si="151"/>
        <v>53010.0404558091</v>
      </c>
      <c r="M303" s="40">
        <f t="shared" si="152"/>
        <v>53017.2095702445</v>
      </c>
      <c r="N303">
        <v>453.83</v>
      </c>
      <c r="O303">
        <v>450.076</v>
      </c>
      <c r="P303">
        <v>0.001</v>
      </c>
      <c r="Q303" s="39">
        <f t="shared" si="153"/>
        <v>479702.279428998</v>
      </c>
      <c r="R303" s="39">
        <f t="shared" si="154"/>
        <v>3377678.14865407</v>
      </c>
      <c r="S303" s="39">
        <f t="shared" si="155"/>
        <v>479708.758907091</v>
      </c>
      <c r="T303" s="39">
        <f t="shared" si="156"/>
        <v>3377675.09064582</v>
      </c>
      <c r="U303" s="39">
        <f t="shared" si="157"/>
        <v>479715.556713427</v>
      </c>
      <c r="V303" s="39">
        <f t="shared" si="158"/>
        <v>3377672.82682606</v>
      </c>
      <c r="AI303" t="str">
        <f t="array" ref="AI303">IFERROR(INDEX($L$2:$L$789,SMALL(IF(ISNUMBER(FIND($AH$2,$C$2:$C$789)),ROW($2:$789)-1,4^8),ROW(A302)))&amp;"","")</f>
        <v/>
      </c>
      <c r="AS303" t="str">
        <f>"-text"&amp;" "&amp;D303&amp;","&amp;E303&amp;" "&amp;"10"&amp;" "&amp;"0"&amp;" "&amp;C303</f>
        <v>-text 479708.5986,3377674.6907 10 0 IP160</v>
      </c>
      <c r="AT303" t="str">
        <f t="shared" si="159"/>
        <v>479708.5986,3377674.6907</v>
      </c>
      <c r="AV303">
        <f t="shared" si="173"/>
        <v>454.576</v>
      </c>
      <c r="AX303" t="str">
        <f t="shared" si="160"/>
        <v>pl 26505.0202279045,279 26505.0202279045,400 </v>
      </c>
      <c r="AY303" t="str">
        <f t="shared" si="161"/>
        <v>26505.0202279045,450.076</v>
      </c>
      <c r="AZ303" t="str">
        <f t="shared" si="162"/>
        <v>26505.0202279045,453.83</v>
      </c>
      <c r="BA303" t="str">
        <f t="shared" si="163"/>
        <v>26505.0202279045,454.576</v>
      </c>
      <c r="BB303" t="str">
        <f t="shared" si="164"/>
        <v>-text 26504.0202279045,337 3.5 90 450.076 </v>
      </c>
      <c r="BC303" t="str">
        <f t="shared" si="165"/>
        <v>-text 26504.0202279045,320 3.5 90 454.576 </v>
      </c>
      <c r="BD303" t="str">
        <f t="shared" si="166"/>
        <v>-text 26504.0202279045,306 3.5 90 453.830 </v>
      </c>
      <c r="BE303" t="str">
        <f t="shared" si="167"/>
        <v>-text 26504.0202279045,352 3.5 90 ZG53+010.040 </v>
      </c>
      <c r="BF303" t="str">
        <f t="shared" si="168"/>
        <v>-text 26504.0202279045,280 3.5 90 IP160 </v>
      </c>
      <c r="BG303" t="str">
        <f t="shared" si="169"/>
        <v>-TEXT 26506.0202279045,300 3.5 0 R=60</v>
      </c>
      <c r="BH303" t="str">
        <f t="shared" si="170"/>
        <v>-TEXT 26506.0202279045,295 3.5 0 α=13.69° </v>
      </c>
      <c r="BI303" t="str">
        <f t="shared" si="171"/>
        <v>-TEXT 26506.0202279045,290 3.5 0 T=7.20 </v>
      </c>
      <c r="BJ303" t="str">
        <f t="shared" si="172"/>
        <v>-TEXT 26506.0202279045,285 3.5 0 S=14.34 </v>
      </c>
    </row>
    <row r="304" spans="1:62">
      <c r="A304">
        <v>2</v>
      </c>
      <c r="B304">
        <v>303</v>
      </c>
      <c r="C304" t="str">
        <f>Sheet1!C277</f>
        <v>麻柳湾渡槽出</v>
      </c>
      <c r="D304">
        <v>480169.8579</v>
      </c>
      <c r="E304">
        <v>3377551.1329</v>
      </c>
      <c r="G304">
        <f t="shared" si="146"/>
        <v>0</v>
      </c>
      <c r="H304">
        <f t="shared" si="147"/>
        <v>0</v>
      </c>
      <c r="I304">
        <f t="shared" si="148"/>
        <v>0</v>
      </c>
      <c r="J304">
        <f t="shared" si="149"/>
        <v>477.521383581222</v>
      </c>
      <c r="K304" s="40">
        <f t="shared" si="150"/>
        <v>53487.5275262724</v>
      </c>
      <c r="L304" s="40">
        <f t="shared" si="151"/>
        <v>53487.5275262724</v>
      </c>
      <c r="M304" s="40">
        <f t="shared" si="152"/>
        <v>53487.5275262724</v>
      </c>
      <c r="N304">
        <v>453.67</v>
      </c>
      <c r="O304">
        <v>449.916</v>
      </c>
      <c r="P304">
        <v>0</v>
      </c>
      <c r="Q304" s="39">
        <f t="shared" si="153"/>
        <v>480169.8579</v>
      </c>
      <c r="R304" s="39">
        <f t="shared" si="154"/>
        <v>3377551.1329</v>
      </c>
      <c r="S304" s="39" t="str">
        <f t="shared" si="155"/>
        <v> </v>
      </c>
      <c r="T304" s="39" t="str">
        <f t="shared" si="156"/>
        <v> </v>
      </c>
      <c r="U304" s="39" t="str">
        <f t="shared" si="157"/>
        <v> </v>
      </c>
      <c r="V304" s="39" t="str">
        <f t="shared" si="158"/>
        <v> </v>
      </c>
      <c r="AI304" t="str">
        <f t="array" ref="AI304">IFERROR(INDEX($L$2:$L$789,SMALL(IF(ISNUMBER(FIND($AH$2,$C$2:$C$789)),ROW($2:$789)-1,4^8),ROW(A303)))&amp;"","")</f>
        <v/>
      </c>
      <c r="AT304" t="str">
        <f t="shared" si="159"/>
        <v>480169.8579,3377551.1329</v>
      </c>
      <c r="AV304">
        <f t="shared" si="173"/>
        <v>454.416</v>
      </c>
      <c r="AX304" t="str">
        <f t="shared" si="160"/>
        <v>pl 26743.7637631362,279 26743.7637631362,400 </v>
      </c>
      <c r="AY304" t="str">
        <f t="shared" si="161"/>
        <v>26743.7637631362,449.916</v>
      </c>
      <c r="AZ304" t="str">
        <f t="shared" si="162"/>
        <v>26743.7637631362,453.67</v>
      </c>
      <c r="BA304" t="str">
        <f t="shared" si="163"/>
        <v>26743.7637631362,454.416</v>
      </c>
      <c r="BB304" t="str">
        <f t="shared" si="164"/>
        <v>-text 26742.7637631362,337 3.5 90 449.916 </v>
      </c>
      <c r="BC304" t="str">
        <f t="shared" si="165"/>
        <v>-text 26742.7637631362,320 3.5 90 454.416 </v>
      </c>
      <c r="BD304" t="str">
        <f t="shared" si="166"/>
        <v>-text 26742.7637631362,306 3.5 90 453.670 </v>
      </c>
      <c r="BE304" t="str">
        <f t="shared" si="167"/>
        <v>-text 26742.7637631362,352 3.5 90 ZG53+487.528 </v>
      </c>
      <c r="BF304" t="str">
        <f t="shared" si="168"/>
        <v>-text 26742.7637631362,280 3.5 90 麻柳湾渡槽出 </v>
      </c>
      <c r="BG304" t="str">
        <f t="shared" si="169"/>
        <v/>
      </c>
      <c r="BH304" t="str">
        <f t="shared" si="170"/>
        <v> </v>
      </c>
      <c r="BI304" t="str">
        <f t="shared" si="171"/>
        <v> </v>
      </c>
      <c r="BJ304" t="str">
        <f t="shared" si="172"/>
        <v> </v>
      </c>
    </row>
    <row r="305" spans="1:62">
      <c r="A305">
        <v>0</v>
      </c>
      <c r="B305">
        <v>304</v>
      </c>
      <c r="C305" s="42" t="str">
        <f>Sheet1!C278</f>
        <v>长一沟泄水闸进</v>
      </c>
      <c r="D305" s="42">
        <v>480195.3242</v>
      </c>
      <c r="E305" s="42">
        <v>3377544.3112</v>
      </c>
      <c r="F305">
        <v>0</v>
      </c>
      <c r="G305">
        <f t="shared" si="146"/>
        <v>0</v>
      </c>
      <c r="H305">
        <f t="shared" si="147"/>
        <v>0</v>
      </c>
      <c r="I305">
        <f t="shared" si="148"/>
        <v>0</v>
      </c>
      <c r="J305">
        <f t="shared" si="149"/>
        <v>26.3641428190128</v>
      </c>
      <c r="K305" s="40">
        <f t="shared" si="150"/>
        <v>53513.8916690914</v>
      </c>
      <c r="L305" s="40">
        <f t="shared" si="151"/>
        <v>53513.8916690914</v>
      </c>
      <c r="M305" s="40">
        <f t="shared" si="152"/>
        <v>53513.8916690914</v>
      </c>
      <c r="N305">
        <v>453.701</v>
      </c>
      <c r="O305">
        <v>449.455</v>
      </c>
      <c r="P305">
        <v>0</v>
      </c>
      <c r="Q305" s="39">
        <f t="shared" si="153"/>
        <v>480195.3242</v>
      </c>
      <c r="R305" s="39">
        <f t="shared" si="154"/>
        <v>3377544.3112</v>
      </c>
      <c r="S305" s="39" t="str">
        <f t="shared" si="155"/>
        <v> </v>
      </c>
      <c r="T305" s="39" t="str">
        <f t="shared" si="156"/>
        <v> </v>
      </c>
      <c r="U305" s="39" t="str">
        <f t="shared" si="157"/>
        <v> </v>
      </c>
      <c r="V305" s="39" t="str">
        <f t="shared" si="158"/>
        <v> </v>
      </c>
      <c r="AI305" t="str">
        <f t="array" ref="AI305">IFERROR(INDEX($L$2:$L$789,SMALL(IF(ISNUMBER(FIND($AH$2,$C$2:$C$789)),ROW($2:$789)-1,4^8),ROW(A304)))&amp;"","")</f>
        <v/>
      </c>
      <c r="AS305" t="str">
        <f>"c "&amp;D305&amp;","&amp;E305&amp;" 1.5"</f>
        <v>c 480195.3242,3377544.3112 1.5</v>
      </c>
      <c r="AT305" t="str">
        <f t="shared" si="159"/>
        <v>480195.3242,3377544.3112</v>
      </c>
      <c r="AV305">
        <f t="shared" si="173"/>
        <v>455.255</v>
      </c>
      <c r="AX305" t="str">
        <f t="shared" si="160"/>
        <v>pl 26756.9458345457,279 26756.9458345457,400 </v>
      </c>
      <c r="AY305" t="str">
        <f t="shared" si="161"/>
        <v>26756.9458345457,449.455</v>
      </c>
      <c r="AZ305" t="str">
        <f t="shared" si="162"/>
        <v>26756.9458345457,453.701</v>
      </c>
      <c r="BA305" t="str">
        <f t="shared" si="163"/>
        <v>26756.9458345457,455.255</v>
      </c>
      <c r="BB305" t="str">
        <f t="shared" si="164"/>
        <v>-text 26755.9458345457,337 3.5 90 449.455 </v>
      </c>
      <c r="BC305" t="str">
        <f t="shared" si="165"/>
        <v>-text 26755.9458345457,320 3.5 90 455.255 </v>
      </c>
      <c r="BD305" t="str">
        <f t="shared" si="166"/>
        <v>-text 26755.9458345457,306 3.5 90 453.701 </v>
      </c>
      <c r="BE305" t="str">
        <f t="shared" si="167"/>
        <v>-text 26755.9458345457,352 3.5 90 ZG53+513.892 </v>
      </c>
      <c r="BF305" t="str">
        <f t="shared" si="168"/>
        <v>-text 26755.9458345457,280 3.5 90 长一沟泄水闸进 </v>
      </c>
      <c r="BG305" t="str">
        <f t="shared" si="169"/>
        <v/>
      </c>
      <c r="BH305" t="str">
        <f t="shared" si="170"/>
        <v> </v>
      </c>
      <c r="BI305" t="str">
        <f t="shared" si="171"/>
        <v> </v>
      </c>
      <c r="BJ305" t="str">
        <f t="shared" si="172"/>
        <v> </v>
      </c>
    </row>
    <row r="306" spans="1:62">
      <c r="A306">
        <v>0</v>
      </c>
      <c r="B306">
        <v>305</v>
      </c>
      <c r="C306" s="42" t="str">
        <f>Sheet1!C279</f>
        <v>长一沟泄水闸出</v>
      </c>
      <c r="D306" s="42">
        <v>480195.3242</v>
      </c>
      <c r="E306" s="42">
        <v>3377544.3112</v>
      </c>
      <c r="F306">
        <v>0</v>
      </c>
      <c r="G306">
        <f t="shared" si="146"/>
        <v>0</v>
      </c>
      <c r="H306">
        <f t="shared" si="147"/>
        <v>0</v>
      </c>
      <c r="I306">
        <f t="shared" si="148"/>
        <v>0</v>
      </c>
      <c r="J306">
        <f t="shared" si="149"/>
        <v>0</v>
      </c>
      <c r="K306" s="40">
        <f t="shared" si="150"/>
        <v>53513.8916690914</v>
      </c>
      <c r="L306" s="40">
        <f t="shared" si="151"/>
        <v>53513.8916690914</v>
      </c>
      <c r="M306" s="40">
        <f t="shared" si="152"/>
        <v>53513.8916690914</v>
      </c>
      <c r="N306">
        <v>453.671</v>
      </c>
      <c r="O306">
        <v>449.425</v>
      </c>
      <c r="P306">
        <v>0</v>
      </c>
      <c r="Q306" s="39">
        <f t="shared" si="153"/>
        <v>480195.3242</v>
      </c>
      <c r="R306" s="39">
        <f t="shared" si="154"/>
        <v>3377544.3112</v>
      </c>
      <c r="S306" s="39" t="str">
        <f t="shared" si="155"/>
        <v> </v>
      </c>
      <c r="T306" s="39" t="str">
        <f t="shared" si="156"/>
        <v> </v>
      </c>
      <c r="U306" s="39" t="str">
        <f t="shared" si="157"/>
        <v> </v>
      </c>
      <c r="V306" s="39" t="str">
        <f t="shared" si="158"/>
        <v> </v>
      </c>
      <c r="AI306" t="str">
        <f t="array" ref="AI306">IFERROR(INDEX($L$2:$L$789,SMALL(IF(ISNUMBER(FIND($AH$2,$C$2:$C$789)),ROW($2:$789)-1,4^8),ROW(A305)))&amp;"","")</f>
        <v/>
      </c>
      <c r="AT306" t="str">
        <f t="shared" si="159"/>
        <v>480195.3242,3377544.3112</v>
      </c>
      <c r="AV306">
        <f t="shared" si="173"/>
        <v>455.225</v>
      </c>
      <c r="AX306" t="str">
        <f t="shared" si="160"/>
        <v>pl 26756.9458345457,279 26756.9458345457,400 </v>
      </c>
      <c r="AY306" t="str">
        <f t="shared" si="161"/>
        <v>26756.9458345457,449.425</v>
      </c>
      <c r="AZ306" t="str">
        <f t="shared" si="162"/>
        <v>26756.9458345457,453.671</v>
      </c>
      <c r="BA306" t="str">
        <f t="shared" si="163"/>
        <v>26756.9458345457,455.225</v>
      </c>
      <c r="BB306" t="str">
        <f t="shared" si="164"/>
        <v>-text 26755.9458345457,337 3.5 90 449.425 </v>
      </c>
      <c r="BC306" t="str">
        <f t="shared" si="165"/>
        <v>-text 26755.9458345457,320 3.5 90 455.225 </v>
      </c>
      <c r="BD306" t="str">
        <f t="shared" si="166"/>
        <v>-text 26755.9458345457,306 3.5 90 453.671 </v>
      </c>
      <c r="BE306" t="str">
        <f t="shared" si="167"/>
        <v>-text 26755.9458345457,352 3.5 90 ZG53+513.892 </v>
      </c>
      <c r="BF306" t="str">
        <f t="shared" si="168"/>
        <v>-text 26755.9458345457,280 3.5 90 长一沟泄水闸出 </v>
      </c>
      <c r="BG306" t="str">
        <f t="shared" si="169"/>
        <v/>
      </c>
      <c r="BH306" t="str">
        <f t="shared" si="170"/>
        <v> </v>
      </c>
      <c r="BI306" t="str">
        <f t="shared" si="171"/>
        <v> </v>
      </c>
      <c r="BJ306" t="str">
        <f t="shared" si="172"/>
        <v> </v>
      </c>
    </row>
    <row r="307" spans="1:62">
      <c r="A307">
        <v>2</v>
      </c>
      <c r="B307">
        <v>306</v>
      </c>
      <c r="C307" t="str">
        <f>Sheet1!C280</f>
        <v>长一沟渡槽进</v>
      </c>
      <c r="D307">
        <v>480204.4311</v>
      </c>
      <c r="E307">
        <v>3377541.8718</v>
      </c>
      <c r="G307">
        <f t="shared" si="146"/>
        <v>0</v>
      </c>
      <c r="H307">
        <f t="shared" si="147"/>
        <v>0</v>
      </c>
      <c r="I307">
        <f t="shared" si="148"/>
        <v>0</v>
      </c>
      <c r="J307">
        <f t="shared" si="149"/>
        <v>9.42795311668448</v>
      </c>
      <c r="K307" s="40">
        <f t="shared" si="150"/>
        <v>53523.3196222081</v>
      </c>
      <c r="L307" s="40">
        <f t="shared" si="151"/>
        <v>53523.3196222081</v>
      </c>
      <c r="M307" s="40">
        <f t="shared" si="152"/>
        <v>53523.3196222081</v>
      </c>
      <c r="N307">
        <v>453.603</v>
      </c>
      <c r="O307">
        <v>449.849</v>
      </c>
      <c r="P307">
        <v>0</v>
      </c>
      <c r="Q307" s="39">
        <f t="shared" si="153"/>
        <v>480204.4311</v>
      </c>
      <c r="R307" s="39">
        <f t="shared" si="154"/>
        <v>3377541.8718</v>
      </c>
      <c r="S307" s="39" t="str">
        <f t="shared" si="155"/>
        <v> </v>
      </c>
      <c r="T307" s="39" t="str">
        <f t="shared" si="156"/>
        <v> </v>
      </c>
      <c r="U307" s="39" t="str">
        <f t="shared" si="157"/>
        <v> </v>
      </c>
      <c r="V307" s="39" t="str">
        <f t="shared" si="158"/>
        <v> </v>
      </c>
      <c r="AI307" t="str">
        <f t="array" ref="AI307">IFERROR(INDEX($L$2:$L$789,SMALL(IF(ISNUMBER(FIND($AH$2,$C$2:$C$789)),ROW($2:$789)-1,4^8),ROW(A306)))&amp;"","")</f>
        <v/>
      </c>
      <c r="AT307" t="str">
        <f t="shared" si="159"/>
        <v>480204.4311,3377541.8718</v>
      </c>
      <c r="AV307">
        <f t="shared" si="173"/>
        <v>454.349</v>
      </c>
      <c r="AX307" t="str">
        <f t="shared" si="160"/>
        <v>pl 26761.6598111041,279 26761.6598111041,400 </v>
      </c>
      <c r="AY307" t="str">
        <f t="shared" si="161"/>
        <v>26761.6598111041,449.849</v>
      </c>
      <c r="AZ307" t="str">
        <f t="shared" si="162"/>
        <v>26761.6598111041,453.603</v>
      </c>
      <c r="BA307" t="str">
        <f t="shared" si="163"/>
        <v>26761.6598111041,454.349</v>
      </c>
      <c r="BB307" t="str">
        <f t="shared" si="164"/>
        <v>-text 26760.6598111041,337 3.5 90 449.849 </v>
      </c>
      <c r="BC307" t="str">
        <f t="shared" si="165"/>
        <v>-text 26760.6598111041,320 3.5 90 454.349 </v>
      </c>
      <c r="BD307" t="str">
        <f t="shared" si="166"/>
        <v>-text 26760.6598111041,306 3.5 90 453.603 </v>
      </c>
      <c r="BE307" t="str">
        <f t="shared" si="167"/>
        <v>-text 26760.6598111041,352 3.5 90 ZG53+523.320 </v>
      </c>
      <c r="BF307" t="str">
        <f t="shared" si="168"/>
        <v>-text 26760.6598111041,280 3.5 90 长一沟渡槽进 </v>
      </c>
      <c r="BG307" t="str">
        <f t="shared" si="169"/>
        <v/>
      </c>
      <c r="BH307" t="str">
        <f t="shared" si="170"/>
        <v> </v>
      </c>
      <c r="BI307" t="str">
        <f t="shared" si="171"/>
        <v> </v>
      </c>
      <c r="BJ307" t="str">
        <f t="shared" si="172"/>
        <v> </v>
      </c>
    </row>
    <row r="308" spans="1:62">
      <c r="A308">
        <v>2</v>
      </c>
      <c r="B308">
        <v>307</v>
      </c>
      <c r="C308" t="s">
        <v>301</v>
      </c>
      <c r="D308">
        <v>480514.3678</v>
      </c>
      <c r="E308">
        <v>3377458.8489</v>
      </c>
      <c r="F308">
        <v>80</v>
      </c>
      <c r="G308">
        <f t="shared" si="146"/>
        <v>48.339</v>
      </c>
      <c r="H308">
        <f t="shared" si="147"/>
        <v>35.9022504011875</v>
      </c>
      <c r="I308">
        <f t="shared" si="148"/>
        <v>67.4939765697231</v>
      </c>
      <c r="J308">
        <f t="shared" si="149"/>
        <v>320.863771609184</v>
      </c>
      <c r="K308" s="40">
        <f t="shared" si="150"/>
        <v>53808.2811434161</v>
      </c>
      <c r="L308" s="40">
        <f t="shared" si="151"/>
        <v>53842.028131701</v>
      </c>
      <c r="M308" s="40">
        <f t="shared" si="152"/>
        <v>53875.7751199858</v>
      </c>
      <c r="N308">
        <v>453.495</v>
      </c>
      <c r="O308">
        <v>449.741</v>
      </c>
      <c r="P308">
        <v>0.004</v>
      </c>
      <c r="Q308" s="39">
        <f t="shared" si="153"/>
        <v>480479.688206987</v>
      </c>
      <c r="R308" s="39">
        <f t="shared" si="154"/>
        <v>3377468.13854005</v>
      </c>
      <c r="S308" s="39">
        <f t="shared" si="155"/>
        <v>480509.513201608</v>
      </c>
      <c r="T308" s="39">
        <f t="shared" si="156"/>
        <v>3377452.88916135</v>
      </c>
      <c r="U308" s="39">
        <f t="shared" si="157"/>
        <v>480530.480125119</v>
      </c>
      <c r="V308" s="39">
        <f t="shared" si="158"/>
        <v>3377426.7651882</v>
      </c>
      <c r="AI308" t="str">
        <f t="array" ref="AI308">IFERROR(INDEX($L$2:$L$789,SMALL(IF(ISNUMBER(FIND($AH$2,$C$2:$C$789)),ROW($2:$789)-1,4^8),ROW(A307)))&amp;"","")</f>
        <v/>
      </c>
      <c r="AS308" t="str">
        <f>"-text"&amp;" "&amp;D308&amp;","&amp;E308&amp;" "&amp;"10"&amp;" "&amp;"0"&amp;" "&amp;C308</f>
        <v>-text 480514.3678,3377458.8489 10 0 IP161</v>
      </c>
      <c r="AT308" t="str">
        <f t="shared" si="159"/>
        <v>480514.3678,3377458.8489</v>
      </c>
      <c r="AV308">
        <f t="shared" si="173"/>
        <v>454.241</v>
      </c>
      <c r="AX308" t="str">
        <f t="shared" si="160"/>
        <v>pl 26921.0140658505,279 26921.0140658505,400 </v>
      </c>
      <c r="AY308" t="str">
        <f t="shared" si="161"/>
        <v>26921.0140658505,449.741</v>
      </c>
      <c r="AZ308" t="str">
        <f t="shared" si="162"/>
        <v>26921.0140658505,453.495</v>
      </c>
      <c r="BA308" t="str">
        <f t="shared" si="163"/>
        <v>26921.0140658505,454.241</v>
      </c>
      <c r="BB308" t="str">
        <f t="shared" si="164"/>
        <v>-text 26920.0140658505,337 3.5 90 449.741 </v>
      </c>
      <c r="BC308" t="str">
        <f t="shared" si="165"/>
        <v>-text 26920.0140658505,320 3.5 90 454.241 </v>
      </c>
      <c r="BD308" t="str">
        <f t="shared" si="166"/>
        <v>-text 26920.0140658505,306 3.5 90 453.495 </v>
      </c>
      <c r="BE308" t="str">
        <f t="shared" si="167"/>
        <v>-text 26920.0140658505,352 3.5 90 ZG53+842.028 </v>
      </c>
      <c r="BF308" t="str">
        <f t="shared" si="168"/>
        <v>-text 26920.0140658505,280 3.5 90 IP161 </v>
      </c>
      <c r="BG308" t="str">
        <f t="shared" si="169"/>
        <v>-TEXT 26922.0140658505,300 3.5 0 R=80</v>
      </c>
      <c r="BH308" t="str">
        <f t="shared" si="170"/>
        <v>-TEXT 26922.0140658505,295 3.5 0 α=48.34° </v>
      </c>
      <c r="BI308" t="str">
        <f t="shared" si="171"/>
        <v>-TEXT 26922.0140658505,290 3.5 0 T=35.90 </v>
      </c>
      <c r="BJ308" t="str">
        <f t="shared" si="172"/>
        <v>-TEXT 26922.0140658505,285 3.5 0 S=67.49 </v>
      </c>
    </row>
    <row r="309" spans="1:62">
      <c r="A309">
        <v>2</v>
      </c>
      <c r="B309">
        <v>308</v>
      </c>
      <c r="C309" t="str">
        <f>Sheet1!C282</f>
        <v>长一沟渡槽出</v>
      </c>
      <c r="D309">
        <v>480719.8954</v>
      </c>
      <c r="E309">
        <v>3377049.5915</v>
      </c>
      <c r="G309">
        <f t="shared" si="146"/>
        <v>0</v>
      </c>
      <c r="H309">
        <f t="shared" si="147"/>
        <v>0</v>
      </c>
      <c r="I309">
        <f t="shared" si="148"/>
        <v>0</v>
      </c>
      <c r="J309">
        <f t="shared" si="149"/>
        <v>457.966389396111</v>
      </c>
      <c r="K309" s="40">
        <f t="shared" si="150"/>
        <v>54297.8392589807</v>
      </c>
      <c r="L309" s="40">
        <f t="shared" si="151"/>
        <v>54297.8392589807</v>
      </c>
      <c r="M309" s="40">
        <f t="shared" si="152"/>
        <v>54297.8392589807</v>
      </c>
      <c r="N309">
        <v>453.341</v>
      </c>
      <c r="O309">
        <v>449.587</v>
      </c>
      <c r="P309">
        <v>0</v>
      </c>
      <c r="Q309" s="39">
        <f t="shared" si="153"/>
        <v>480719.8954</v>
      </c>
      <c r="R309" s="39">
        <f t="shared" si="154"/>
        <v>3377049.5915</v>
      </c>
      <c r="S309" s="39" t="str">
        <f t="shared" si="155"/>
        <v> </v>
      </c>
      <c r="T309" s="39" t="str">
        <f t="shared" si="156"/>
        <v> </v>
      </c>
      <c r="U309" s="39" t="str">
        <f t="shared" si="157"/>
        <v> </v>
      </c>
      <c r="V309" s="39" t="str">
        <f t="shared" si="158"/>
        <v> </v>
      </c>
      <c r="AI309" t="str">
        <f t="array" ref="AI309">IFERROR(INDEX($L$2:$L$789,SMALL(IF(ISNUMBER(FIND($AH$2,$C$2:$C$789)),ROW($2:$789)-1,4^8),ROW(A308)))&amp;"","")</f>
        <v/>
      </c>
      <c r="AT309" t="str">
        <f t="shared" si="159"/>
        <v>480719.8954,3377049.5915</v>
      </c>
      <c r="AV309">
        <f t="shared" si="173"/>
        <v>454.087</v>
      </c>
      <c r="AX309" t="str">
        <f t="shared" si="160"/>
        <v>pl 27148.9196294904,279 27148.9196294904,400 </v>
      </c>
      <c r="AY309" t="str">
        <f t="shared" si="161"/>
        <v>27148.9196294904,449.587</v>
      </c>
      <c r="AZ309" t="str">
        <f t="shared" si="162"/>
        <v>27148.9196294904,453.341</v>
      </c>
      <c r="BA309" t="str">
        <f t="shared" si="163"/>
        <v>27148.9196294904,454.087</v>
      </c>
      <c r="BB309" t="str">
        <f t="shared" si="164"/>
        <v>-text 27147.9196294904,337 3.5 90 449.587 </v>
      </c>
      <c r="BC309" t="str">
        <f t="shared" si="165"/>
        <v>-text 27147.9196294904,320 3.5 90 454.087 </v>
      </c>
      <c r="BD309" t="str">
        <f t="shared" si="166"/>
        <v>-text 27147.9196294904,306 3.5 90 453.341 </v>
      </c>
      <c r="BE309" t="str">
        <f t="shared" si="167"/>
        <v>-text 27147.9196294904,352 3.5 90 ZG54+297.839 </v>
      </c>
      <c r="BF309" t="str">
        <f t="shared" si="168"/>
        <v>-text 27147.9196294904,280 3.5 90 长一沟渡槽出 </v>
      </c>
      <c r="BG309" t="str">
        <f t="shared" si="169"/>
        <v/>
      </c>
      <c r="BH309" t="str">
        <f t="shared" si="170"/>
        <v> </v>
      </c>
      <c r="BI309" t="str">
        <f t="shared" si="171"/>
        <v> </v>
      </c>
      <c r="BJ309" t="str">
        <f t="shared" si="172"/>
        <v> </v>
      </c>
    </row>
    <row r="310" spans="1:62">
      <c r="A310">
        <v>0</v>
      </c>
      <c r="B310">
        <v>309</v>
      </c>
      <c r="C310" t="s">
        <v>303</v>
      </c>
      <c r="D310">
        <v>480733.4995</v>
      </c>
      <c r="E310">
        <v>3377022.5024</v>
      </c>
      <c r="F310">
        <v>40</v>
      </c>
      <c r="G310">
        <f t="shared" si="146"/>
        <v>55.687</v>
      </c>
      <c r="H310">
        <f t="shared" si="147"/>
        <v>21.1284337949438</v>
      </c>
      <c r="I310">
        <f t="shared" si="148"/>
        <v>38.8768600223233</v>
      </c>
      <c r="J310">
        <f t="shared" si="149"/>
        <v>30.3132128884252</v>
      </c>
      <c r="K310" s="40">
        <f t="shared" si="150"/>
        <v>54307.0240380742</v>
      </c>
      <c r="L310" s="40">
        <f t="shared" si="151"/>
        <v>54326.4624680854</v>
      </c>
      <c r="M310" s="40">
        <f t="shared" si="152"/>
        <v>54345.9008980966</v>
      </c>
      <c r="N310">
        <v>453.37</v>
      </c>
      <c r="O310">
        <v>449.124</v>
      </c>
      <c r="P310">
        <v>0.002</v>
      </c>
      <c r="Q310" s="39">
        <f t="shared" si="153"/>
        <v>480724.017386466</v>
      </c>
      <c r="R310" s="39">
        <f t="shared" si="154"/>
        <v>3377041.38361388</v>
      </c>
      <c r="S310" s="39">
        <f t="shared" si="155"/>
        <v>480736.540114844</v>
      </c>
      <c r="T310" s="39">
        <f t="shared" si="156"/>
        <v>3377026.76665186</v>
      </c>
      <c r="U310" s="39">
        <f t="shared" si="157"/>
        <v>480754.440028463</v>
      </c>
      <c r="V310" s="39">
        <f t="shared" si="158"/>
        <v>3377019.69081996</v>
      </c>
      <c r="AI310" t="str">
        <f t="array" ref="AI310">IFERROR(INDEX($L$2:$L$789,SMALL(IF(ISNUMBER(FIND($AH$2,$C$2:$C$789)),ROW($2:$789)-1,4^8),ROW(A309)))&amp;"","")</f>
        <v/>
      </c>
      <c r="AS310" t="str">
        <f t="shared" ref="AS310:AS316" si="175">"-text"&amp;" "&amp;D310&amp;","&amp;E310&amp;" "&amp;"10"&amp;" "&amp;"0"&amp;" "&amp;C310</f>
        <v>-text 480733.4995,3377022.5024 10 0 IP162</v>
      </c>
      <c r="AT310" t="str">
        <f t="shared" si="159"/>
        <v>480733.4995,3377022.5024</v>
      </c>
      <c r="AV310">
        <f t="shared" si="173"/>
        <v>454.924</v>
      </c>
      <c r="AX310" t="str">
        <f t="shared" si="160"/>
        <v>pl 27163.2312340427,279 27163.2312340427,400 </v>
      </c>
      <c r="AY310" t="str">
        <f t="shared" si="161"/>
        <v>27163.2312340427,449.124</v>
      </c>
      <c r="AZ310" t="str">
        <f t="shared" si="162"/>
        <v>27163.2312340427,453.37</v>
      </c>
      <c r="BA310" t="str">
        <f t="shared" si="163"/>
        <v>27163.2312340427,454.924</v>
      </c>
      <c r="BB310" t="str">
        <f t="shared" si="164"/>
        <v>-text 27162.2312340427,337 3.5 90 449.124 </v>
      </c>
      <c r="BC310" t="str">
        <f t="shared" si="165"/>
        <v>-text 27162.2312340427,320 3.5 90 454.924 </v>
      </c>
      <c r="BD310" t="str">
        <f t="shared" si="166"/>
        <v>-text 27162.2312340427,306 3.5 90 453.370 </v>
      </c>
      <c r="BE310" t="str">
        <f t="shared" si="167"/>
        <v>-text 27162.2312340427,352 3.5 90 ZG54+326.462 </v>
      </c>
      <c r="BF310" t="str">
        <f t="shared" si="168"/>
        <v>-text 27162.2312340427,280 3.5 90 IP162 </v>
      </c>
      <c r="BG310" t="str">
        <f t="shared" si="169"/>
        <v>-TEXT 27164.2312340427,300 3.5 0 R=40</v>
      </c>
      <c r="BH310" t="str">
        <f t="shared" si="170"/>
        <v>-TEXT 27164.2312340427,295 3.5 0 α=55.69° </v>
      </c>
      <c r="BI310" t="str">
        <f t="shared" si="171"/>
        <v>-TEXT 27164.2312340427,290 3.5 0 T=21.13 </v>
      </c>
      <c r="BJ310" t="str">
        <f t="shared" si="172"/>
        <v>-TEXT 27164.2312340427,285 3.5 0 S=38.88 </v>
      </c>
    </row>
    <row r="311" spans="1:62">
      <c r="A311">
        <v>0</v>
      </c>
      <c r="B311">
        <v>310</v>
      </c>
      <c r="C311" t="s">
        <v>304</v>
      </c>
      <c r="D311">
        <v>480804.877</v>
      </c>
      <c r="E311">
        <v>3377012.9189</v>
      </c>
      <c r="F311">
        <v>40</v>
      </c>
      <c r="G311">
        <f t="shared" si="146"/>
        <v>41.868</v>
      </c>
      <c r="H311">
        <f t="shared" si="147"/>
        <v>15.3017185776053</v>
      </c>
      <c r="I311">
        <f t="shared" si="148"/>
        <v>29.2293780489994</v>
      </c>
      <c r="J311">
        <f t="shared" si="149"/>
        <v>72.0179906586114</v>
      </c>
      <c r="K311" s="40">
        <f t="shared" si="150"/>
        <v>54381.4887363826</v>
      </c>
      <c r="L311" s="40">
        <f t="shared" si="151"/>
        <v>54396.1034254071</v>
      </c>
      <c r="M311" s="40">
        <f t="shared" si="152"/>
        <v>54410.7181144316</v>
      </c>
      <c r="N311">
        <v>453.356</v>
      </c>
      <c r="O311">
        <v>449.11</v>
      </c>
      <c r="P311">
        <v>0.001</v>
      </c>
      <c r="Q311" s="39">
        <f t="shared" si="153"/>
        <v>480789.711366972</v>
      </c>
      <c r="R311" s="39">
        <f t="shared" si="154"/>
        <v>3377014.95511371</v>
      </c>
      <c r="S311" s="39">
        <f t="shared" si="155"/>
        <v>480804.227308195</v>
      </c>
      <c r="T311" s="39">
        <f t="shared" si="156"/>
        <v>3377015.67011106</v>
      </c>
      <c r="U311" s="39">
        <f t="shared" si="157"/>
        <v>480817.529634718</v>
      </c>
      <c r="V311" s="39">
        <f t="shared" si="158"/>
        <v>3377021.52433004</v>
      </c>
      <c r="AI311" t="str">
        <f t="array" ref="AI311">IFERROR(INDEX($L$2:$L$789,SMALL(IF(ISNUMBER(FIND($AH$2,$C$2:$C$789)),ROW($2:$789)-1,4^8),ROW(A310)))&amp;"","")</f>
        <v/>
      </c>
      <c r="AS311" t="str">
        <f t="shared" si="175"/>
        <v>-text 480804.877,3377012.9189 10 0 IP163</v>
      </c>
      <c r="AT311" t="str">
        <f t="shared" si="159"/>
        <v>480804.877,3377012.9189</v>
      </c>
      <c r="AV311">
        <f t="shared" si="173"/>
        <v>454.91</v>
      </c>
      <c r="AX311" t="str">
        <f t="shared" si="160"/>
        <v>pl 27198.0517127036,279 27198.0517127036,400 </v>
      </c>
      <c r="AY311" t="str">
        <f t="shared" si="161"/>
        <v>27198.0517127036,449.11</v>
      </c>
      <c r="AZ311" t="str">
        <f t="shared" si="162"/>
        <v>27198.0517127036,453.356</v>
      </c>
      <c r="BA311" t="str">
        <f t="shared" si="163"/>
        <v>27198.0517127036,454.91</v>
      </c>
      <c r="BB311" t="str">
        <f t="shared" si="164"/>
        <v>-text 27197.0517127036,337 3.5 90 449.110 </v>
      </c>
      <c r="BC311" t="str">
        <f t="shared" si="165"/>
        <v>-text 27197.0517127036,320 3.5 90 454.910 </v>
      </c>
      <c r="BD311" t="str">
        <f t="shared" si="166"/>
        <v>-text 27197.0517127036,306 3.5 90 453.356 </v>
      </c>
      <c r="BE311" t="str">
        <f t="shared" si="167"/>
        <v>-text 27197.0517127036,352 3.5 90 ZG54+396.103 </v>
      </c>
      <c r="BF311" t="str">
        <f t="shared" si="168"/>
        <v>-text 27197.0517127036,280 3.5 90 IP163 </v>
      </c>
      <c r="BG311" t="str">
        <f t="shared" si="169"/>
        <v>-TEXT 27199.0517127036,300 3.5 0 R=40</v>
      </c>
      <c r="BH311" t="str">
        <f t="shared" si="170"/>
        <v>-TEXT 27199.0517127036,295 3.5 0 α=41.87° </v>
      </c>
      <c r="BI311" t="str">
        <f t="shared" si="171"/>
        <v>-TEXT 27199.0517127036,290 3.5 0 T=15.30 </v>
      </c>
      <c r="BJ311" t="str">
        <f t="shared" si="172"/>
        <v>-TEXT 27199.0517127036,285 3.5 0 S=29.23 </v>
      </c>
    </row>
    <row r="312" spans="1:62">
      <c r="A312">
        <v>0</v>
      </c>
      <c r="B312">
        <v>311</v>
      </c>
      <c r="C312" t="s">
        <v>305</v>
      </c>
      <c r="D312">
        <v>480898.9979</v>
      </c>
      <c r="E312">
        <v>3377076.9333</v>
      </c>
      <c r="F312">
        <v>80</v>
      </c>
      <c r="G312">
        <f t="shared" si="146"/>
        <v>52.961</v>
      </c>
      <c r="H312">
        <f t="shared" si="147"/>
        <v>39.8525390541097</v>
      </c>
      <c r="I312">
        <f t="shared" si="148"/>
        <v>73.9475060118974</v>
      </c>
      <c r="J312">
        <f t="shared" si="149"/>
        <v>113.827005689358</v>
      </c>
      <c r="K312" s="40">
        <f t="shared" si="150"/>
        <v>54469.3908624893</v>
      </c>
      <c r="L312" s="40">
        <f t="shared" si="151"/>
        <v>54506.3646154952</v>
      </c>
      <c r="M312" s="40">
        <f t="shared" si="152"/>
        <v>54543.3383685012</v>
      </c>
      <c r="N312">
        <v>453.333</v>
      </c>
      <c r="O312">
        <v>449.087</v>
      </c>
      <c r="P312">
        <v>0.002</v>
      </c>
      <c r="Q312" s="39">
        <f t="shared" si="153"/>
        <v>480866.044763613</v>
      </c>
      <c r="R312" s="39">
        <f t="shared" si="154"/>
        <v>3377054.52090006</v>
      </c>
      <c r="S312" s="39">
        <f t="shared" si="155"/>
        <v>480900.2608267</v>
      </c>
      <c r="T312" s="39">
        <f t="shared" si="156"/>
        <v>3377067.6419359</v>
      </c>
      <c r="U312" s="39">
        <f t="shared" si="157"/>
        <v>480936.737746231</v>
      </c>
      <c r="V312" s="39">
        <f t="shared" si="158"/>
        <v>3377064.12982877</v>
      </c>
      <c r="AI312" t="str">
        <f t="array" ref="AI312">IFERROR(INDEX($L$2:$L$789,SMALL(IF(ISNUMBER(FIND($AH$2,$C$2:$C$789)),ROW($2:$789)-1,4^8),ROW(A311)))&amp;"","")</f>
        <v/>
      </c>
      <c r="AS312" t="str">
        <f t="shared" si="175"/>
        <v>-text 480898.9979,3377076.9333 10 0 IP164</v>
      </c>
      <c r="AT312" t="str">
        <f t="shared" si="159"/>
        <v>480898.9979,3377076.9333</v>
      </c>
      <c r="AV312">
        <f t="shared" si="173"/>
        <v>454.887</v>
      </c>
      <c r="AX312" t="str">
        <f t="shared" si="160"/>
        <v>pl 27253.1823077476,279 27253.1823077476,400 </v>
      </c>
      <c r="AY312" t="str">
        <f t="shared" si="161"/>
        <v>27253.1823077476,449.087</v>
      </c>
      <c r="AZ312" t="str">
        <f t="shared" si="162"/>
        <v>27253.1823077476,453.333</v>
      </c>
      <c r="BA312" t="str">
        <f t="shared" si="163"/>
        <v>27253.1823077476,454.887</v>
      </c>
      <c r="BB312" t="str">
        <f t="shared" si="164"/>
        <v>-text 27252.1823077476,337 3.5 90 449.087 </v>
      </c>
      <c r="BC312" t="str">
        <f t="shared" si="165"/>
        <v>-text 27252.1823077476,320 3.5 90 454.887 </v>
      </c>
      <c r="BD312" t="str">
        <f t="shared" si="166"/>
        <v>-text 27252.1823077476,306 3.5 90 453.333 </v>
      </c>
      <c r="BE312" t="str">
        <f t="shared" si="167"/>
        <v>-text 27252.1823077476,352 3.5 90 ZG54+506.365 </v>
      </c>
      <c r="BF312" t="str">
        <f t="shared" si="168"/>
        <v>-text 27252.1823077476,280 3.5 90 IP164 </v>
      </c>
      <c r="BG312" t="str">
        <f t="shared" si="169"/>
        <v>-TEXT 27254.1823077476,300 3.5 0 R=80</v>
      </c>
      <c r="BH312" t="str">
        <f t="shared" si="170"/>
        <v>-TEXT 27254.1823077476,295 3.5 0 α=52.96° </v>
      </c>
      <c r="BI312" t="str">
        <f t="shared" si="171"/>
        <v>-TEXT 27254.1823077476,290 3.5 0 T=39.85 </v>
      </c>
      <c r="BJ312" t="str">
        <f t="shared" si="172"/>
        <v>-TEXT 27254.1823077476,285 3.5 0 S=73.95 </v>
      </c>
    </row>
    <row r="313" spans="1:62">
      <c r="A313">
        <v>0</v>
      </c>
      <c r="B313">
        <v>312</v>
      </c>
      <c r="C313" t="s">
        <v>306</v>
      </c>
      <c r="D313">
        <v>481066.2972</v>
      </c>
      <c r="E313">
        <v>3377020.176</v>
      </c>
      <c r="F313">
        <v>80</v>
      </c>
      <c r="G313">
        <f t="shared" si="146"/>
        <v>42.558</v>
      </c>
      <c r="H313">
        <f t="shared" si="147"/>
        <v>31.1569227834763</v>
      </c>
      <c r="I313">
        <f t="shared" si="148"/>
        <v>59.4221778450997</v>
      </c>
      <c r="J313">
        <f t="shared" si="149"/>
        <v>176.664786768005</v>
      </c>
      <c r="K313" s="40">
        <f t="shared" si="150"/>
        <v>54648.9936934316</v>
      </c>
      <c r="L313" s="40">
        <f t="shared" si="151"/>
        <v>54678.7047823541</v>
      </c>
      <c r="M313" s="40">
        <f t="shared" si="152"/>
        <v>54708.4158712767</v>
      </c>
      <c r="N313">
        <v>453.299</v>
      </c>
      <c r="O313">
        <v>449.053</v>
      </c>
      <c r="P313">
        <v>0.002</v>
      </c>
      <c r="Q313" s="39">
        <f t="shared" si="153"/>
        <v>481036.791991479</v>
      </c>
      <c r="R313" s="39">
        <f t="shared" si="154"/>
        <v>3377030.18582055</v>
      </c>
      <c r="S313" s="39">
        <f t="shared" si="155"/>
        <v>481066.037900164</v>
      </c>
      <c r="T313" s="39">
        <f t="shared" si="156"/>
        <v>3377026.02333064</v>
      </c>
      <c r="U313" s="39">
        <f t="shared" si="157"/>
        <v>481094.800565071</v>
      </c>
      <c r="V313" s="39">
        <f t="shared" si="158"/>
        <v>3377032.75821034</v>
      </c>
      <c r="AI313" t="str">
        <f t="array" ref="AI313">IFERROR(INDEX($L$2:$L$789,SMALL(IF(ISNUMBER(FIND($AH$2,$C$2:$C$789)),ROW($2:$789)-1,4^8),ROW(A312)))&amp;"","")</f>
        <v/>
      </c>
      <c r="AS313" t="str">
        <f t="shared" si="175"/>
        <v>-text 481066.2972,3377020.176 10 0 IP165</v>
      </c>
      <c r="AT313" t="str">
        <f t="shared" si="159"/>
        <v>481066.2972,3377020.176</v>
      </c>
      <c r="AV313">
        <f t="shared" si="173"/>
        <v>454.853</v>
      </c>
      <c r="AX313" t="str">
        <f t="shared" si="160"/>
        <v>pl 27339.3523911771,279 27339.3523911771,400 </v>
      </c>
      <c r="AY313" t="str">
        <f t="shared" si="161"/>
        <v>27339.3523911771,449.053</v>
      </c>
      <c r="AZ313" t="str">
        <f t="shared" si="162"/>
        <v>27339.3523911771,453.299</v>
      </c>
      <c r="BA313" t="str">
        <f t="shared" si="163"/>
        <v>27339.3523911771,454.853</v>
      </c>
      <c r="BB313" t="str">
        <f t="shared" si="164"/>
        <v>-text 27338.3523911771,337 3.5 90 449.053 </v>
      </c>
      <c r="BC313" t="str">
        <f t="shared" si="165"/>
        <v>-text 27338.3523911771,320 3.5 90 454.853 </v>
      </c>
      <c r="BD313" t="str">
        <f t="shared" si="166"/>
        <v>-text 27338.3523911771,306 3.5 90 453.299 </v>
      </c>
      <c r="BE313" t="str">
        <f t="shared" si="167"/>
        <v>-text 27338.3523911771,352 3.5 90 ZG54+678.705 </v>
      </c>
      <c r="BF313" t="str">
        <f t="shared" si="168"/>
        <v>-text 27338.3523911771,280 3.5 90 IP165 </v>
      </c>
      <c r="BG313" t="str">
        <f t="shared" si="169"/>
        <v>-TEXT 27340.3523911771,300 3.5 0 R=80</v>
      </c>
      <c r="BH313" t="str">
        <f t="shared" si="170"/>
        <v>-TEXT 27340.3523911771,295 3.5 0 α=42.56° </v>
      </c>
      <c r="BI313" t="str">
        <f t="shared" si="171"/>
        <v>-TEXT 27340.3523911771,290 3.5 0 T=31.16 </v>
      </c>
      <c r="BJ313" t="str">
        <f t="shared" si="172"/>
        <v>-TEXT 27340.3523911771,285 3.5 0 S=59.42 </v>
      </c>
    </row>
    <row r="314" spans="1:62">
      <c r="A314">
        <v>0</v>
      </c>
      <c r="B314">
        <v>313</v>
      </c>
      <c r="C314" t="s">
        <v>307</v>
      </c>
      <c r="D314">
        <v>481136.5085</v>
      </c>
      <c r="E314">
        <v>3377051.1693</v>
      </c>
      <c r="F314">
        <v>80</v>
      </c>
      <c r="G314">
        <f t="shared" si="146"/>
        <v>41.163</v>
      </c>
      <c r="H314">
        <f t="shared" si="147"/>
        <v>30.040546370478</v>
      </c>
      <c r="I314">
        <f t="shared" si="148"/>
        <v>57.4743903998741</v>
      </c>
      <c r="J314">
        <f t="shared" si="149"/>
        <v>76.7477119697792</v>
      </c>
      <c r="K314" s="40">
        <f t="shared" si="150"/>
        <v>54723.9661140925</v>
      </c>
      <c r="L314" s="40">
        <f t="shared" si="151"/>
        <v>54752.7033092924</v>
      </c>
      <c r="M314" s="40">
        <f t="shared" si="152"/>
        <v>54781.4405044924</v>
      </c>
      <c r="N314">
        <v>453.283</v>
      </c>
      <c r="O314">
        <v>449.037</v>
      </c>
      <c r="P314">
        <v>0.002</v>
      </c>
      <c r="Q314" s="39">
        <f t="shared" si="153"/>
        <v>481109.026432336</v>
      </c>
      <c r="R314" s="39">
        <f t="shared" si="154"/>
        <v>3377039.0379199</v>
      </c>
      <c r="S314" s="39">
        <f t="shared" si="155"/>
        <v>481136.816426185</v>
      </c>
      <c r="T314" s="39">
        <f t="shared" si="156"/>
        <v>3377045.72367206</v>
      </c>
      <c r="U314" s="39">
        <f t="shared" si="157"/>
        <v>481165.182964451</v>
      </c>
      <c r="V314" s="39">
        <f t="shared" si="158"/>
        <v>3377042.21332352</v>
      </c>
      <c r="AI314" t="str">
        <f t="array" ref="AI314">IFERROR(INDEX($L$2:$L$789,SMALL(IF(ISNUMBER(FIND($AH$2,$C$2:$C$789)),ROW($2:$789)-1,4^8),ROW(A313)))&amp;"","")</f>
        <v/>
      </c>
      <c r="AS314" t="str">
        <f t="shared" si="175"/>
        <v>-text 481136.5085,3377051.1693 10 0 IP166</v>
      </c>
      <c r="AT314" t="str">
        <f t="shared" si="159"/>
        <v>481136.5085,3377051.1693</v>
      </c>
      <c r="AV314">
        <f t="shared" si="173"/>
        <v>454.837</v>
      </c>
      <c r="AX314" t="str">
        <f t="shared" si="160"/>
        <v>pl 27376.3516546462,279 27376.3516546462,400 </v>
      </c>
      <c r="AY314" t="str">
        <f t="shared" si="161"/>
        <v>27376.3516546462,449.037</v>
      </c>
      <c r="AZ314" t="str">
        <f t="shared" si="162"/>
        <v>27376.3516546462,453.283</v>
      </c>
      <c r="BA314" t="str">
        <f t="shared" si="163"/>
        <v>27376.3516546462,454.837</v>
      </c>
      <c r="BB314" t="str">
        <f t="shared" si="164"/>
        <v>-text 27375.3516546462,337 3.5 90 449.037 </v>
      </c>
      <c r="BC314" t="str">
        <f t="shared" si="165"/>
        <v>-text 27375.3516546462,320 3.5 90 454.837 </v>
      </c>
      <c r="BD314" t="str">
        <f t="shared" si="166"/>
        <v>-text 27375.3516546462,306 3.5 90 453.283 </v>
      </c>
      <c r="BE314" t="str">
        <f t="shared" si="167"/>
        <v>-text 27375.3516546462,352 3.5 90 ZG54+752.703 </v>
      </c>
      <c r="BF314" t="str">
        <f t="shared" si="168"/>
        <v>-text 27375.3516546462,280 3.5 90 IP166 </v>
      </c>
      <c r="BG314" t="str">
        <f t="shared" si="169"/>
        <v>-TEXT 27377.3516546462,300 3.5 0 R=80</v>
      </c>
      <c r="BH314" t="str">
        <f t="shared" si="170"/>
        <v>-TEXT 27377.3516546462,295 3.5 0 α=41.16° </v>
      </c>
      <c r="BI314" t="str">
        <f t="shared" si="171"/>
        <v>-TEXT 27377.3516546462,290 3.5 0 T=30.04 </v>
      </c>
      <c r="BJ314" t="str">
        <f t="shared" si="172"/>
        <v>-TEXT 27377.3516546462,285 3.5 0 S=57.47 </v>
      </c>
    </row>
    <row r="315" spans="1:62">
      <c r="A315">
        <v>0</v>
      </c>
      <c r="B315">
        <v>314</v>
      </c>
      <c r="C315" t="s">
        <v>308</v>
      </c>
      <c r="D315">
        <v>481198.8308</v>
      </c>
      <c r="E315">
        <v>3377031.704</v>
      </c>
      <c r="F315">
        <v>80</v>
      </c>
      <c r="G315">
        <f t="shared" si="146"/>
        <v>29.119</v>
      </c>
      <c r="H315">
        <f t="shared" si="147"/>
        <v>20.7780647518628</v>
      </c>
      <c r="I315">
        <f t="shared" si="148"/>
        <v>40.6577939910583</v>
      </c>
      <c r="J315">
        <f t="shared" si="149"/>
        <v>65.2914005163819</v>
      </c>
      <c r="K315" s="40">
        <f t="shared" si="150"/>
        <v>54795.9132938864</v>
      </c>
      <c r="L315" s="40">
        <f t="shared" si="151"/>
        <v>54816.242190882</v>
      </c>
      <c r="M315" s="40">
        <f t="shared" si="152"/>
        <v>54836.5710878775</v>
      </c>
      <c r="N315">
        <v>453.27</v>
      </c>
      <c r="O315">
        <v>449.024</v>
      </c>
      <c r="P315">
        <v>0.001</v>
      </c>
      <c r="Q315" s="39">
        <f t="shared" si="153"/>
        <v>481178.997609493</v>
      </c>
      <c r="R315" s="39">
        <f t="shared" si="154"/>
        <v>3377037.89855641</v>
      </c>
      <c r="S315" s="39">
        <f t="shared" si="155"/>
        <v>481197.42797904</v>
      </c>
      <c r="T315" s="39">
        <f t="shared" si="156"/>
        <v>3377029.45070463</v>
      </c>
      <c r="U315" s="39">
        <f t="shared" si="157"/>
        <v>481213.142803947</v>
      </c>
      <c r="V315" s="39">
        <f t="shared" si="158"/>
        <v>3377016.64098178</v>
      </c>
      <c r="AI315" t="str">
        <f t="array" ref="AI315">IFERROR(INDEX($L$2:$L$789,SMALL(IF(ISNUMBER(FIND($AH$2,$C$2:$C$789)),ROW($2:$789)-1,4^8),ROW(A314)))&amp;"","")</f>
        <v/>
      </c>
      <c r="AS315" t="str">
        <f t="shared" si="175"/>
        <v>-text 481198.8308,3377031.704 10 0 IP167</v>
      </c>
      <c r="AT315" t="str">
        <f t="shared" si="159"/>
        <v>481198.8308,3377031.704</v>
      </c>
      <c r="AV315">
        <f t="shared" si="173"/>
        <v>454.824</v>
      </c>
      <c r="AX315" t="str">
        <f t="shared" si="160"/>
        <v>pl 27408.121095441,279 27408.121095441,400 </v>
      </c>
      <c r="AY315" t="str">
        <f t="shared" si="161"/>
        <v>27408.121095441,449.024</v>
      </c>
      <c r="AZ315" t="str">
        <f t="shared" si="162"/>
        <v>27408.121095441,453.27</v>
      </c>
      <c r="BA315" t="str">
        <f t="shared" si="163"/>
        <v>27408.121095441,454.824</v>
      </c>
      <c r="BB315" t="str">
        <f t="shared" si="164"/>
        <v>-text 27407.121095441,337 3.5 90 449.024 </v>
      </c>
      <c r="BC315" t="str">
        <f t="shared" si="165"/>
        <v>-text 27407.121095441,320 3.5 90 454.824 </v>
      </c>
      <c r="BD315" t="str">
        <f t="shared" si="166"/>
        <v>-text 27407.121095441,306 3.5 90 453.270 </v>
      </c>
      <c r="BE315" t="str">
        <f t="shared" si="167"/>
        <v>-text 27407.121095441,352 3.5 90 ZG54+816.242 </v>
      </c>
      <c r="BF315" t="str">
        <f t="shared" si="168"/>
        <v>-text 27407.121095441,280 3.5 90 IP167 </v>
      </c>
      <c r="BG315" t="str">
        <f t="shared" si="169"/>
        <v>-TEXT 27409.121095441,300 3.5 0 R=80</v>
      </c>
      <c r="BH315" t="str">
        <f t="shared" si="170"/>
        <v>-TEXT 27409.121095441,295 3.5 0 α=29.12° </v>
      </c>
      <c r="BI315" t="str">
        <f t="shared" si="171"/>
        <v>-TEXT 27409.121095441,290 3.5 0 T=20.78 </v>
      </c>
      <c r="BJ315" t="str">
        <f t="shared" si="172"/>
        <v>-TEXT 27409.121095441,285 3.5 0 S=40.66 </v>
      </c>
    </row>
    <row r="316" spans="1:62">
      <c r="A316">
        <v>0</v>
      </c>
      <c r="B316">
        <v>315</v>
      </c>
      <c r="C316" t="s">
        <v>309</v>
      </c>
      <c r="D316">
        <v>481251.9824</v>
      </c>
      <c r="E316">
        <v>3376975.7633</v>
      </c>
      <c r="F316">
        <v>80</v>
      </c>
      <c r="G316">
        <f t="shared" si="146"/>
        <v>32.139</v>
      </c>
      <c r="H316">
        <f t="shared" si="147"/>
        <v>23.0446866964908</v>
      </c>
      <c r="I316">
        <f t="shared" si="148"/>
        <v>44.8745094638766</v>
      </c>
      <c r="J316">
        <f t="shared" si="149"/>
        <v>77.165111928987</v>
      </c>
      <c r="K316" s="40">
        <f t="shared" si="150"/>
        <v>54869.9134483581</v>
      </c>
      <c r="L316" s="40">
        <f t="shared" si="151"/>
        <v>54892.3507030901</v>
      </c>
      <c r="M316" s="40">
        <f t="shared" si="152"/>
        <v>54914.787957822</v>
      </c>
      <c r="N316">
        <v>453.254</v>
      </c>
      <c r="O316">
        <v>449.008</v>
      </c>
      <c r="P316">
        <v>0.001</v>
      </c>
      <c r="Q316" s="39">
        <f t="shared" si="153"/>
        <v>481236.109138901</v>
      </c>
      <c r="R316" s="39">
        <f t="shared" si="154"/>
        <v>3376992.46950145</v>
      </c>
      <c r="S316" s="39">
        <f t="shared" si="155"/>
        <v>481253.628262383</v>
      </c>
      <c r="T316" s="39">
        <f t="shared" si="156"/>
        <v>3376978.56914325</v>
      </c>
      <c r="U316" s="39">
        <f t="shared" si="157"/>
        <v>481274.310491884</v>
      </c>
      <c r="V316" s="39">
        <f t="shared" si="158"/>
        <v>3376970.06120409</v>
      </c>
      <c r="AI316" t="str">
        <f t="array" ref="AI316">IFERROR(INDEX($L$2:$L$789,SMALL(IF(ISNUMBER(FIND($AH$2,$C$2:$C$789)),ROW($2:$789)-1,4^8),ROW(A315)))&amp;"","")</f>
        <v/>
      </c>
      <c r="AS316" t="str">
        <f t="shared" si="175"/>
        <v>-text 481251.9824,3376975.7633 10 0 IP168</v>
      </c>
      <c r="AT316" t="str">
        <f t="shared" si="159"/>
        <v>481251.9824,3376975.7633</v>
      </c>
      <c r="AV316">
        <f t="shared" si="173"/>
        <v>454.808</v>
      </c>
      <c r="AX316" t="str">
        <f t="shared" si="160"/>
        <v>pl 27446.175351545,279 27446.175351545,400 </v>
      </c>
      <c r="AY316" t="str">
        <f t="shared" si="161"/>
        <v>27446.175351545,449.008</v>
      </c>
      <c r="AZ316" t="str">
        <f t="shared" si="162"/>
        <v>27446.175351545,453.254</v>
      </c>
      <c r="BA316" t="str">
        <f t="shared" si="163"/>
        <v>27446.175351545,454.808</v>
      </c>
      <c r="BB316" t="str">
        <f t="shared" si="164"/>
        <v>-text 27445.175351545,337 3.5 90 449.008 </v>
      </c>
      <c r="BC316" t="str">
        <f t="shared" si="165"/>
        <v>-text 27445.175351545,320 3.5 90 454.808 </v>
      </c>
      <c r="BD316" t="str">
        <f t="shared" si="166"/>
        <v>-text 27445.175351545,306 3.5 90 453.254 </v>
      </c>
      <c r="BE316" t="str">
        <f t="shared" si="167"/>
        <v>-text 27445.175351545,352 3.5 90 ZG54+892.351 </v>
      </c>
      <c r="BF316" t="str">
        <f t="shared" si="168"/>
        <v>-text 27445.175351545,280 3.5 90 IP168 </v>
      </c>
      <c r="BG316" t="str">
        <f t="shared" si="169"/>
        <v>-TEXT 27447.175351545,300 3.5 0 R=80</v>
      </c>
      <c r="BH316" t="str">
        <f t="shared" si="170"/>
        <v>-TEXT 27447.175351545,295 3.5 0 α=32.14° </v>
      </c>
      <c r="BI316" t="str">
        <f t="shared" si="171"/>
        <v>-TEXT 27447.175351545,290 3.5 0 T=23.04 </v>
      </c>
      <c r="BJ316" t="str">
        <f t="shared" si="172"/>
        <v>-TEXT 27447.175351545,285 3.5 0 S=44.87 </v>
      </c>
    </row>
    <row r="317" spans="1:62">
      <c r="A317">
        <v>1</v>
      </c>
      <c r="B317">
        <v>316</v>
      </c>
      <c r="C317" t="str">
        <f>Sheet1!C290</f>
        <v>中山坡隧进</v>
      </c>
      <c r="D317">
        <v>481291.5442</v>
      </c>
      <c r="E317">
        <v>3376965.6601</v>
      </c>
      <c r="G317">
        <f t="shared" ref="G317:G380" si="176">ROUND(IF((2*SQRT((D316-D317)^2+(E316-E317)^2)*SQRT((D318-D317)^2+(E318-E317)^2))=0,0,180-ACOS(((D316-D317)^2+(E316-E317)^2+(D318-D317)^2+(E318-E317)^2-(D318-D316)^2-(E318-E316)^2)/(2*SQRT((D316-D317)^2+(E316-E317)^2)*SQRT((D318-D317)^2+(E318-E317)^2)))/PI()*180),3)</f>
        <v>0</v>
      </c>
      <c r="H317">
        <f t="shared" ref="H317:H380" si="177">F317*TAN(PI()/180*G317/2)</f>
        <v>0</v>
      </c>
      <c r="I317">
        <f t="shared" ref="I317:I380" si="178">F317*G317/180*PI()</f>
        <v>0</v>
      </c>
      <c r="J317">
        <f t="shared" ref="J317:J380" si="179">SQRT((D317-D316)^2+(E317-E316)^2)</f>
        <v>40.8314911494416</v>
      </c>
      <c r="K317" s="40">
        <f t="shared" ref="K317:K380" si="180">L317-I317/2</f>
        <v>54932.5747622749</v>
      </c>
      <c r="L317" s="40">
        <f t="shared" ref="L317:L380" si="181">L316+J317-H317+I317/2+I316/2-H316</f>
        <v>54932.5747622749</v>
      </c>
      <c r="M317" s="40">
        <f t="shared" ref="M317:M380" si="182">K317+I317</f>
        <v>54932.5747622749</v>
      </c>
      <c r="N317">
        <v>453.242</v>
      </c>
      <c r="O317">
        <v>449.017</v>
      </c>
      <c r="P317">
        <v>0</v>
      </c>
      <c r="Q317" s="39">
        <f t="shared" ref="Q317:Q380" si="183">IF(G317=0,D317,D316+(D317-D316)/J317*(J317-H317))</f>
        <v>481291.5442</v>
      </c>
      <c r="R317" s="39">
        <f t="shared" ref="R317:R380" si="184">IF(G317=0,E317,E316+(E317-E316)/J317*(J317-H317))</f>
        <v>3376965.6601</v>
      </c>
      <c r="S317" s="39" t="str">
        <f t="shared" ref="S317:S380" si="185">IF(G317=0," ",(Q317+U317)/2+(D317-(Q317+U317)/2)/(H317*SIN(G317/360*PI()))*(F317-F317*COS(G317/360*PI())))</f>
        <v> </v>
      </c>
      <c r="T317" s="39" t="str">
        <f t="shared" ref="T317:T380" si="186">IF(G317=0," ",(R317+V317)/2+(E317-(R317+V317)/2)/(H317*SIN(G317/360*PI()))*(F317-F317*COS(G317/360*PI())))</f>
        <v> </v>
      </c>
      <c r="U317" s="39" t="str">
        <f t="shared" ref="U317:U380" si="187">IF(G317=0," ",D317+(D318-D317)/J318*H317)</f>
        <v> </v>
      </c>
      <c r="V317" s="39" t="str">
        <f t="shared" ref="V317:V380" si="188">IF(G317=0," ",E317+(E318-E317)/J318*H317)</f>
        <v> </v>
      </c>
      <c r="AI317" t="str">
        <f t="array" ref="AI317">IFERROR(INDEX($L$2:$L$789,SMALL(IF(ISNUMBER(FIND($AH$2,$C$2:$C$789)),ROW($2:$789)-1,4^8),ROW(A316)))&amp;"","")</f>
        <v/>
      </c>
      <c r="AT317" t="str">
        <f t="shared" si="159"/>
        <v>481291.5442,3376965.6601</v>
      </c>
      <c r="AV317">
        <f t="shared" si="173"/>
        <v>454.517</v>
      </c>
      <c r="AX317" t="str">
        <f t="shared" si="160"/>
        <v>pl 27466.2873811375,279 27466.2873811375,400 </v>
      </c>
      <c r="AY317" t="str">
        <f t="shared" si="161"/>
        <v>27466.2873811375,449.017</v>
      </c>
      <c r="AZ317" t="str">
        <f t="shared" si="162"/>
        <v>27466.2873811375,453.242</v>
      </c>
      <c r="BA317" t="str">
        <f t="shared" si="163"/>
        <v>27466.2873811375,454.517</v>
      </c>
      <c r="BB317" t="str">
        <f t="shared" si="164"/>
        <v>-text 27465.2873811375,337 3.5 90 449.017 </v>
      </c>
      <c r="BC317" t="str">
        <f t="shared" si="165"/>
        <v>-text 27465.2873811375,320 3.5 90 454.517 </v>
      </c>
      <c r="BD317" t="str">
        <f t="shared" si="166"/>
        <v>-text 27465.2873811375,306 3.5 90 453.242 </v>
      </c>
      <c r="BE317" t="str">
        <f t="shared" si="167"/>
        <v>-text 27465.2873811375,352 3.5 90 ZG54+932.575 </v>
      </c>
      <c r="BF317" t="str">
        <f t="shared" si="168"/>
        <v>-text 27465.2873811375,280 3.5 90 中山坡隧进 </v>
      </c>
      <c r="BG317" t="str">
        <f t="shared" si="169"/>
        <v/>
      </c>
      <c r="BH317" t="str">
        <f t="shared" si="170"/>
        <v> </v>
      </c>
      <c r="BI317" t="str">
        <f t="shared" si="171"/>
        <v> </v>
      </c>
      <c r="BJ317" t="str">
        <f t="shared" si="172"/>
        <v> </v>
      </c>
    </row>
    <row r="318" spans="1:62">
      <c r="A318">
        <v>1</v>
      </c>
      <c r="B318">
        <v>317</v>
      </c>
      <c r="C318" t="str">
        <f>Sheet1!C291</f>
        <v>中山坡隧出</v>
      </c>
      <c r="D318">
        <v>481794.4166</v>
      </c>
      <c r="E318">
        <v>3376837.2376</v>
      </c>
      <c r="G318">
        <f t="shared" si="176"/>
        <v>0</v>
      </c>
      <c r="H318">
        <f t="shared" si="177"/>
        <v>0</v>
      </c>
      <c r="I318">
        <f t="shared" si="178"/>
        <v>0</v>
      </c>
      <c r="J318">
        <f t="shared" si="179"/>
        <v>519.011550148905</v>
      </c>
      <c r="K318" s="40">
        <f t="shared" si="180"/>
        <v>55451.5863124238</v>
      </c>
      <c r="L318" s="40">
        <f t="shared" si="181"/>
        <v>55451.5863124238</v>
      </c>
      <c r="M318" s="40">
        <f t="shared" si="182"/>
        <v>55451.5863124238</v>
      </c>
      <c r="N318">
        <v>453.148</v>
      </c>
      <c r="O318">
        <v>448.923</v>
      </c>
      <c r="P318">
        <v>0</v>
      </c>
      <c r="Q318" s="39">
        <f t="shared" si="183"/>
        <v>481794.4166</v>
      </c>
      <c r="R318" s="39">
        <f t="shared" si="184"/>
        <v>3376837.2376</v>
      </c>
      <c r="S318" s="39" t="str">
        <f t="shared" si="185"/>
        <v> </v>
      </c>
      <c r="T318" s="39" t="str">
        <f t="shared" si="186"/>
        <v> </v>
      </c>
      <c r="U318" s="39" t="str">
        <f t="shared" si="187"/>
        <v> </v>
      </c>
      <c r="V318" s="39" t="str">
        <f t="shared" si="188"/>
        <v> </v>
      </c>
      <c r="AI318" t="str">
        <f t="array" ref="AI318">IFERROR(INDEX($L$2:$L$789,SMALL(IF(ISNUMBER(FIND($AH$2,$C$2:$C$789)),ROW($2:$789)-1,4^8),ROW(A317)))&amp;"","")</f>
        <v/>
      </c>
      <c r="AT318" t="str">
        <f t="shared" si="159"/>
        <v>481794.4166,3376837.2376</v>
      </c>
      <c r="AV318">
        <f t="shared" si="173"/>
        <v>454.423</v>
      </c>
      <c r="AX318" t="str">
        <f t="shared" si="160"/>
        <v>pl 27725.7931562119,279 27725.7931562119,400 </v>
      </c>
      <c r="AY318" t="str">
        <f t="shared" si="161"/>
        <v>27725.7931562119,448.923</v>
      </c>
      <c r="AZ318" t="str">
        <f t="shared" si="162"/>
        <v>27725.7931562119,453.148</v>
      </c>
      <c r="BA318" t="str">
        <f t="shared" si="163"/>
        <v>27725.7931562119,454.423</v>
      </c>
      <c r="BB318" t="str">
        <f t="shared" si="164"/>
        <v>-text 27724.7931562119,337 3.5 90 448.923 </v>
      </c>
      <c r="BC318" t="str">
        <f t="shared" si="165"/>
        <v>-text 27724.7931562119,320 3.5 90 454.423 </v>
      </c>
      <c r="BD318" t="str">
        <f t="shared" si="166"/>
        <v>-text 27724.7931562119,306 3.5 90 453.148 </v>
      </c>
      <c r="BE318" t="str">
        <f t="shared" si="167"/>
        <v>-text 27724.7931562119,352 3.5 90 ZG55+451.586 </v>
      </c>
      <c r="BF318" t="str">
        <f t="shared" si="168"/>
        <v>-text 27724.7931562119,280 3.5 90 中山坡隧出 </v>
      </c>
      <c r="BG318" t="str">
        <f t="shared" si="169"/>
        <v/>
      </c>
      <c r="BH318" t="str">
        <f t="shared" si="170"/>
        <v> </v>
      </c>
      <c r="BI318" t="str">
        <f t="shared" si="171"/>
        <v> </v>
      </c>
      <c r="BJ318" t="str">
        <f t="shared" si="172"/>
        <v> </v>
      </c>
    </row>
    <row r="319" spans="1:62">
      <c r="A319">
        <v>0</v>
      </c>
      <c r="B319">
        <v>318</v>
      </c>
      <c r="C319" t="s">
        <v>312</v>
      </c>
      <c r="D319">
        <v>481830.4795</v>
      </c>
      <c r="E319">
        <v>3376828.0279</v>
      </c>
      <c r="F319">
        <v>60</v>
      </c>
      <c r="G319">
        <f t="shared" si="176"/>
        <v>32.027</v>
      </c>
      <c r="H319">
        <f t="shared" si="177"/>
        <v>17.2200237455975</v>
      </c>
      <c r="I319">
        <f t="shared" si="178"/>
        <v>33.5385959721734</v>
      </c>
      <c r="J319">
        <f t="shared" si="179"/>
        <v>37.2203080387776</v>
      </c>
      <c r="K319" s="40">
        <f t="shared" si="180"/>
        <v>55471.586596717</v>
      </c>
      <c r="L319" s="40">
        <f t="shared" si="181"/>
        <v>55488.3558947031</v>
      </c>
      <c r="M319" s="40">
        <f t="shared" si="182"/>
        <v>55505.1251926892</v>
      </c>
      <c r="N319">
        <v>453.144</v>
      </c>
      <c r="O319">
        <v>448.898</v>
      </c>
      <c r="P319">
        <v>0.001</v>
      </c>
      <c r="Q319" s="39">
        <f t="shared" si="183"/>
        <v>481813.794952583</v>
      </c>
      <c r="R319" s="39">
        <f t="shared" si="184"/>
        <v>3376832.28877964</v>
      </c>
      <c r="S319" s="39">
        <f t="shared" si="185"/>
        <v>481830.40815846</v>
      </c>
      <c r="T319" s="39">
        <f t="shared" si="186"/>
        <v>3376830.44906475</v>
      </c>
      <c r="U319" s="39">
        <f t="shared" si="187"/>
        <v>481846.884217827</v>
      </c>
      <c r="V319" s="39">
        <f t="shared" si="188"/>
        <v>3376833.26378109</v>
      </c>
      <c r="AI319" t="str">
        <f t="array" ref="AI319">IFERROR(INDEX($L$2:$L$789,SMALL(IF(ISNUMBER(FIND($AH$2,$C$2:$C$789)),ROW($2:$789)-1,4^8),ROW(A318)))&amp;"","")</f>
        <v/>
      </c>
      <c r="AS319" t="str">
        <f>"-text"&amp;" "&amp;D319&amp;","&amp;E319&amp;" "&amp;"10"&amp;" "&amp;"0"&amp;" "&amp;C319</f>
        <v>-text 481830.4795,3376828.0279 10 0 IP169</v>
      </c>
      <c r="AT319" t="str">
        <f t="shared" si="159"/>
        <v>481830.4795,3376828.0279</v>
      </c>
      <c r="AV319">
        <f t="shared" si="173"/>
        <v>454.698</v>
      </c>
      <c r="AX319" t="str">
        <f t="shared" si="160"/>
        <v>pl 27744.1779473516,279 27744.1779473516,400 </v>
      </c>
      <c r="AY319" t="str">
        <f t="shared" si="161"/>
        <v>27744.1779473516,448.898</v>
      </c>
      <c r="AZ319" t="str">
        <f t="shared" si="162"/>
        <v>27744.1779473516,453.144</v>
      </c>
      <c r="BA319" t="str">
        <f t="shared" si="163"/>
        <v>27744.1779473516,454.698</v>
      </c>
      <c r="BB319" t="str">
        <f t="shared" si="164"/>
        <v>-text 27743.1779473516,337 3.5 90 448.898 </v>
      </c>
      <c r="BC319" t="str">
        <f t="shared" si="165"/>
        <v>-text 27743.1779473516,320 3.5 90 454.698 </v>
      </c>
      <c r="BD319" t="str">
        <f t="shared" si="166"/>
        <v>-text 27743.1779473516,306 3.5 90 453.144 </v>
      </c>
      <c r="BE319" t="str">
        <f t="shared" si="167"/>
        <v>-text 27743.1779473516,352 3.5 90 ZG55+488.356 </v>
      </c>
      <c r="BF319" t="str">
        <f t="shared" si="168"/>
        <v>-text 27743.1779473516,280 3.5 90 IP169 </v>
      </c>
      <c r="BG319" t="str">
        <f t="shared" si="169"/>
        <v>-TEXT 27745.1779473516,300 3.5 0 R=60</v>
      </c>
      <c r="BH319" t="str">
        <f t="shared" si="170"/>
        <v>-TEXT 27745.1779473516,295 3.5 0 α=32.03° </v>
      </c>
      <c r="BI319" t="str">
        <f t="shared" si="171"/>
        <v>-TEXT 27745.1779473516,290 3.5 0 T=17.22 </v>
      </c>
      <c r="BJ319" t="str">
        <f t="shared" si="172"/>
        <v>-TEXT 27745.1779473516,285 3.5 0 S=33.54 </v>
      </c>
    </row>
    <row r="320" spans="1:62">
      <c r="A320">
        <v>0</v>
      </c>
      <c r="B320">
        <v>319</v>
      </c>
      <c r="C320" t="s">
        <v>313</v>
      </c>
      <c r="D320">
        <v>481898.4306</v>
      </c>
      <c r="E320">
        <v>3376849.7158</v>
      </c>
      <c r="F320">
        <v>80</v>
      </c>
      <c r="G320">
        <f t="shared" si="176"/>
        <v>19.753</v>
      </c>
      <c r="H320">
        <f t="shared" si="177"/>
        <v>13.9284258805305</v>
      </c>
      <c r="I320">
        <f t="shared" si="178"/>
        <v>27.5803909717152</v>
      </c>
      <c r="J320">
        <f t="shared" si="179"/>
        <v>71.3282342246848</v>
      </c>
      <c r="K320" s="40">
        <f t="shared" si="180"/>
        <v>55545.3049772878</v>
      </c>
      <c r="L320" s="40">
        <f t="shared" si="181"/>
        <v>55559.0951727736</v>
      </c>
      <c r="M320" s="40">
        <f t="shared" si="182"/>
        <v>55572.8853682595</v>
      </c>
      <c r="N320">
        <v>453.129</v>
      </c>
      <c r="O320">
        <v>448.883</v>
      </c>
      <c r="P320">
        <v>0.001</v>
      </c>
      <c r="Q320" s="39">
        <f t="shared" si="183"/>
        <v>481885.16163477</v>
      </c>
      <c r="R320" s="39">
        <f t="shared" si="184"/>
        <v>3376845.48075464</v>
      </c>
      <c r="S320" s="39">
        <f t="shared" si="185"/>
        <v>481898.594448185</v>
      </c>
      <c r="T320" s="39">
        <f t="shared" si="186"/>
        <v>3376848.52357281</v>
      </c>
      <c r="U320" s="39">
        <f t="shared" si="187"/>
        <v>481912.350101433</v>
      </c>
      <c r="V320" s="39">
        <f t="shared" si="188"/>
        <v>3376849.21727481</v>
      </c>
      <c r="AI320" t="str">
        <f t="array" ref="AI320">IFERROR(INDEX($L$2:$L$789,SMALL(IF(ISNUMBER(FIND($AH$2,$C$2:$C$789)),ROW($2:$789)-1,4^8),ROW(A319)))&amp;"","")</f>
        <v/>
      </c>
      <c r="AS320" t="str">
        <f>"-text"&amp;" "&amp;D320&amp;","&amp;E320&amp;" "&amp;"10"&amp;" "&amp;"0"&amp;" "&amp;C320</f>
        <v>-text 481898.4306,3376849.7158 10 0 IP170</v>
      </c>
      <c r="AT320" t="str">
        <f t="shared" ref="AT320:AT383" si="189">D320&amp;","&amp;E320</f>
        <v>481898.4306,3376849.7158</v>
      </c>
      <c r="AV320">
        <f t="shared" si="173"/>
        <v>454.683</v>
      </c>
      <c r="AX320" t="str">
        <f t="shared" ref="AX320:AX383" si="190">"pl "&amp;L320/2&amp;",279 "&amp;L320/2&amp;",400 "</f>
        <v>pl 27779.5475863868,279 27779.5475863868,400 </v>
      </c>
      <c r="AY320" t="str">
        <f t="shared" ref="AY320:AY383" si="191">L320/2&amp;","&amp;O320</f>
        <v>27779.5475863868,448.883</v>
      </c>
      <c r="AZ320" t="str">
        <f t="shared" ref="AZ320:AZ383" si="192">L320/2&amp;","&amp;N320</f>
        <v>27779.5475863868,453.129</v>
      </c>
      <c r="BA320" t="str">
        <f t="shared" ref="BA320:BA383" si="193">L320/2&amp;","&amp;AV320</f>
        <v>27779.5475863868,454.683</v>
      </c>
      <c r="BB320" t="str">
        <f t="shared" ref="BB320:BB383" si="194">"-text "&amp;L320/2-1&amp;",337 3.5 90 "&amp;FIXED(O320,3)&amp;" "</f>
        <v>-text 27778.5475863868,337 3.5 90 448.883 </v>
      </c>
      <c r="BC320" t="str">
        <f t="shared" ref="BC320:BC383" si="195">"-text "&amp;L320/2-1&amp;",320 3.5 90 "&amp;FIXED(AV320,3)&amp;" "</f>
        <v>-text 27778.5475863868,320 3.5 90 454.683 </v>
      </c>
      <c r="BD320" t="str">
        <f t="shared" ref="BD320:BD383" si="196">"-text "&amp;L320/2-1&amp;",306 3.5 90 "&amp;FIXED(N320,3)&amp;" "</f>
        <v>-text 27778.5475863868,306 3.5 90 453.129 </v>
      </c>
      <c r="BE320" t="str">
        <f t="shared" ref="BE320:BE383" si="197">"-text "&amp;L320/2-1&amp;",352 3.5 90 "&amp;"ZG"&amp;TEXT(L320,"0+000.000")&amp;" "</f>
        <v>-text 27778.5475863868,352 3.5 90 ZG55+559.095 </v>
      </c>
      <c r="BF320" t="str">
        <f t="shared" ref="BF320:BF383" si="198">"-text "&amp;L320/2-1&amp;",280 3.5 90 "&amp;C320&amp;" "</f>
        <v>-text 27778.5475863868,280 3.5 90 IP170 </v>
      </c>
      <c r="BG320" t="str">
        <f t="shared" ref="BG320:BG383" si="199">IF(G320&lt;0.01,"",("-TEXT "&amp;L320/2+1&amp;",300 3.5 0 "&amp;"R="&amp;FIXED(F320,0)))</f>
        <v>-TEXT 27780.5475863868,300 3.5 0 R=80</v>
      </c>
      <c r="BH320" t="str">
        <f t="shared" ref="BH320:BH383" si="200">IF(G320&lt;0.01," ",("-TEXT "&amp;L320/2+1&amp;",295 3.5 0 "&amp;"α="&amp;FIXED(G320,2)&amp;"° "))</f>
        <v>-TEXT 27780.5475863868,295 3.5 0 α=19.75° </v>
      </c>
      <c r="BI320" t="str">
        <f t="shared" ref="BI320:BI383" si="201">IF(G320&lt;0.01," ",("-TEXT "&amp;L320/2+1&amp;",290 3.5 0 "&amp;"T="&amp;FIXED(H320,2)&amp;" "))</f>
        <v>-TEXT 27780.5475863868,290 3.5 0 T=13.93 </v>
      </c>
      <c r="BJ320" t="str">
        <f t="shared" ref="BJ320:BJ383" si="202">IF(G320&lt;0.01," ",("-TEXT "&amp;L320/2+1&amp;",285 3.5 0 "&amp;"S="&amp;FIXED(I320,2)&amp;" "))</f>
        <v>-TEXT 27780.5475863868,285 3.5 0 S=27.58 </v>
      </c>
    </row>
    <row r="321" spans="1:62">
      <c r="A321">
        <v>0</v>
      </c>
      <c r="B321">
        <v>320</v>
      </c>
      <c r="C321" t="s">
        <v>314</v>
      </c>
      <c r="D321">
        <v>481962.7307</v>
      </c>
      <c r="E321">
        <v>3376847.4129</v>
      </c>
      <c r="F321">
        <v>80</v>
      </c>
      <c r="G321">
        <f t="shared" si="176"/>
        <v>11.671</v>
      </c>
      <c r="H321">
        <f t="shared" si="177"/>
        <v>8.17618559773006</v>
      </c>
      <c r="I321">
        <f t="shared" si="178"/>
        <v>16.2957901600207</v>
      </c>
      <c r="J321">
        <f t="shared" si="179"/>
        <v>64.3413258211172</v>
      </c>
      <c r="K321" s="40">
        <f t="shared" si="180"/>
        <v>55615.1220826023</v>
      </c>
      <c r="L321" s="40">
        <f t="shared" si="181"/>
        <v>55623.2699776823</v>
      </c>
      <c r="M321" s="40">
        <f t="shared" si="182"/>
        <v>55631.4178727624</v>
      </c>
      <c r="N321">
        <v>453.117</v>
      </c>
      <c r="O321">
        <v>448.871</v>
      </c>
      <c r="P321">
        <v>0.001</v>
      </c>
      <c r="Q321" s="39">
        <f t="shared" si="183"/>
        <v>481954.559753181</v>
      </c>
      <c r="R321" s="39">
        <f t="shared" si="184"/>
        <v>3376847.70554143</v>
      </c>
      <c r="S321" s="39">
        <f t="shared" si="185"/>
        <v>481962.673517468</v>
      </c>
      <c r="T321" s="39">
        <f t="shared" si="186"/>
        <v>3376847.00010739</v>
      </c>
      <c r="U321" s="39">
        <f t="shared" si="187"/>
        <v>481970.673509341</v>
      </c>
      <c r="V321" s="39">
        <f t="shared" si="188"/>
        <v>3376845.47336637</v>
      </c>
      <c r="AI321" t="str">
        <f t="array" ref="AI321">IFERROR(INDEX($L$2:$L$789,SMALL(IF(ISNUMBER(FIND($AH$2,$C$2:$C$789)),ROW($2:$789)-1,4^8),ROW(A320)))&amp;"","")</f>
        <v/>
      </c>
      <c r="AS321" t="str">
        <f>"-text"&amp;" "&amp;D321&amp;","&amp;E321&amp;" "&amp;"10"&amp;" "&amp;"0"&amp;" "&amp;C321</f>
        <v>-text 481962.7307,3376847.4129 10 0 IP171</v>
      </c>
      <c r="AT321" t="str">
        <f t="shared" si="189"/>
        <v>481962.7307,3376847.4129</v>
      </c>
      <c r="AV321">
        <f t="shared" si="173"/>
        <v>454.671</v>
      </c>
      <c r="AX321" t="str">
        <f t="shared" si="190"/>
        <v>pl 27811.6349888412,279 27811.6349888412,400 </v>
      </c>
      <c r="AY321" t="str">
        <f t="shared" si="191"/>
        <v>27811.6349888412,448.871</v>
      </c>
      <c r="AZ321" t="str">
        <f t="shared" si="192"/>
        <v>27811.6349888412,453.117</v>
      </c>
      <c r="BA321" t="str">
        <f t="shared" si="193"/>
        <v>27811.6349888412,454.671</v>
      </c>
      <c r="BB321" t="str">
        <f t="shared" si="194"/>
        <v>-text 27810.6349888412,337 3.5 90 448.871 </v>
      </c>
      <c r="BC321" t="str">
        <f t="shared" si="195"/>
        <v>-text 27810.6349888412,320 3.5 90 454.671 </v>
      </c>
      <c r="BD321" t="str">
        <f t="shared" si="196"/>
        <v>-text 27810.6349888412,306 3.5 90 453.117 </v>
      </c>
      <c r="BE321" t="str">
        <f t="shared" si="197"/>
        <v>-text 27810.6349888412,352 3.5 90 ZG55+623.270 </v>
      </c>
      <c r="BF321" t="str">
        <f t="shared" si="198"/>
        <v>-text 27810.6349888412,280 3.5 90 IP171 </v>
      </c>
      <c r="BG321" t="str">
        <f t="shared" si="199"/>
        <v>-TEXT 27812.6349888412,300 3.5 0 R=80</v>
      </c>
      <c r="BH321" t="str">
        <f t="shared" si="200"/>
        <v>-TEXT 27812.6349888412,295 3.5 0 α=11.67° </v>
      </c>
      <c r="BI321" t="str">
        <f t="shared" si="201"/>
        <v>-TEXT 27812.6349888412,290 3.5 0 T=8.18 </v>
      </c>
      <c r="BJ321" t="str">
        <f t="shared" si="202"/>
        <v>-TEXT 27812.6349888412,285 3.5 0 S=16.30 </v>
      </c>
    </row>
    <row r="322" spans="1:62">
      <c r="A322">
        <v>0</v>
      </c>
      <c r="B322">
        <v>321</v>
      </c>
      <c r="C322" t="s">
        <v>315</v>
      </c>
      <c r="D322">
        <v>482069.1109</v>
      </c>
      <c r="E322">
        <v>3376821.4362</v>
      </c>
      <c r="F322">
        <v>80</v>
      </c>
      <c r="G322">
        <f t="shared" si="176"/>
        <v>10.534</v>
      </c>
      <c r="H322">
        <f t="shared" si="177"/>
        <v>7.37490487730425</v>
      </c>
      <c r="I322">
        <f t="shared" si="178"/>
        <v>14.7082386724066</v>
      </c>
      <c r="J322">
        <f t="shared" si="179"/>
        <v>109.505871508942</v>
      </c>
      <c r="K322" s="40">
        <f t="shared" si="180"/>
        <v>55725.3726537963</v>
      </c>
      <c r="L322" s="40">
        <f t="shared" si="181"/>
        <v>55732.7267731325</v>
      </c>
      <c r="M322" s="40">
        <f t="shared" si="182"/>
        <v>55740.0808924687</v>
      </c>
      <c r="N322">
        <v>453.096</v>
      </c>
      <c r="O322">
        <v>448.85</v>
      </c>
      <c r="P322">
        <v>0</v>
      </c>
      <c r="Q322" s="39">
        <f t="shared" si="183"/>
        <v>482061.946500091</v>
      </c>
      <c r="R322" s="39">
        <f t="shared" si="184"/>
        <v>3376823.18565589</v>
      </c>
      <c r="S322" s="39">
        <f t="shared" si="185"/>
        <v>482069.160777839</v>
      </c>
      <c r="T322" s="39">
        <f t="shared" si="186"/>
        <v>3376821.77173089</v>
      </c>
      <c r="U322" s="39">
        <f t="shared" si="187"/>
        <v>482076.474390071</v>
      </c>
      <c r="V322" s="39">
        <f t="shared" si="188"/>
        <v>3376821.02603426</v>
      </c>
      <c r="AI322" t="str">
        <f t="array" ref="AI322">IFERROR(INDEX($L$2:$L$789,SMALL(IF(ISNUMBER(FIND($AH$2,$C$2:$C$789)),ROW($2:$789)-1,4^8),ROW(A321)))&amp;"","")</f>
        <v/>
      </c>
      <c r="AS322" t="str">
        <f>"-text"&amp;" "&amp;D322&amp;","&amp;E322&amp;" "&amp;"10"&amp;" "&amp;"0"&amp;" "&amp;C322</f>
        <v>-text 482069.1109,3376821.4362 10 0 IP172</v>
      </c>
      <c r="AT322" t="str">
        <f t="shared" si="189"/>
        <v>482069.1109,3376821.4362</v>
      </c>
      <c r="AV322">
        <f t="shared" si="173"/>
        <v>454.65</v>
      </c>
      <c r="AX322" t="str">
        <f t="shared" si="190"/>
        <v>pl 27866.3633865662,279 27866.3633865662,400 </v>
      </c>
      <c r="AY322" t="str">
        <f t="shared" si="191"/>
        <v>27866.3633865662,448.85</v>
      </c>
      <c r="AZ322" t="str">
        <f t="shared" si="192"/>
        <v>27866.3633865662,453.096</v>
      </c>
      <c r="BA322" t="str">
        <f t="shared" si="193"/>
        <v>27866.3633865662,454.65</v>
      </c>
      <c r="BB322" t="str">
        <f t="shared" si="194"/>
        <v>-text 27865.3633865662,337 3.5 90 448.850 </v>
      </c>
      <c r="BC322" t="str">
        <f t="shared" si="195"/>
        <v>-text 27865.3633865662,320 3.5 90 454.650 </v>
      </c>
      <c r="BD322" t="str">
        <f t="shared" si="196"/>
        <v>-text 27865.3633865662,306 3.5 90 453.096 </v>
      </c>
      <c r="BE322" t="str">
        <f t="shared" si="197"/>
        <v>-text 27865.3633865662,352 3.5 90 ZG55+732.727 </v>
      </c>
      <c r="BF322" t="str">
        <f t="shared" si="198"/>
        <v>-text 27865.3633865662,280 3.5 90 IP172 </v>
      </c>
      <c r="BG322" t="str">
        <f t="shared" si="199"/>
        <v>-TEXT 27867.3633865662,300 3.5 0 R=80</v>
      </c>
      <c r="BH322" t="str">
        <f t="shared" si="200"/>
        <v>-TEXT 27867.3633865662,295 3.5 0 α=10.53° </v>
      </c>
      <c r="BI322" t="str">
        <f t="shared" si="201"/>
        <v>-TEXT 27867.3633865662,290 3.5 0 T=7.37 </v>
      </c>
      <c r="BJ322" t="str">
        <f t="shared" si="202"/>
        <v>-TEXT 27867.3633865662,285 3.5 0 S=14.71 </v>
      </c>
    </row>
    <row r="323" spans="1:62">
      <c r="A323">
        <v>1</v>
      </c>
      <c r="B323">
        <v>322</v>
      </c>
      <c r="C323" t="str">
        <f>Sheet1!C296</f>
        <v>金堂坳隧进</v>
      </c>
      <c r="D323">
        <v>482099.1418</v>
      </c>
      <c r="E323">
        <v>3376819.7634</v>
      </c>
      <c r="G323">
        <f t="shared" si="176"/>
        <v>0</v>
      </c>
      <c r="H323">
        <f t="shared" si="177"/>
        <v>0</v>
      </c>
      <c r="I323">
        <f t="shared" si="178"/>
        <v>0</v>
      </c>
      <c r="J323">
        <f t="shared" si="179"/>
        <v>30.0774535931264</v>
      </c>
      <c r="K323" s="40">
        <f t="shared" si="180"/>
        <v>55762.7834411845</v>
      </c>
      <c r="L323" s="40">
        <f t="shared" si="181"/>
        <v>55762.7834411845</v>
      </c>
      <c r="M323" s="40">
        <f t="shared" si="182"/>
        <v>55762.7834411845</v>
      </c>
      <c r="N323">
        <v>453.086</v>
      </c>
      <c r="O323">
        <v>448.861</v>
      </c>
      <c r="P323">
        <v>0</v>
      </c>
      <c r="Q323" s="39">
        <f t="shared" si="183"/>
        <v>482099.1418</v>
      </c>
      <c r="R323" s="39">
        <f t="shared" si="184"/>
        <v>3376819.7634</v>
      </c>
      <c r="S323" s="39" t="str">
        <f t="shared" si="185"/>
        <v> </v>
      </c>
      <c r="T323" s="39" t="str">
        <f t="shared" si="186"/>
        <v> </v>
      </c>
      <c r="U323" s="39" t="str">
        <f t="shared" si="187"/>
        <v> </v>
      </c>
      <c r="V323" s="39" t="str">
        <f t="shared" si="188"/>
        <v> </v>
      </c>
      <c r="AI323" t="str">
        <f t="array" ref="AI323">IFERROR(INDEX($L$2:$L$789,SMALL(IF(ISNUMBER(FIND($AH$2,$C$2:$C$789)),ROW($2:$789)-1,4^8),ROW(A322)))&amp;"","")</f>
        <v/>
      </c>
      <c r="AT323" t="str">
        <f t="shared" si="189"/>
        <v>482099.1418,3376819.7634</v>
      </c>
      <c r="AV323">
        <f t="shared" si="173"/>
        <v>454.361</v>
      </c>
      <c r="AX323" t="str">
        <f t="shared" si="190"/>
        <v>pl 27881.3917205922,279 27881.3917205922,400 </v>
      </c>
      <c r="AY323" t="str">
        <f t="shared" si="191"/>
        <v>27881.3917205922,448.861</v>
      </c>
      <c r="AZ323" t="str">
        <f t="shared" si="192"/>
        <v>27881.3917205922,453.086</v>
      </c>
      <c r="BA323" t="str">
        <f t="shared" si="193"/>
        <v>27881.3917205922,454.361</v>
      </c>
      <c r="BB323" t="str">
        <f t="shared" si="194"/>
        <v>-text 27880.3917205922,337 3.5 90 448.861 </v>
      </c>
      <c r="BC323" t="str">
        <f t="shared" si="195"/>
        <v>-text 27880.3917205922,320 3.5 90 454.361 </v>
      </c>
      <c r="BD323" t="str">
        <f t="shared" si="196"/>
        <v>-text 27880.3917205922,306 3.5 90 453.086 </v>
      </c>
      <c r="BE323" t="str">
        <f t="shared" si="197"/>
        <v>-text 27880.3917205922,352 3.5 90 ZG55+762.783 </v>
      </c>
      <c r="BF323" t="str">
        <f t="shared" si="198"/>
        <v>-text 27880.3917205922,280 3.5 90 金堂坳隧进 </v>
      </c>
      <c r="BG323" t="str">
        <f t="shared" si="199"/>
        <v/>
      </c>
      <c r="BH323" t="str">
        <f t="shared" si="200"/>
        <v> </v>
      </c>
      <c r="BI323" t="str">
        <f t="shared" si="201"/>
        <v> </v>
      </c>
      <c r="BJ323" t="str">
        <f t="shared" si="202"/>
        <v> </v>
      </c>
    </row>
    <row r="324" spans="1:62">
      <c r="A324">
        <v>1</v>
      </c>
      <c r="B324">
        <v>323</v>
      </c>
      <c r="C324" t="str">
        <f>Sheet1!C297</f>
        <v>金堂坳隧出</v>
      </c>
      <c r="D324">
        <v>482388.917</v>
      </c>
      <c r="E324">
        <v>3376803.6218</v>
      </c>
      <c r="G324">
        <f t="shared" si="176"/>
        <v>0</v>
      </c>
      <c r="H324">
        <f t="shared" si="177"/>
        <v>0</v>
      </c>
      <c r="I324">
        <f t="shared" si="178"/>
        <v>0</v>
      </c>
      <c r="J324">
        <f t="shared" si="179"/>
        <v>290.224426583335</v>
      </c>
      <c r="K324" s="40">
        <f t="shared" si="180"/>
        <v>56053.0078677678</v>
      </c>
      <c r="L324" s="40">
        <f t="shared" si="181"/>
        <v>56053.0078677678</v>
      </c>
      <c r="M324" s="40">
        <f t="shared" si="182"/>
        <v>56053.0078677678</v>
      </c>
      <c r="N324">
        <v>453.034</v>
      </c>
      <c r="O324">
        <v>448.809</v>
      </c>
      <c r="P324">
        <v>0</v>
      </c>
      <c r="Q324" s="39">
        <f t="shared" si="183"/>
        <v>482388.917</v>
      </c>
      <c r="R324" s="39">
        <f t="shared" si="184"/>
        <v>3376803.6218</v>
      </c>
      <c r="S324" s="39" t="str">
        <f t="shared" si="185"/>
        <v> </v>
      </c>
      <c r="T324" s="39" t="str">
        <f t="shared" si="186"/>
        <v> </v>
      </c>
      <c r="U324" s="39" t="str">
        <f t="shared" si="187"/>
        <v> </v>
      </c>
      <c r="V324" s="39" t="str">
        <f t="shared" si="188"/>
        <v> </v>
      </c>
      <c r="AI324" t="str">
        <f t="array" ref="AI324">IFERROR(INDEX($L$2:$L$789,SMALL(IF(ISNUMBER(FIND($AH$2,$C$2:$C$789)),ROW($2:$789)-1,4^8),ROW(A323)))&amp;"","")</f>
        <v/>
      </c>
      <c r="AT324" t="str">
        <f t="shared" si="189"/>
        <v>482388.917,3376803.6218</v>
      </c>
      <c r="AV324">
        <f t="shared" si="173"/>
        <v>454.309</v>
      </c>
      <c r="AX324" t="str">
        <f t="shared" si="190"/>
        <v>pl 28026.5039338839,279 28026.5039338839,400 </v>
      </c>
      <c r="AY324" t="str">
        <f t="shared" si="191"/>
        <v>28026.5039338839,448.809</v>
      </c>
      <c r="AZ324" t="str">
        <f t="shared" si="192"/>
        <v>28026.5039338839,453.034</v>
      </c>
      <c r="BA324" t="str">
        <f t="shared" si="193"/>
        <v>28026.5039338839,454.309</v>
      </c>
      <c r="BB324" t="str">
        <f t="shared" si="194"/>
        <v>-text 28025.5039338839,337 3.5 90 448.809 </v>
      </c>
      <c r="BC324" t="str">
        <f t="shared" si="195"/>
        <v>-text 28025.5039338839,320 3.5 90 454.309 </v>
      </c>
      <c r="BD324" t="str">
        <f t="shared" si="196"/>
        <v>-text 28025.5039338839,306 3.5 90 453.034 </v>
      </c>
      <c r="BE324" t="str">
        <f t="shared" si="197"/>
        <v>-text 28025.5039338839,352 3.5 90 ZG56+053.008 </v>
      </c>
      <c r="BF324" t="str">
        <f t="shared" si="198"/>
        <v>-text 28025.5039338839,280 3.5 90 金堂坳隧出 </v>
      </c>
      <c r="BG324" t="str">
        <f t="shared" si="199"/>
        <v/>
      </c>
      <c r="BH324" t="str">
        <f t="shared" si="200"/>
        <v> </v>
      </c>
      <c r="BI324" t="str">
        <f t="shared" si="201"/>
        <v> </v>
      </c>
      <c r="BJ324" t="str">
        <f t="shared" si="202"/>
        <v> </v>
      </c>
    </row>
    <row r="325" spans="1:62">
      <c r="A325">
        <v>1</v>
      </c>
      <c r="B325">
        <v>324</v>
      </c>
      <c r="C325" t="s">
        <v>318</v>
      </c>
      <c r="D325">
        <v>482422.6728</v>
      </c>
      <c r="E325">
        <v>3376801.7415</v>
      </c>
      <c r="F325">
        <v>60</v>
      </c>
      <c r="G325">
        <f t="shared" si="176"/>
        <v>20.548</v>
      </c>
      <c r="H325">
        <f t="shared" si="177"/>
        <v>10.8757239792971</v>
      </c>
      <c r="I325">
        <f t="shared" si="178"/>
        <v>21.5178152819877</v>
      </c>
      <c r="J325">
        <f t="shared" si="179"/>
        <v>33.8081286339301</v>
      </c>
      <c r="K325" s="40">
        <f t="shared" si="180"/>
        <v>56075.9402724225</v>
      </c>
      <c r="L325" s="40">
        <f t="shared" si="181"/>
        <v>56086.6991800634</v>
      </c>
      <c r="M325" s="40">
        <f t="shared" si="182"/>
        <v>56097.4580877044</v>
      </c>
      <c r="N325">
        <v>453.03</v>
      </c>
      <c r="O325">
        <v>448.784</v>
      </c>
      <c r="P325">
        <v>0.001</v>
      </c>
      <c r="Q325" s="39">
        <f t="shared" si="183"/>
        <v>482411.813909599</v>
      </c>
      <c r="R325" s="39">
        <f t="shared" si="184"/>
        <v>3376802.34637299</v>
      </c>
      <c r="S325" s="39">
        <f t="shared" si="185"/>
        <v>482422.552193256</v>
      </c>
      <c r="T325" s="39">
        <f t="shared" si="186"/>
        <v>3376802.71174959</v>
      </c>
      <c r="U325" s="39">
        <f t="shared" si="187"/>
        <v>482433.053131024</v>
      </c>
      <c r="V325" s="39">
        <f t="shared" si="188"/>
        <v>3376804.98651154</v>
      </c>
      <c r="AI325" t="str">
        <f t="array" ref="AI325">IFERROR(INDEX($L$2:$L$789,SMALL(IF(ISNUMBER(FIND($AH$2,$C$2:$C$789)),ROW($2:$789)-1,4^8),ROW(A324)))&amp;"","")</f>
        <v/>
      </c>
      <c r="AS325" t="str">
        <f>"-text"&amp;" "&amp;D325&amp;","&amp;E325&amp;" "&amp;"10"&amp;" "&amp;"0"&amp;" "&amp;C325</f>
        <v>-text 482422.6728,3376801.7415 10 0 IP173</v>
      </c>
      <c r="AT325" t="str">
        <f t="shared" si="189"/>
        <v>482422.6728,3376801.7415</v>
      </c>
      <c r="AV325">
        <f t="shared" si="173"/>
        <v>454.284</v>
      </c>
      <c r="AX325" t="str">
        <f t="shared" si="190"/>
        <v>pl 28043.3495900317,279 28043.3495900317,400 </v>
      </c>
      <c r="AY325" t="str">
        <f t="shared" si="191"/>
        <v>28043.3495900317,448.784</v>
      </c>
      <c r="AZ325" t="str">
        <f t="shared" si="192"/>
        <v>28043.3495900317,453.03</v>
      </c>
      <c r="BA325" t="str">
        <f t="shared" si="193"/>
        <v>28043.3495900317,454.284</v>
      </c>
      <c r="BB325" t="str">
        <f t="shared" si="194"/>
        <v>-text 28042.3495900317,337 3.5 90 448.784 </v>
      </c>
      <c r="BC325" t="str">
        <f t="shared" si="195"/>
        <v>-text 28042.3495900317,320 3.5 90 454.284 </v>
      </c>
      <c r="BD325" t="str">
        <f t="shared" si="196"/>
        <v>-text 28042.3495900317,306 3.5 90 453.030 </v>
      </c>
      <c r="BE325" t="str">
        <f t="shared" si="197"/>
        <v>-text 28042.3495900317,352 3.5 90 ZG56+086.699 </v>
      </c>
      <c r="BF325" t="str">
        <f t="shared" si="198"/>
        <v>-text 28042.3495900317,280 3.5 90 IP173 </v>
      </c>
      <c r="BG325" t="str">
        <f t="shared" si="199"/>
        <v>-TEXT 28044.3495900317,300 3.5 0 R=60</v>
      </c>
      <c r="BH325" t="str">
        <f t="shared" si="200"/>
        <v>-TEXT 28044.3495900317,295 3.5 0 α=20.55° </v>
      </c>
      <c r="BI325" t="str">
        <f t="shared" si="201"/>
        <v>-TEXT 28044.3495900317,290 3.5 0 T=10.88 </v>
      </c>
      <c r="BJ325" t="str">
        <f t="shared" si="202"/>
        <v>-TEXT 28044.3495900317,285 3.5 0 S=21.52 </v>
      </c>
    </row>
    <row r="326" spans="1:62">
      <c r="A326">
        <v>1</v>
      </c>
      <c r="B326">
        <v>325</v>
      </c>
      <c r="C326" t="s">
        <v>319</v>
      </c>
      <c r="D326">
        <v>482521.4369</v>
      </c>
      <c r="E326">
        <v>3376832.6163</v>
      </c>
      <c r="F326">
        <v>80</v>
      </c>
      <c r="G326">
        <f t="shared" si="176"/>
        <v>21.72</v>
      </c>
      <c r="H326">
        <f t="shared" si="177"/>
        <v>15.3476579169776</v>
      </c>
      <c r="I326">
        <f t="shared" si="178"/>
        <v>30.3268410826535</v>
      </c>
      <c r="J326">
        <f t="shared" si="179"/>
        <v>103.477537291127</v>
      </c>
      <c r="K326" s="40">
        <f t="shared" si="180"/>
        <v>56174.7122430993</v>
      </c>
      <c r="L326" s="40">
        <f t="shared" si="181"/>
        <v>56189.8756636406</v>
      </c>
      <c r="M326" s="40">
        <f t="shared" si="182"/>
        <v>56205.0390841819</v>
      </c>
      <c r="N326">
        <v>453.01</v>
      </c>
      <c r="O326">
        <v>448.764</v>
      </c>
      <c r="P326">
        <v>0.001</v>
      </c>
      <c r="Q326" s="39">
        <f t="shared" si="183"/>
        <v>482506.788333162</v>
      </c>
      <c r="R326" s="39">
        <f t="shared" si="184"/>
        <v>3376828.03698858</v>
      </c>
      <c r="S326" s="39">
        <f t="shared" si="185"/>
        <v>482521.602044961</v>
      </c>
      <c r="T326" s="39">
        <f t="shared" si="186"/>
        <v>3376831.16676064</v>
      </c>
      <c r="U326" s="39">
        <f t="shared" si="187"/>
        <v>482536.74013135</v>
      </c>
      <c r="V326" s="39">
        <f t="shared" si="188"/>
        <v>3376831.44937508</v>
      </c>
      <c r="AI326" t="str">
        <f t="array" ref="AI326">IFERROR(INDEX($L$2:$L$789,SMALL(IF(ISNUMBER(FIND($AH$2,$C$2:$C$789)),ROW($2:$789)-1,4^8),ROW(A325)))&amp;"","")</f>
        <v/>
      </c>
      <c r="AS326" t="str">
        <f>"-text"&amp;" "&amp;D326&amp;","&amp;E326&amp;" "&amp;"10"&amp;" "&amp;"0"&amp;" "&amp;C326</f>
        <v>-text 482521.4369,3376832.6163 10 0 IP174</v>
      </c>
      <c r="AT326" t="str">
        <f t="shared" si="189"/>
        <v>482521.4369,3376832.6163</v>
      </c>
      <c r="AV326">
        <f t="shared" ref="AV326:AV370" si="203">IF(A326=0,O326+5.8,IF(A326=1,O326+5.5,O326+4.5))</f>
        <v>454.264</v>
      </c>
      <c r="AX326" t="str">
        <f t="shared" si="190"/>
        <v>pl 28094.9378318203,279 28094.9378318203,400 </v>
      </c>
      <c r="AY326" t="str">
        <f t="shared" si="191"/>
        <v>28094.9378318203,448.764</v>
      </c>
      <c r="AZ326" t="str">
        <f t="shared" si="192"/>
        <v>28094.9378318203,453.01</v>
      </c>
      <c r="BA326" t="str">
        <f t="shared" si="193"/>
        <v>28094.9378318203,454.264</v>
      </c>
      <c r="BB326" t="str">
        <f t="shared" si="194"/>
        <v>-text 28093.9378318203,337 3.5 90 448.764 </v>
      </c>
      <c r="BC326" t="str">
        <f t="shared" si="195"/>
        <v>-text 28093.9378318203,320 3.5 90 454.264 </v>
      </c>
      <c r="BD326" t="str">
        <f t="shared" si="196"/>
        <v>-text 28093.9378318203,306 3.5 90 453.010 </v>
      </c>
      <c r="BE326" t="str">
        <f t="shared" si="197"/>
        <v>-text 28093.9378318203,352 3.5 90 ZG56+189.876 </v>
      </c>
      <c r="BF326" t="str">
        <f t="shared" si="198"/>
        <v>-text 28093.9378318203,280 3.5 90 IP174 </v>
      </c>
      <c r="BG326" t="str">
        <f t="shared" si="199"/>
        <v>-TEXT 28095.9378318203,300 3.5 0 R=80</v>
      </c>
      <c r="BH326" t="str">
        <f t="shared" si="200"/>
        <v>-TEXT 28095.9378318203,295 3.5 0 α=21.72° </v>
      </c>
      <c r="BI326" t="str">
        <f t="shared" si="201"/>
        <v>-TEXT 28095.9378318203,290 3.5 0 T=15.35 </v>
      </c>
      <c r="BJ326" t="str">
        <f t="shared" si="202"/>
        <v>-TEXT 28095.9378318203,285 3.5 0 S=30.33 </v>
      </c>
    </row>
    <row r="327" spans="1:62">
      <c r="A327">
        <v>1</v>
      </c>
      <c r="B327">
        <v>326</v>
      </c>
      <c r="C327" t="s">
        <v>320</v>
      </c>
      <c r="D327">
        <v>482581.8997</v>
      </c>
      <c r="E327">
        <v>3376828.0058</v>
      </c>
      <c r="F327">
        <v>80</v>
      </c>
      <c r="G327">
        <f t="shared" si="176"/>
        <v>25.985</v>
      </c>
      <c r="H327">
        <f t="shared" si="177"/>
        <v>18.458425490228</v>
      </c>
      <c r="I327">
        <f t="shared" si="178"/>
        <v>36.2819044904581</v>
      </c>
      <c r="J327">
        <f t="shared" si="179"/>
        <v>60.638328589219</v>
      </c>
      <c r="K327" s="40">
        <f t="shared" si="180"/>
        <v>56231.871329364</v>
      </c>
      <c r="L327" s="40">
        <f t="shared" si="181"/>
        <v>56250.0122816092</v>
      </c>
      <c r="M327" s="40">
        <f t="shared" si="182"/>
        <v>56268.1532338544</v>
      </c>
      <c r="N327">
        <v>452.998</v>
      </c>
      <c r="O327">
        <v>448.752</v>
      </c>
      <c r="P327">
        <v>0.001</v>
      </c>
      <c r="Q327" s="39">
        <f t="shared" si="183"/>
        <v>482563.494705755</v>
      </c>
      <c r="R327" s="39">
        <f t="shared" si="184"/>
        <v>3376829.40924519</v>
      </c>
      <c r="S327" s="39">
        <f t="shared" si="185"/>
        <v>482581.584233519</v>
      </c>
      <c r="T327" s="39">
        <f t="shared" si="186"/>
        <v>3376830.08385947</v>
      </c>
      <c r="U327" s="39">
        <f t="shared" si="187"/>
        <v>482599.058980517</v>
      </c>
      <c r="V327" s="39">
        <f t="shared" si="188"/>
        <v>3376834.80819397</v>
      </c>
      <c r="AI327" t="str">
        <f t="array" ref="AI327">IFERROR(INDEX($L$2:$L$789,SMALL(IF(ISNUMBER(FIND($AH$2,$C$2:$C$789)),ROW($2:$789)-1,4^8),ROW(A326)))&amp;"","")</f>
        <v/>
      </c>
      <c r="AS327" t="str">
        <f>"-text"&amp;" "&amp;D327&amp;","&amp;E327&amp;" "&amp;"10"&amp;" "&amp;"0"&amp;" "&amp;C327</f>
        <v>-text 482581.8997,3376828.0058 10 0 IP175</v>
      </c>
      <c r="AT327" t="str">
        <f t="shared" si="189"/>
        <v>482581.8997,3376828.0058</v>
      </c>
      <c r="AV327">
        <f t="shared" si="203"/>
        <v>454.252</v>
      </c>
      <c r="AX327" t="str">
        <f t="shared" si="190"/>
        <v>pl 28125.0061408046,279 28125.0061408046,400 </v>
      </c>
      <c r="AY327" t="str">
        <f t="shared" si="191"/>
        <v>28125.0061408046,448.752</v>
      </c>
      <c r="AZ327" t="str">
        <f t="shared" si="192"/>
        <v>28125.0061408046,452.998</v>
      </c>
      <c r="BA327" t="str">
        <f t="shared" si="193"/>
        <v>28125.0061408046,454.252</v>
      </c>
      <c r="BB327" t="str">
        <f t="shared" si="194"/>
        <v>-text 28124.0061408046,337 3.5 90 448.752 </v>
      </c>
      <c r="BC327" t="str">
        <f t="shared" si="195"/>
        <v>-text 28124.0061408046,320 3.5 90 454.252 </v>
      </c>
      <c r="BD327" t="str">
        <f t="shared" si="196"/>
        <v>-text 28124.0061408046,306 3.5 90 452.998 </v>
      </c>
      <c r="BE327" t="str">
        <f t="shared" si="197"/>
        <v>-text 28124.0061408046,352 3.5 90 ZG56+250.012 </v>
      </c>
      <c r="BF327" t="str">
        <f t="shared" si="198"/>
        <v>-text 28124.0061408046,280 3.5 90 IP175 </v>
      </c>
      <c r="BG327" t="str">
        <f t="shared" si="199"/>
        <v>-TEXT 28126.0061408046,300 3.5 0 R=80</v>
      </c>
      <c r="BH327" t="str">
        <f t="shared" si="200"/>
        <v>-TEXT 28126.0061408046,295 3.5 0 α=25.99° </v>
      </c>
      <c r="BI327" t="str">
        <f t="shared" si="201"/>
        <v>-TEXT 28126.0061408046,290 3.5 0 T=18.46 </v>
      </c>
      <c r="BJ327" t="str">
        <f t="shared" si="202"/>
        <v>-TEXT 28126.0061408046,285 3.5 0 S=36.28 </v>
      </c>
    </row>
    <row r="328" spans="1:62">
      <c r="A328">
        <v>1</v>
      </c>
      <c r="B328">
        <v>327</v>
      </c>
      <c r="C328" t="s">
        <v>321</v>
      </c>
      <c r="D328">
        <v>482631.1459</v>
      </c>
      <c r="E328">
        <v>3376847.5283</v>
      </c>
      <c r="F328">
        <v>80</v>
      </c>
      <c r="G328">
        <f t="shared" si="176"/>
        <v>7.519</v>
      </c>
      <c r="H328">
        <f t="shared" si="177"/>
        <v>5.25679865600862</v>
      </c>
      <c r="I328">
        <f t="shared" si="178"/>
        <v>10.4985045165963</v>
      </c>
      <c r="J328">
        <f t="shared" si="179"/>
        <v>52.9746752768525</v>
      </c>
      <c r="K328" s="40">
        <f t="shared" si="180"/>
        <v>56297.412684985</v>
      </c>
      <c r="L328" s="40">
        <f t="shared" si="181"/>
        <v>56302.6619372433</v>
      </c>
      <c r="M328" s="40">
        <f t="shared" si="182"/>
        <v>56307.9111895016</v>
      </c>
      <c r="N328">
        <v>452.987</v>
      </c>
      <c r="O328">
        <v>448.741</v>
      </c>
      <c r="P328">
        <v>0</v>
      </c>
      <c r="Q328" s="39">
        <f t="shared" si="183"/>
        <v>482626.259086506</v>
      </c>
      <c r="R328" s="39">
        <f t="shared" si="184"/>
        <v>3376845.5910375</v>
      </c>
      <c r="S328" s="39">
        <f t="shared" si="185"/>
        <v>482631.198824486</v>
      </c>
      <c r="T328" s="39">
        <f t="shared" si="186"/>
        <v>3376847.36410404</v>
      </c>
      <c r="U328" s="39">
        <f t="shared" si="187"/>
        <v>482636.244183659</v>
      </c>
      <c r="V328" s="39">
        <f t="shared" si="188"/>
        <v>3376848.80948533</v>
      </c>
      <c r="AI328" t="str">
        <f t="array" ref="AI328">IFERROR(INDEX($L$2:$L$789,SMALL(IF(ISNUMBER(FIND($AH$2,$C$2:$C$789)),ROW($2:$789)-1,4^8),ROW(A327)))&amp;"","")</f>
        <v/>
      </c>
      <c r="AS328" t="str">
        <f>"-text"&amp;" "&amp;D328&amp;","&amp;E328&amp;" "&amp;"10"&amp;" "&amp;"0"&amp;" "&amp;C328</f>
        <v>-text 482631.1459,3376847.5283 10 0 IP176</v>
      </c>
      <c r="AT328" t="str">
        <f t="shared" si="189"/>
        <v>482631.1459,3376847.5283</v>
      </c>
      <c r="AV328">
        <f t="shared" si="203"/>
        <v>454.241</v>
      </c>
      <c r="AX328" t="str">
        <f t="shared" si="190"/>
        <v>pl 28151.3309686217,279 28151.3309686217,400 </v>
      </c>
      <c r="AY328" t="str">
        <f t="shared" si="191"/>
        <v>28151.3309686217,448.741</v>
      </c>
      <c r="AZ328" t="str">
        <f t="shared" si="192"/>
        <v>28151.3309686217,452.987</v>
      </c>
      <c r="BA328" t="str">
        <f t="shared" si="193"/>
        <v>28151.3309686217,454.241</v>
      </c>
      <c r="BB328" t="str">
        <f t="shared" si="194"/>
        <v>-text 28150.3309686217,337 3.5 90 448.741 </v>
      </c>
      <c r="BC328" t="str">
        <f t="shared" si="195"/>
        <v>-text 28150.3309686217,320 3.5 90 454.241 </v>
      </c>
      <c r="BD328" t="str">
        <f t="shared" si="196"/>
        <v>-text 28150.3309686217,306 3.5 90 452.987 </v>
      </c>
      <c r="BE328" t="str">
        <f t="shared" si="197"/>
        <v>-text 28150.3309686217,352 3.5 90 ZG56+302.662 </v>
      </c>
      <c r="BF328" t="str">
        <f t="shared" si="198"/>
        <v>-text 28150.3309686217,280 3.5 90 IP176 </v>
      </c>
      <c r="BG328" t="str">
        <f t="shared" si="199"/>
        <v>-TEXT 28152.3309686217,300 3.5 0 R=80</v>
      </c>
      <c r="BH328" t="str">
        <f t="shared" si="200"/>
        <v>-TEXT 28152.3309686217,295 3.5 0 α=7.52° </v>
      </c>
      <c r="BI328" t="str">
        <f t="shared" si="201"/>
        <v>-TEXT 28152.3309686217,290 3.5 0 T=5.26 </v>
      </c>
      <c r="BJ328" t="str">
        <f t="shared" si="202"/>
        <v>-TEXT 28152.3309686217,285 3.5 0 S=10.50 </v>
      </c>
    </row>
    <row r="329" spans="1:62">
      <c r="A329">
        <v>1</v>
      </c>
      <c r="B329">
        <v>328</v>
      </c>
      <c r="C329" t="str">
        <f>Sheet1!C302</f>
        <v>堡镇湾隧进</v>
      </c>
      <c r="D329">
        <v>482662.459</v>
      </c>
      <c r="E329">
        <v>3376855.3972</v>
      </c>
      <c r="G329">
        <f t="shared" si="176"/>
        <v>0</v>
      </c>
      <c r="H329">
        <f t="shared" si="177"/>
        <v>0</v>
      </c>
      <c r="I329">
        <f t="shared" si="178"/>
        <v>0</v>
      </c>
      <c r="J329">
        <f t="shared" si="179"/>
        <v>32.2866817561048</v>
      </c>
      <c r="K329" s="40">
        <f t="shared" si="180"/>
        <v>56334.9410726017</v>
      </c>
      <c r="L329" s="40">
        <f t="shared" si="181"/>
        <v>56334.9410726017</v>
      </c>
      <c r="M329" s="40">
        <f t="shared" si="182"/>
        <v>56334.9410726017</v>
      </c>
      <c r="N329">
        <v>452.977</v>
      </c>
      <c r="O329">
        <v>448.752</v>
      </c>
      <c r="P329">
        <v>0</v>
      </c>
      <c r="Q329" s="39">
        <f t="shared" si="183"/>
        <v>482662.459</v>
      </c>
      <c r="R329" s="39">
        <f t="shared" si="184"/>
        <v>3376855.3972</v>
      </c>
      <c r="S329" s="39" t="str">
        <f t="shared" si="185"/>
        <v> </v>
      </c>
      <c r="T329" s="39" t="str">
        <f t="shared" si="186"/>
        <v> </v>
      </c>
      <c r="U329" s="39" t="str">
        <f t="shared" si="187"/>
        <v> </v>
      </c>
      <c r="V329" s="39" t="str">
        <f t="shared" si="188"/>
        <v> </v>
      </c>
      <c r="AI329" t="str">
        <f t="array" ref="AI329">IFERROR(INDEX($L$2:$L$789,SMALL(IF(ISNUMBER(FIND($AH$2,$C$2:$C$789)),ROW($2:$789)-1,4^8),ROW(A328)))&amp;"","")</f>
        <v/>
      </c>
      <c r="AT329" t="str">
        <f t="shared" si="189"/>
        <v>482662.459,3376855.3972</v>
      </c>
      <c r="AV329">
        <f t="shared" si="203"/>
        <v>454.252</v>
      </c>
      <c r="AX329" t="str">
        <f t="shared" si="190"/>
        <v>pl 28167.4705363009,279 28167.4705363009,400 </v>
      </c>
      <c r="AY329" t="str">
        <f t="shared" si="191"/>
        <v>28167.4705363009,448.752</v>
      </c>
      <c r="AZ329" t="str">
        <f t="shared" si="192"/>
        <v>28167.4705363009,452.977</v>
      </c>
      <c r="BA329" t="str">
        <f t="shared" si="193"/>
        <v>28167.4705363009,454.252</v>
      </c>
      <c r="BB329" t="str">
        <f t="shared" si="194"/>
        <v>-text 28166.4705363009,337 3.5 90 448.752 </v>
      </c>
      <c r="BC329" t="str">
        <f t="shared" si="195"/>
        <v>-text 28166.4705363009,320 3.5 90 454.252 </v>
      </c>
      <c r="BD329" t="str">
        <f t="shared" si="196"/>
        <v>-text 28166.4705363009,306 3.5 90 452.977 </v>
      </c>
      <c r="BE329" t="str">
        <f t="shared" si="197"/>
        <v>-text 28166.4705363009,352 3.5 90 ZG56+334.941 </v>
      </c>
      <c r="BF329" t="str">
        <f t="shared" si="198"/>
        <v>-text 28166.4705363009,280 3.5 90 堡镇湾隧进 </v>
      </c>
      <c r="BG329" t="str">
        <f t="shared" si="199"/>
        <v/>
      </c>
      <c r="BH329" t="str">
        <f t="shared" si="200"/>
        <v> </v>
      </c>
      <c r="BI329" t="str">
        <f t="shared" si="201"/>
        <v> </v>
      </c>
      <c r="BJ329" t="str">
        <f t="shared" si="202"/>
        <v> </v>
      </c>
    </row>
    <row r="330" spans="1:62">
      <c r="A330">
        <v>1</v>
      </c>
      <c r="B330">
        <v>329</v>
      </c>
      <c r="C330" t="s">
        <v>323</v>
      </c>
      <c r="D330">
        <v>482976.6976</v>
      </c>
      <c r="E330">
        <v>3376934.3644</v>
      </c>
      <c r="F330">
        <v>80</v>
      </c>
      <c r="G330">
        <f t="shared" si="176"/>
        <v>10.23</v>
      </c>
      <c r="H330">
        <f t="shared" si="177"/>
        <v>7.16092105548314</v>
      </c>
      <c r="I330">
        <f t="shared" si="178"/>
        <v>14.2837745983216</v>
      </c>
      <c r="J330">
        <f t="shared" si="179"/>
        <v>324.008821493798</v>
      </c>
      <c r="K330" s="40">
        <f t="shared" si="180"/>
        <v>56651.78897304</v>
      </c>
      <c r="L330" s="40">
        <f t="shared" si="181"/>
        <v>56658.9308603392</v>
      </c>
      <c r="M330" s="40">
        <f t="shared" si="182"/>
        <v>56666.0727476384</v>
      </c>
      <c r="N330">
        <v>452.918</v>
      </c>
      <c r="O330">
        <v>448.693</v>
      </c>
      <c r="P330">
        <v>0</v>
      </c>
      <c r="Q330" s="39">
        <f t="shared" si="183"/>
        <v>482969.752610673</v>
      </c>
      <c r="R330" s="39">
        <f t="shared" si="184"/>
        <v>3376932.6191454</v>
      </c>
      <c r="S330" s="39">
        <f t="shared" si="185"/>
        <v>482976.747586472</v>
      </c>
      <c r="T330" s="39">
        <f t="shared" si="186"/>
        <v>3376934.04848936</v>
      </c>
      <c r="U330" s="39">
        <f t="shared" si="187"/>
        <v>482983.842137099</v>
      </c>
      <c r="V330" s="39">
        <f t="shared" si="188"/>
        <v>3376934.84852809</v>
      </c>
      <c r="AI330" t="str">
        <f t="array" ref="AI330">IFERROR(INDEX($L$2:$L$789,SMALL(IF(ISNUMBER(FIND($AH$2,$C$2:$C$789)),ROW($2:$789)-1,4^8),ROW(A329)))&amp;"","")</f>
        <v/>
      </c>
      <c r="AS330" t="str">
        <f>"-text"&amp;" "&amp;D330&amp;","&amp;E330&amp;" "&amp;"10"&amp;" "&amp;"0"&amp;" "&amp;C330</f>
        <v>-text 482976.6976,3376934.3644 10 0 IP177</v>
      </c>
      <c r="AT330" t="str">
        <f t="shared" si="189"/>
        <v>482976.6976,3376934.3644</v>
      </c>
      <c r="AV330">
        <f t="shared" si="203"/>
        <v>454.193</v>
      </c>
      <c r="AX330" t="str">
        <f t="shared" si="190"/>
        <v>pl 28329.4654301696,279 28329.4654301696,400 </v>
      </c>
      <c r="AY330" t="str">
        <f t="shared" si="191"/>
        <v>28329.4654301696,448.693</v>
      </c>
      <c r="AZ330" t="str">
        <f t="shared" si="192"/>
        <v>28329.4654301696,452.918</v>
      </c>
      <c r="BA330" t="str">
        <f t="shared" si="193"/>
        <v>28329.4654301696,454.193</v>
      </c>
      <c r="BB330" t="str">
        <f t="shared" si="194"/>
        <v>-text 28328.4654301696,337 3.5 90 448.693 </v>
      </c>
      <c r="BC330" t="str">
        <f t="shared" si="195"/>
        <v>-text 28328.4654301696,320 3.5 90 454.193 </v>
      </c>
      <c r="BD330" t="str">
        <f t="shared" si="196"/>
        <v>-text 28328.4654301696,306 3.5 90 452.918 </v>
      </c>
      <c r="BE330" t="str">
        <f t="shared" si="197"/>
        <v>-text 28328.4654301696,352 3.5 90 ZG56+658.931 </v>
      </c>
      <c r="BF330" t="str">
        <f t="shared" si="198"/>
        <v>-text 28328.4654301696,280 3.5 90 IP177 </v>
      </c>
      <c r="BG330" t="str">
        <f t="shared" si="199"/>
        <v>-TEXT 28330.4654301696,300 3.5 0 R=80</v>
      </c>
      <c r="BH330" t="str">
        <f t="shared" si="200"/>
        <v>-TEXT 28330.4654301696,295 3.5 0 α=10.23° </v>
      </c>
      <c r="BI330" t="str">
        <f t="shared" si="201"/>
        <v>-TEXT 28330.4654301696,290 3.5 0 T=7.16 </v>
      </c>
      <c r="BJ330" t="str">
        <f t="shared" si="202"/>
        <v>-TEXT 28330.4654301696,285 3.5 0 S=14.28 </v>
      </c>
    </row>
    <row r="331" spans="1:62">
      <c r="A331">
        <v>1</v>
      </c>
      <c r="B331">
        <v>330</v>
      </c>
      <c r="C331" t="str">
        <f>Sheet1!C304</f>
        <v>堡镇湾隧出</v>
      </c>
      <c r="D331">
        <v>483011.5121</v>
      </c>
      <c r="E331">
        <v>3376936.7235</v>
      </c>
      <c r="G331">
        <f t="shared" si="176"/>
        <v>0</v>
      </c>
      <c r="H331">
        <f t="shared" si="177"/>
        <v>0</v>
      </c>
      <c r="I331">
        <f t="shared" si="178"/>
        <v>0</v>
      </c>
      <c r="J331">
        <f t="shared" si="179"/>
        <v>34.894337120205</v>
      </c>
      <c r="K331" s="40">
        <f t="shared" si="180"/>
        <v>56693.8061637031</v>
      </c>
      <c r="L331" s="40">
        <f t="shared" si="181"/>
        <v>56693.8061637031</v>
      </c>
      <c r="M331" s="40">
        <f t="shared" si="182"/>
        <v>56693.8061637031</v>
      </c>
      <c r="N331">
        <v>452.911</v>
      </c>
      <c r="O331">
        <v>448.686</v>
      </c>
      <c r="P331">
        <v>0</v>
      </c>
      <c r="Q331" s="39">
        <f t="shared" si="183"/>
        <v>483011.5121</v>
      </c>
      <c r="R331" s="39">
        <f t="shared" si="184"/>
        <v>3376936.7235</v>
      </c>
      <c r="S331" s="39" t="str">
        <f t="shared" si="185"/>
        <v> </v>
      </c>
      <c r="T331" s="39" t="str">
        <f t="shared" si="186"/>
        <v> </v>
      </c>
      <c r="U331" s="39" t="str">
        <f t="shared" si="187"/>
        <v> </v>
      </c>
      <c r="V331" s="39" t="str">
        <f t="shared" si="188"/>
        <v> </v>
      </c>
      <c r="AI331" t="str">
        <f t="array" ref="AI331">IFERROR(INDEX($L$2:$L$789,SMALL(IF(ISNUMBER(FIND($AH$2,$C$2:$C$789)),ROW($2:$789)-1,4^8),ROW(A330)))&amp;"","")</f>
        <v/>
      </c>
      <c r="AT331" t="str">
        <f t="shared" si="189"/>
        <v>483011.5121,3376936.7235</v>
      </c>
      <c r="AV331">
        <f t="shared" si="203"/>
        <v>454.186</v>
      </c>
      <c r="AX331" t="str">
        <f t="shared" si="190"/>
        <v>pl 28346.9030818515,279 28346.9030818515,400 </v>
      </c>
      <c r="AY331" t="str">
        <f t="shared" si="191"/>
        <v>28346.9030818515,448.686</v>
      </c>
      <c r="AZ331" t="str">
        <f t="shared" si="192"/>
        <v>28346.9030818515,452.911</v>
      </c>
      <c r="BA331" t="str">
        <f t="shared" si="193"/>
        <v>28346.9030818515,454.186</v>
      </c>
      <c r="BB331" t="str">
        <f t="shared" si="194"/>
        <v>-text 28345.9030818515,337 3.5 90 448.686 </v>
      </c>
      <c r="BC331" t="str">
        <f t="shared" si="195"/>
        <v>-text 28345.9030818515,320 3.5 90 454.186 </v>
      </c>
      <c r="BD331" t="str">
        <f t="shared" si="196"/>
        <v>-text 28345.9030818515,306 3.5 90 452.911 </v>
      </c>
      <c r="BE331" t="str">
        <f t="shared" si="197"/>
        <v>-text 28345.9030818515,352 3.5 90 ZG56+693.806 </v>
      </c>
      <c r="BF331" t="str">
        <f t="shared" si="198"/>
        <v>-text 28345.9030818515,280 3.5 90 堡镇湾隧出 </v>
      </c>
      <c r="BG331" t="str">
        <f t="shared" si="199"/>
        <v/>
      </c>
      <c r="BH331" t="str">
        <f t="shared" si="200"/>
        <v> </v>
      </c>
      <c r="BI331" t="str">
        <f t="shared" si="201"/>
        <v> </v>
      </c>
      <c r="BJ331" t="str">
        <f t="shared" si="202"/>
        <v> </v>
      </c>
    </row>
    <row r="332" spans="1:62">
      <c r="A332">
        <v>0</v>
      </c>
      <c r="B332">
        <v>331</v>
      </c>
      <c r="C332" t="s">
        <v>325</v>
      </c>
      <c r="D332">
        <v>483119.0614</v>
      </c>
      <c r="E332">
        <v>3376944.0113</v>
      </c>
      <c r="F332">
        <v>80</v>
      </c>
      <c r="G332">
        <f t="shared" si="176"/>
        <v>34.21</v>
      </c>
      <c r="H332">
        <f t="shared" si="177"/>
        <v>24.6188558241016</v>
      </c>
      <c r="I332">
        <f t="shared" si="178"/>
        <v>47.7661709685808</v>
      </c>
      <c r="J332">
        <f t="shared" si="179"/>
        <v>107.795936655022</v>
      </c>
      <c r="K332" s="40">
        <f t="shared" si="180"/>
        <v>56776.983244534</v>
      </c>
      <c r="L332" s="40">
        <f t="shared" si="181"/>
        <v>56800.8663300183</v>
      </c>
      <c r="M332" s="40">
        <f t="shared" si="182"/>
        <v>56824.7494155026</v>
      </c>
      <c r="N332">
        <v>452.894</v>
      </c>
      <c r="O332">
        <v>448.648</v>
      </c>
      <c r="P332">
        <v>0.002</v>
      </c>
      <c r="Q332" s="39">
        <f t="shared" si="183"/>
        <v>483094.498872016</v>
      </c>
      <c r="R332" s="39">
        <f t="shared" si="184"/>
        <v>3376942.34688385</v>
      </c>
      <c r="S332" s="39">
        <f t="shared" si="185"/>
        <v>483117.73569851</v>
      </c>
      <c r="T332" s="39">
        <f t="shared" si="186"/>
        <v>3376947.46819348</v>
      </c>
      <c r="U332" s="39">
        <f t="shared" si="187"/>
        <v>483138.438400602</v>
      </c>
      <c r="V332" s="39">
        <f t="shared" si="188"/>
        <v>3376959.19747496</v>
      </c>
      <c r="AI332" t="str">
        <f t="array" ref="AI332">IFERROR(INDEX($L$2:$L$789,SMALL(IF(ISNUMBER(FIND($AH$2,$C$2:$C$789)),ROW($2:$789)-1,4^8),ROW(A331)))&amp;"","")</f>
        <v/>
      </c>
      <c r="AS332" t="str">
        <f>"-text"&amp;" "&amp;D332&amp;","&amp;E332&amp;" "&amp;"10"&amp;" "&amp;"0"&amp;" "&amp;C332</f>
        <v>-text 483119.0614,3376944.0113 10 0 IP178</v>
      </c>
      <c r="AT332" t="str">
        <f t="shared" si="189"/>
        <v>483119.0614,3376944.0113</v>
      </c>
      <c r="AV332">
        <f t="shared" si="203"/>
        <v>454.448</v>
      </c>
      <c r="AX332" t="str">
        <f t="shared" si="190"/>
        <v>pl 28400.4331650092,279 28400.4331650092,400 </v>
      </c>
      <c r="AY332" t="str">
        <f t="shared" si="191"/>
        <v>28400.4331650092,448.648</v>
      </c>
      <c r="AZ332" t="str">
        <f t="shared" si="192"/>
        <v>28400.4331650092,452.894</v>
      </c>
      <c r="BA332" t="str">
        <f t="shared" si="193"/>
        <v>28400.4331650092,454.448</v>
      </c>
      <c r="BB332" t="str">
        <f t="shared" si="194"/>
        <v>-text 28399.4331650092,337 3.5 90 448.648 </v>
      </c>
      <c r="BC332" t="str">
        <f t="shared" si="195"/>
        <v>-text 28399.4331650092,320 3.5 90 454.448 </v>
      </c>
      <c r="BD332" t="str">
        <f t="shared" si="196"/>
        <v>-text 28399.4331650092,306 3.5 90 452.894 </v>
      </c>
      <c r="BE332" t="str">
        <f t="shared" si="197"/>
        <v>-text 28399.4331650092,352 3.5 90 ZG56+800.866 </v>
      </c>
      <c r="BF332" t="str">
        <f t="shared" si="198"/>
        <v>-text 28399.4331650092,280 3.5 90 IP178 </v>
      </c>
      <c r="BG332" t="str">
        <f t="shared" si="199"/>
        <v>-TEXT 28401.4331650092,300 3.5 0 R=80</v>
      </c>
      <c r="BH332" t="str">
        <f t="shared" si="200"/>
        <v>-TEXT 28401.4331650092,295 3.5 0 α=34.21° </v>
      </c>
      <c r="BI332" t="str">
        <f t="shared" si="201"/>
        <v>-TEXT 28401.4331650092,290 3.5 0 T=24.62 </v>
      </c>
      <c r="BJ332" t="str">
        <f t="shared" si="202"/>
        <v>-TEXT 28401.4331650092,285 3.5 0 S=47.77 </v>
      </c>
    </row>
    <row r="333" spans="1:62">
      <c r="A333">
        <v>0</v>
      </c>
      <c r="B333">
        <v>332</v>
      </c>
      <c r="C333" t="s">
        <v>326</v>
      </c>
      <c r="D333">
        <v>483185.922</v>
      </c>
      <c r="E333">
        <v>3376996.4114</v>
      </c>
      <c r="F333">
        <v>80</v>
      </c>
      <c r="G333">
        <f t="shared" si="176"/>
        <v>46.742</v>
      </c>
      <c r="H333">
        <f t="shared" si="177"/>
        <v>34.5710276894754</v>
      </c>
      <c r="I333">
        <f t="shared" si="178"/>
        <v>65.2641439173752</v>
      </c>
      <c r="J333">
        <f t="shared" si="179"/>
        <v>84.9476916248651</v>
      </c>
      <c r="K333" s="40">
        <f t="shared" si="180"/>
        <v>56850.5072236139</v>
      </c>
      <c r="L333" s="40">
        <f t="shared" si="181"/>
        <v>56883.1392955726</v>
      </c>
      <c r="M333" s="40">
        <f t="shared" si="182"/>
        <v>56915.7713675313</v>
      </c>
      <c r="N333">
        <v>452.877</v>
      </c>
      <c r="O333">
        <v>448.631</v>
      </c>
      <c r="P333">
        <v>0.002</v>
      </c>
      <c r="Q333" s="39">
        <f t="shared" si="183"/>
        <v>483158.711847379</v>
      </c>
      <c r="R333" s="39">
        <f t="shared" si="184"/>
        <v>3376975.08621419</v>
      </c>
      <c r="S333" s="39">
        <f t="shared" si="185"/>
        <v>483187.738286288</v>
      </c>
      <c r="T333" s="39">
        <f t="shared" si="186"/>
        <v>3376989.49567205</v>
      </c>
      <c r="U333" s="39">
        <f t="shared" si="187"/>
        <v>483220.099265254</v>
      </c>
      <c r="V333" s="39">
        <f t="shared" si="188"/>
        <v>3376991.20846859</v>
      </c>
      <c r="AI333" t="str">
        <f t="array" ref="AI333">IFERROR(INDEX($L$2:$L$789,SMALL(IF(ISNUMBER(FIND($AH$2,$C$2:$C$789)),ROW($2:$789)-1,4^8),ROW(A332)))&amp;"","")</f>
        <v/>
      </c>
      <c r="AS333" t="str">
        <f>"-text"&amp;" "&amp;D333&amp;","&amp;E333&amp;" "&amp;"10"&amp;" "&amp;"0"&amp;" "&amp;C333</f>
        <v>-text 483185.922,3376996.4114 10 0 IP179</v>
      </c>
      <c r="AT333" t="str">
        <f t="shared" si="189"/>
        <v>483185.922,3376996.4114</v>
      </c>
      <c r="AV333">
        <f t="shared" si="203"/>
        <v>454.431</v>
      </c>
      <c r="AX333" t="str">
        <f t="shared" si="190"/>
        <v>pl 28441.5696477863,279 28441.5696477863,400 </v>
      </c>
      <c r="AY333" t="str">
        <f t="shared" si="191"/>
        <v>28441.5696477863,448.631</v>
      </c>
      <c r="AZ333" t="str">
        <f t="shared" si="192"/>
        <v>28441.5696477863,452.877</v>
      </c>
      <c r="BA333" t="str">
        <f t="shared" si="193"/>
        <v>28441.5696477863,454.431</v>
      </c>
      <c r="BB333" t="str">
        <f t="shared" si="194"/>
        <v>-text 28440.5696477863,337 3.5 90 448.631 </v>
      </c>
      <c r="BC333" t="str">
        <f t="shared" si="195"/>
        <v>-text 28440.5696477863,320 3.5 90 454.431 </v>
      </c>
      <c r="BD333" t="str">
        <f t="shared" si="196"/>
        <v>-text 28440.5696477863,306 3.5 90 452.877 </v>
      </c>
      <c r="BE333" t="str">
        <f t="shared" si="197"/>
        <v>-text 28440.5696477863,352 3.5 90 ZG56+883.139 </v>
      </c>
      <c r="BF333" t="str">
        <f t="shared" si="198"/>
        <v>-text 28440.5696477863,280 3.5 90 IP179 </v>
      </c>
      <c r="BG333" t="str">
        <f t="shared" si="199"/>
        <v>-TEXT 28442.5696477863,300 3.5 0 R=80</v>
      </c>
      <c r="BH333" t="str">
        <f t="shared" si="200"/>
        <v>-TEXT 28442.5696477863,295 3.5 0 α=46.74° </v>
      </c>
      <c r="BI333" t="str">
        <f t="shared" si="201"/>
        <v>-TEXT 28442.5696477863,290 3.5 0 T=34.57 </v>
      </c>
      <c r="BJ333" t="str">
        <f t="shared" si="202"/>
        <v>-TEXT 28442.5696477863,285 3.5 0 S=65.26 </v>
      </c>
    </row>
    <row r="334" spans="1:62">
      <c r="A334">
        <v>0</v>
      </c>
      <c r="B334">
        <v>333</v>
      </c>
      <c r="C334" t="s">
        <v>327</v>
      </c>
      <c r="D334">
        <v>483277.8123</v>
      </c>
      <c r="E334">
        <v>3376982.4226</v>
      </c>
      <c r="F334">
        <v>80</v>
      </c>
      <c r="G334">
        <f t="shared" si="176"/>
        <v>29.82</v>
      </c>
      <c r="H334">
        <f t="shared" si="177"/>
        <v>21.3013059940992</v>
      </c>
      <c r="I334">
        <f t="shared" si="178"/>
        <v>41.6365746355767</v>
      </c>
      <c r="J334">
        <f t="shared" si="179"/>
        <v>92.9489847148565</v>
      </c>
      <c r="K334" s="40">
        <f t="shared" si="180"/>
        <v>56952.8480185625</v>
      </c>
      <c r="L334" s="40">
        <f t="shared" si="181"/>
        <v>56973.6663058803</v>
      </c>
      <c r="M334" s="40">
        <f t="shared" si="182"/>
        <v>56994.4845931981</v>
      </c>
      <c r="N334">
        <v>452.858</v>
      </c>
      <c r="O334">
        <v>448.612</v>
      </c>
      <c r="P334">
        <v>0.001</v>
      </c>
      <c r="Q334" s="39">
        <f t="shared" si="183"/>
        <v>483256.753614914</v>
      </c>
      <c r="R334" s="39">
        <f t="shared" si="184"/>
        <v>3376985.62844146</v>
      </c>
      <c r="S334" s="39">
        <f t="shared" si="185"/>
        <v>483276.697882107</v>
      </c>
      <c r="T334" s="39">
        <f t="shared" si="186"/>
        <v>3376979.86767914</v>
      </c>
      <c r="U334" s="39">
        <f t="shared" si="187"/>
        <v>483294.488355769</v>
      </c>
      <c r="V334" s="39">
        <f t="shared" si="188"/>
        <v>3376969.1691174</v>
      </c>
      <c r="AI334" t="str">
        <f t="array" ref="AI334">IFERROR(INDEX($L$2:$L$789,SMALL(IF(ISNUMBER(FIND($AH$2,$C$2:$C$789)),ROW($2:$789)-1,4^8),ROW(A333)))&amp;"","")</f>
        <v/>
      </c>
      <c r="AS334" t="str">
        <f>"-text"&amp;" "&amp;D334&amp;","&amp;E334&amp;" "&amp;"10"&amp;" "&amp;"0"&amp;" "&amp;C334</f>
        <v>-text 483277.8123,3376982.4226 10 0 IP180</v>
      </c>
      <c r="AT334" t="str">
        <f t="shared" si="189"/>
        <v>483277.8123,3376982.4226</v>
      </c>
      <c r="AV334">
        <f t="shared" si="203"/>
        <v>454.412</v>
      </c>
      <c r="AX334" t="str">
        <f t="shared" si="190"/>
        <v>pl 28486.8331529402,279 28486.8331529402,400 </v>
      </c>
      <c r="AY334" t="str">
        <f t="shared" si="191"/>
        <v>28486.8331529402,448.612</v>
      </c>
      <c r="AZ334" t="str">
        <f t="shared" si="192"/>
        <v>28486.8331529402,452.858</v>
      </c>
      <c r="BA334" t="str">
        <f t="shared" si="193"/>
        <v>28486.8331529402,454.412</v>
      </c>
      <c r="BB334" t="str">
        <f t="shared" si="194"/>
        <v>-text 28485.8331529402,337 3.5 90 448.612 </v>
      </c>
      <c r="BC334" t="str">
        <f t="shared" si="195"/>
        <v>-text 28485.8331529402,320 3.5 90 454.412 </v>
      </c>
      <c r="BD334" t="str">
        <f t="shared" si="196"/>
        <v>-text 28485.8331529402,306 3.5 90 452.858 </v>
      </c>
      <c r="BE334" t="str">
        <f t="shared" si="197"/>
        <v>-text 28485.8331529402,352 3.5 90 ZG56+973.666 </v>
      </c>
      <c r="BF334" t="str">
        <f t="shared" si="198"/>
        <v>-text 28485.8331529402,280 3.5 90 IP180 </v>
      </c>
      <c r="BG334" t="str">
        <f t="shared" si="199"/>
        <v>-TEXT 28487.8331529402,300 3.5 0 R=80</v>
      </c>
      <c r="BH334" t="str">
        <f t="shared" si="200"/>
        <v>-TEXT 28487.8331529402,295 3.5 0 α=29.82° </v>
      </c>
      <c r="BI334" t="str">
        <f t="shared" si="201"/>
        <v>-TEXT 28487.8331529402,290 3.5 0 T=21.30 </v>
      </c>
      <c r="BJ334" t="str">
        <f t="shared" si="202"/>
        <v>-TEXT 28487.8331529402,285 3.5 0 S=41.64 </v>
      </c>
    </row>
    <row r="335" spans="1:62">
      <c r="A335">
        <v>0</v>
      </c>
      <c r="B335">
        <v>334</v>
      </c>
      <c r="C335" t="s">
        <v>328</v>
      </c>
      <c r="D335">
        <v>483353.6469</v>
      </c>
      <c r="E335">
        <v>3376922.1522</v>
      </c>
      <c r="F335">
        <v>80</v>
      </c>
      <c r="G335">
        <f t="shared" si="176"/>
        <v>12.349</v>
      </c>
      <c r="H335">
        <f t="shared" si="177"/>
        <v>8.65475798159592</v>
      </c>
      <c r="I335">
        <f t="shared" si="178"/>
        <v>17.2424567463024</v>
      </c>
      <c r="J335">
        <f t="shared" si="179"/>
        <v>96.8679909637487</v>
      </c>
      <c r="K335" s="40">
        <f t="shared" si="180"/>
        <v>57061.3965201862</v>
      </c>
      <c r="L335" s="40">
        <f t="shared" si="181"/>
        <v>57070.0177485593</v>
      </c>
      <c r="M335" s="40">
        <f t="shared" si="182"/>
        <v>57078.6389769325</v>
      </c>
      <c r="N335">
        <v>452.839</v>
      </c>
      <c r="O335">
        <v>448.593</v>
      </c>
      <c r="P335">
        <v>0.001</v>
      </c>
      <c r="Q335" s="39">
        <f t="shared" si="183"/>
        <v>483346.871389296</v>
      </c>
      <c r="R335" s="39">
        <f t="shared" si="184"/>
        <v>3376927.53711322</v>
      </c>
      <c r="S335" s="39">
        <f t="shared" si="185"/>
        <v>483353.89634111</v>
      </c>
      <c r="T335" s="39">
        <f t="shared" si="186"/>
        <v>3376922.54674752</v>
      </c>
      <c r="U335" s="39">
        <f t="shared" si="187"/>
        <v>483361.417281096</v>
      </c>
      <c r="V335" s="39">
        <f t="shared" si="188"/>
        <v>3376918.34089926</v>
      </c>
      <c r="AI335" t="str">
        <f t="array" ref="AI335">IFERROR(INDEX($L$2:$L$789,SMALL(IF(ISNUMBER(FIND($AH$2,$C$2:$C$789)),ROW($2:$789)-1,4^8),ROW(A334)))&amp;"","")</f>
        <v/>
      </c>
      <c r="AS335" t="str">
        <f>"-text"&amp;" "&amp;D335&amp;","&amp;E335&amp;" "&amp;"10"&amp;" "&amp;"0"&amp;" "&amp;C335</f>
        <v>-text 483353.6469,3376922.1522 10 0 IP181</v>
      </c>
      <c r="AT335" t="str">
        <f t="shared" si="189"/>
        <v>483353.6469,3376922.1522</v>
      </c>
      <c r="AV335">
        <f t="shared" si="203"/>
        <v>454.393</v>
      </c>
      <c r="AX335" t="str">
        <f t="shared" si="190"/>
        <v>pl 28535.0088742797,279 28535.0088742797,400 </v>
      </c>
      <c r="AY335" t="str">
        <f t="shared" si="191"/>
        <v>28535.0088742797,448.593</v>
      </c>
      <c r="AZ335" t="str">
        <f t="shared" si="192"/>
        <v>28535.0088742797,452.839</v>
      </c>
      <c r="BA335" t="str">
        <f t="shared" si="193"/>
        <v>28535.0088742797,454.393</v>
      </c>
      <c r="BB335" t="str">
        <f t="shared" si="194"/>
        <v>-text 28534.0088742797,337 3.5 90 448.593 </v>
      </c>
      <c r="BC335" t="str">
        <f t="shared" si="195"/>
        <v>-text 28534.0088742797,320 3.5 90 454.393 </v>
      </c>
      <c r="BD335" t="str">
        <f t="shared" si="196"/>
        <v>-text 28534.0088742797,306 3.5 90 452.839 </v>
      </c>
      <c r="BE335" t="str">
        <f t="shared" si="197"/>
        <v>-text 28534.0088742797,352 3.5 90 ZG57+070.018 </v>
      </c>
      <c r="BF335" t="str">
        <f t="shared" si="198"/>
        <v>-text 28534.0088742797,280 3.5 90 IP181 </v>
      </c>
      <c r="BG335" t="str">
        <f t="shared" si="199"/>
        <v>-TEXT 28536.0088742797,300 3.5 0 R=80</v>
      </c>
      <c r="BH335" t="str">
        <f t="shared" si="200"/>
        <v>-TEXT 28536.0088742797,295 3.5 0 α=12.35° </v>
      </c>
      <c r="BI335" t="str">
        <f t="shared" si="201"/>
        <v>-TEXT 28536.0088742797,290 3.5 0 T=8.65 </v>
      </c>
      <c r="BJ335" t="str">
        <f t="shared" si="202"/>
        <v>-TEXT 28536.0088742797,285 3.5 0 S=17.24 </v>
      </c>
    </row>
    <row r="336" spans="1:62">
      <c r="A336">
        <v>1</v>
      </c>
      <c r="B336">
        <v>335</v>
      </c>
      <c r="C336" t="str">
        <f>Sheet1!C309</f>
        <v>东岳隧进</v>
      </c>
      <c r="D336">
        <v>483386.9674</v>
      </c>
      <c r="E336">
        <v>3376905.8088</v>
      </c>
      <c r="G336">
        <f t="shared" si="176"/>
        <v>0</v>
      </c>
      <c r="H336">
        <f t="shared" si="177"/>
        <v>0</v>
      </c>
      <c r="I336">
        <f t="shared" si="178"/>
        <v>0</v>
      </c>
      <c r="J336">
        <f t="shared" si="179"/>
        <v>37.1128339500103</v>
      </c>
      <c r="K336" s="40">
        <f t="shared" si="180"/>
        <v>57107.0970529009</v>
      </c>
      <c r="L336" s="40">
        <f t="shared" si="181"/>
        <v>57107.0970529009</v>
      </c>
      <c r="M336" s="40">
        <f t="shared" si="182"/>
        <v>57107.0970529009</v>
      </c>
      <c r="N336">
        <v>452.828</v>
      </c>
      <c r="O336">
        <v>448.603</v>
      </c>
      <c r="P336">
        <v>0</v>
      </c>
      <c r="Q336" s="39">
        <f t="shared" si="183"/>
        <v>483386.9674</v>
      </c>
      <c r="R336" s="39">
        <f t="shared" si="184"/>
        <v>3376905.8088</v>
      </c>
      <c r="S336" s="39" t="str">
        <f t="shared" si="185"/>
        <v> </v>
      </c>
      <c r="T336" s="39" t="str">
        <f t="shared" si="186"/>
        <v> </v>
      </c>
      <c r="U336" s="39" t="str">
        <f t="shared" si="187"/>
        <v> </v>
      </c>
      <c r="V336" s="39" t="str">
        <f t="shared" si="188"/>
        <v> </v>
      </c>
      <c r="AI336" t="str">
        <f t="array" ref="AI336">IFERROR(INDEX($L$2:$L$789,SMALL(IF(ISNUMBER(FIND($AH$2,$C$2:$C$789)),ROW($2:$789)-1,4^8),ROW(A335)))&amp;"","")</f>
        <v/>
      </c>
      <c r="AT336" t="str">
        <f t="shared" si="189"/>
        <v>483386.9674,3376905.8088</v>
      </c>
      <c r="AV336">
        <f t="shared" si="203"/>
        <v>454.103</v>
      </c>
      <c r="AX336" t="str">
        <f t="shared" si="190"/>
        <v>pl 28553.5485264504,279 28553.5485264504,400 </v>
      </c>
      <c r="AY336" t="str">
        <f t="shared" si="191"/>
        <v>28553.5485264504,448.603</v>
      </c>
      <c r="AZ336" t="str">
        <f t="shared" si="192"/>
        <v>28553.5485264504,452.828</v>
      </c>
      <c r="BA336" t="str">
        <f t="shared" si="193"/>
        <v>28553.5485264504,454.103</v>
      </c>
      <c r="BB336" t="str">
        <f t="shared" si="194"/>
        <v>-text 28552.5485264504,337 3.5 90 448.603 </v>
      </c>
      <c r="BC336" t="str">
        <f t="shared" si="195"/>
        <v>-text 28552.5485264504,320 3.5 90 454.103 </v>
      </c>
      <c r="BD336" t="str">
        <f t="shared" si="196"/>
        <v>-text 28552.5485264504,306 3.5 90 452.828 </v>
      </c>
      <c r="BE336" t="str">
        <f t="shared" si="197"/>
        <v>-text 28552.5485264504,352 3.5 90 ZG57+107.097 </v>
      </c>
      <c r="BF336" t="str">
        <f t="shared" si="198"/>
        <v>-text 28552.5485264504,280 3.5 90 东岳隧进 </v>
      </c>
      <c r="BG336" t="str">
        <f t="shared" si="199"/>
        <v/>
      </c>
      <c r="BH336" t="str">
        <f t="shared" si="200"/>
        <v> </v>
      </c>
      <c r="BI336" t="str">
        <f t="shared" si="201"/>
        <v> </v>
      </c>
      <c r="BJ336" t="str">
        <f t="shared" si="202"/>
        <v> </v>
      </c>
    </row>
    <row r="337" spans="1:62">
      <c r="A337">
        <v>1</v>
      </c>
      <c r="B337">
        <v>336</v>
      </c>
      <c r="C337" t="str">
        <f>Sheet1!C310</f>
        <v>东岳隧出</v>
      </c>
      <c r="D337">
        <v>483753.2576</v>
      </c>
      <c r="E337">
        <v>3376726.1468</v>
      </c>
      <c r="G337">
        <f t="shared" si="176"/>
        <v>0</v>
      </c>
      <c r="H337">
        <f t="shared" si="177"/>
        <v>0</v>
      </c>
      <c r="I337">
        <f t="shared" si="178"/>
        <v>0</v>
      </c>
      <c r="J337">
        <f t="shared" si="179"/>
        <v>407.979098557801</v>
      </c>
      <c r="K337" s="40">
        <f t="shared" si="180"/>
        <v>57515.0761514587</v>
      </c>
      <c r="L337" s="40">
        <f t="shared" si="181"/>
        <v>57515.0761514587</v>
      </c>
      <c r="M337" s="40">
        <f t="shared" si="182"/>
        <v>57515.0761514587</v>
      </c>
      <c r="N337">
        <v>452.754</v>
      </c>
      <c r="O337">
        <v>448.529</v>
      </c>
      <c r="P337">
        <v>0</v>
      </c>
      <c r="Q337" s="39">
        <f t="shared" si="183"/>
        <v>483753.2576</v>
      </c>
      <c r="R337" s="39">
        <f t="shared" si="184"/>
        <v>3376726.1468</v>
      </c>
      <c r="S337" s="39" t="str">
        <f t="shared" si="185"/>
        <v> </v>
      </c>
      <c r="T337" s="39" t="str">
        <f t="shared" si="186"/>
        <v> </v>
      </c>
      <c r="U337" s="39" t="str">
        <f t="shared" si="187"/>
        <v> </v>
      </c>
      <c r="V337" s="39" t="str">
        <f t="shared" si="188"/>
        <v> </v>
      </c>
      <c r="AI337" t="str">
        <f t="array" ref="AI337">IFERROR(INDEX($L$2:$L$789,SMALL(IF(ISNUMBER(FIND($AH$2,$C$2:$C$789)),ROW($2:$789)-1,4^8),ROW(A336)))&amp;"","")</f>
        <v/>
      </c>
      <c r="AT337" t="str">
        <f t="shared" si="189"/>
        <v>483753.2576,3376726.1468</v>
      </c>
      <c r="AV337">
        <f t="shared" si="203"/>
        <v>454.029</v>
      </c>
      <c r="AX337" t="str">
        <f t="shared" si="190"/>
        <v>pl 28757.5380757293,279 28757.5380757293,400 </v>
      </c>
      <c r="AY337" t="str">
        <f t="shared" si="191"/>
        <v>28757.5380757293,448.529</v>
      </c>
      <c r="AZ337" t="str">
        <f t="shared" si="192"/>
        <v>28757.5380757293,452.754</v>
      </c>
      <c r="BA337" t="str">
        <f t="shared" si="193"/>
        <v>28757.5380757293,454.029</v>
      </c>
      <c r="BB337" t="str">
        <f t="shared" si="194"/>
        <v>-text 28756.5380757293,337 3.5 90 448.529 </v>
      </c>
      <c r="BC337" t="str">
        <f t="shared" si="195"/>
        <v>-text 28756.5380757293,320 3.5 90 454.029 </v>
      </c>
      <c r="BD337" t="str">
        <f t="shared" si="196"/>
        <v>-text 28756.5380757293,306 3.5 90 452.754 </v>
      </c>
      <c r="BE337" t="str">
        <f t="shared" si="197"/>
        <v>-text 28756.5380757293,352 3.5 90 ZG57+515.076 </v>
      </c>
      <c r="BF337" t="str">
        <f t="shared" si="198"/>
        <v>-text 28756.5380757293,280 3.5 90 东岳隧出 </v>
      </c>
      <c r="BG337" t="str">
        <f t="shared" si="199"/>
        <v/>
      </c>
      <c r="BH337" t="str">
        <f t="shared" si="200"/>
        <v> </v>
      </c>
      <c r="BI337" t="str">
        <f t="shared" si="201"/>
        <v> </v>
      </c>
      <c r="BJ337" t="str">
        <f t="shared" si="202"/>
        <v> </v>
      </c>
    </row>
    <row r="338" spans="1:62">
      <c r="A338">
        <v>0</v>
      </c>
      <c r="B338">
        <v>337</v>
      </c>
      <c r="C338" t="s">
        <v>331</v>
      </c>
      <c r="D338">
        <v>483836.3078</v>
      </c>
      <c r="E338">
        <v>3376685.4114</v>
      </c>
      <c r="F338">
        <v>80</v>
      </c>
      <c r="G338">
        <f t="shared" si="176"/>
        <v>10.971</v>
      </c>
      <c r="H338">
        <f t="shared" si="177"/>
        <v>7.68269082320883</v>
      </c>
      <c r="I338">
        <f t="shared" si="178"/>
        <v>15.3184057789038</v>
      </c>
      <c r="J338">
        <f t="shared" si="179"/>
        <v>92.5024785246835</v>
      </c>
      <c r="K338" s="40">
        <f t="shared" si="180"/>
        <v>57599.8959391602</v>
      </c>
      <c r="L338" s="40">
        <f t="shared" si="181"/>
        <v>57607.5551420496</v>
      </c>
      <c r="M338" s="40">
        <f t="shared" si="182"/>
        <v>57615.2143449391</v>
      </c>
      <c r="N338">
        <v>452.74</v>
      </c>
      <c r="O338">
        <v>448.494</v>
      </c>
      <c r="P338">
        <v>0.001</v>
      </c>
      <c r="Q338" s="39">
        <f t="shared" si="183"/>
        <v>483829.410157693</v>
      </c>
      <c r="R338" s="39">
        <f t="shared" si="184"/>
        <v>3376688.7946335</v>
      </c>
      <c r="S338" s="39">
        <f t="shared" si="185"/>
        <v>483836.114870088</v>
      </c>
      <c r="T338" s="39">
        <f t="shared" si="186"/>
        <v>3376685.09795827</v>
      </c>
      <c r="U338" s="39">
        <f t="shared" si="187"/>
        <v>483842.435489734</v>
      </c>
      <c r="V338" s="39">
        <f t="shared" si="188"/>
        <v>3376680.77727044</v>
      </c>
      <c r="AI338" t="str">
        <f t="array" ref="AI338">IFERROR(INDEX($L$2:$L$789,SMALL(IF(ISNUMBER(FIND($AH$2,$C$2:$C$789)),ROW($2:$789)-1,4^8),ROW(A337)))&amp;"","")</f>
        <v/>
      </c>
      <c r="AS338" t="str">
        <f>"-text"&amp;" "&amp;D338&amp;","&amp;E338&amp;" "&amp;"10"&amp;" "&amp;"0"&amp;" "&amp;C338</f>
        <v>-text 483836.3078,3376685.4114 10 0 IP182</v>
      </c>
      <c r="AT338" t="str">
        <f t="shared" si="189"/>
        <v>483836.3078,3376685.4114</v>
      </c>
      <c r="AV338">
        <f t="shared" si="203"/>
        <v>454.294</v>
      </c>
      <c r="AX338" t="str">
        <f t="shared" si="190"/>
        <v>pl 28803.7775710248,279 28803.7775710248,400 </v>
      </c>
      <c r="AY338" t="str">
        <f t="shared" si="191"/>
        <v>28803.7775710248,448.494</v>
      </c>
      <c r="AZ338" t="str">
        <f t="shared" si="192"/>
        <v>28803.7775710248,452.74</v>
      </c>
      <c r="BA338" t="str">
        <f t="shared" si="193"/>
        <v>28803.7775710248,454.294</v>
      </c>
      <c r="BB338" t="str">
        <f t="shared" si="194"/>
        <v>-text 28802.7775710248,337 3.5 90 448.494 </v>
      </c>
      <c r="BC338" t="str">
        <f t="shared" si="195"/>
        <v>-text 28802.7775710248,320 3.5 90 454.294 </v>
      </c>
      <c r="BD338" t="str">
        <f t="shared" si="196"/>
        <v>-text 28802.7775710248,306 3.5 90 452.740 </v>
      </c>
      <c r="BE338" t="str">
        <f t="shared" si="197"/>
        <v>-text 28802.7775710248,352 3.5 90 ZG57+607.555 </v>
      </c>
      <c r="BF338" t="str">
        <f t="shared" si="198"/>
        <v>-text 28802.7775710248,280 3.5 90 IP182 </v>
      </c>
      <c r="BG338" t="str">
        <f t="shared" si="199"/>
        <v>-TEXT 28804.7775710248,300 3.5 0 R=80</v>
      </c>
      <c r="BH338" t="str">
        <f t="shared" si="200"/>
        <v>-TEXT 28804.7775710248,295 3.5 0 α=10.97° </v>
      </c>
      <c r="BI338" t="str">
        <f t="shared" si="201"/>
        <v>-TEXT 28804.7775710248,290 3.5 0 T=7.68 </v>
      </c>
      <c r="BJ338" t="str">
        <f t="shared" si="202"/>
        <v>-TEXT 28804.7775710248,285 3.5 0 S=15.32 </v>
      </c>
    </row>
    <row r="339" spans="1:62">
      <c r="A339">
        <v>0</v>
      </c>
      <c r="B339">
        <v>338</v>
      </c>
      <c r="C339" t="s">
        <v>332</v>
      </c>
      <c r="D339">
        <v>483975.179</v>
      </c>
      <c r="E339">
        <v>3376580.3886</v>
      </c>
      <c r="F339">
        <v>80</v>
      </c>
      <c r="G339">
        <f t="shared" si="176"/>
        <v>16.389</v>
      </c>
      <c r="H339">
        <f t="shared" si="177"/>
        <v>11.5203372995479</v>
      </c>
      <c r="I339">
        <f t="shared" si="178"/>
        <v>22.8833608887481</v>
      </c>
      <c r="J339">
        <f t="shared" si="179"/>
        <v>174.112029191728</v>
      </c>
      <c r="K339" s="40">
        <f t="shared" si="180"/>
        <v>57770.123346008</v>
      </c>
      <c r="L339" s="40">
        <f t="shared" si="181"/>
        <v>57781.5650264524</v>
      </c>
      <c r="M339" s="40">
        <f t="shared" si="182"/>
        <v>57793.0067068968</v>
      </c>
      <c r="N339">
        <v>452.707</v>
      </c>
      <c r="O339">
        <v>448.461</v>
      </c>
      <c r="P339">
        <v>0.001</v>
      </c>
      <c r="Q339" s="39">
        <f t="shared" si="183"/>
        <v>483965.990415658</v>
      </c>
      <c r="R339" s="39">
        <f t="shared" si="184"/>
        <v>3376587.33756318</v>
      </c>
      <c r="S339" s="39">
        <f t="shared" si="185"/>
        <v>483974.592497697</v>
      </c>
      <c r="T339" s="39">
        <f t="shared" si="186"/>
        <v>3376579.80807029</v>
      </c>
      <c r="U339" s="39">
        <f t="shared" si="187"/>
        <v>483982.033551603</v>
      </c>
      <c r="V339" s="39">
        <f t="shared" si="188"/>
        <v>3376571.1293725</v>
      </c>
      <c r="AI339" t="str">
        <f t="array" ref="AI339">IFERROR(INDEX($L$2:$L$789,SMALL(IF(ISNUMBER(FIND($AH$2,$C$2:$C$789)),ROW($2:$789)-1,4^8),ROW(A338)))&amp;"","")</f>
        <v/>
      </c>
      <c r="AS339" t="str">
        <f>"-text"&amp;" "&amp;D339&amp;","&amp;E339&amp;" "&amp;"10"&amp;" "&amp;"0"&amp;" "&amp;C339</f>
        <v>-text 483975.179,3376580.3886 10 0 IP183</v>
      </c>
      <c r="AT339" t="str">
        <f t="shared" si="189"/>
        <v>483975.179,3376580.3886</v>
      </c>
      <c r="AV339">
        <f t="shared" si="203"/>
        <v>454.261</v>
      </c>
      <c r="AX339" t="str">
        <f t="shared" si="190"/>
        <v>pl 28890.7825132262,279 28890.7825132262,400 </v>
      </c>
      <c r="AY339" t="str">
        <f t="shared" si="191"/>
        <v>28890.7825132262,448.461</v>
      </c>
      <c r="AZ339" t="str">
        <f t="shared" si="192"/>
        <v>28890.7825132262,452.707</v>
      </c>
      <c r="BA339" t="str">
        <f t="shared" si="193"/>
        <v>28890.7825132262,454.261</v>
      </c>
      <c r="BB339" t="str">
        <f t="shared" si="194"/>
        <v>-text 28889.7825132262,337 3.5 90 448.461 </v>
      </c>
      <c r="BC339" t="str">
        <f t="shared" si="195"/>
        <v>-text 28889.7825132262,320 3.5 90 454.261 </v>
      </c>
      <c r="BD339" t="str">
        <f t="shared" si="196"/>
        <v>-text 28889.7825132262,306 3.5 90 452.707 </v>
      </c>
      <c r="BE339" t="str">
        <f t="shared" si="197"/>
        <v>-text 28889.7825132262,352 3.5 90 ZG57+781.565 </v>
      </c>
      <c r="BF339" t="str">
        <f t="shared" si="198"/>
        <v>-text 28889.7825132262,280 3.5 90 IP183 </v>
      </c>
      <c r="BG339" t="str">
        <f t="shared" si="199"/>
        <v>-TEXT 28891.7825132262,300 3.5 0 R=80</v>
      </c>
      <c r="BH339" t="str">
        <f t="shared" si="200"/>
        <v>-TEXT 28891.7825132262,295 3.5 0 α=16.39° </v>
      </c>
      <c r="BI339" t="str">
        <f t="shared" si="201"/>
        <v>-TEXT 28891.7825132262,290 3.5 0 T=11.52 </v>
      </c>
      <c r="BJ339" t="str">
        <f t="shared" si="202"/>
        <v>-TEXT 28891.7825132262,285 3.5 0 S=22.88 </v>
      </c>
    </row>
    <row r="340" spans="1:62">
      <c r="A340">
        <v>2</v>
      </c>
      <c r="B340">
        <v>339</v>
      </c>
      <c r="C340" t="str">
        <f>Sheet1!C313</f>
        <v>刘家沟渡槽进</v>
      </c>
      <c r="D340">
        <v>484045.5253</v>
      </c>
      <c r="E340">
        <v>3376485.3638</v>
      </c>
      <c r="G340">
        <f t="shared" si="176"/>
        <v>0</v>
      </c>
      <c r="H340">
        <f t="shared" si="177"/>
        <v>0</v>
      </c>
      <c r="I340">
        <f t="shared" si="178"/>
        <v>0</v>
      </c>
      <c r="J340">
        <f t="shared" si="179"/>
        <v>118.22992234952</v>
      </c>
      <c r="K340" s="40">
        <f t="shared" si="180"/>
        <v>57899.7162919468</v>
      </c>
      <c r="L340" s="40">
        <f t="shared" si="181"/>
        <v>57899.7162919468</v>
      </c>
      <c r="M340" s="40">
        <f t="shared" si="182"/>
        <v>57899.7162919468</v>
      </c>
      <c r="N340">
        <v>452.618</v>
      </c>
      <c r="O340">
        <v>448.864</v>
      </c>
      <c r="P340">
        <v>0</v>
      </c>
      <c r="Q340" s="39">
        <f t="shared" si="183"/>
        <v>484045.5253</v>
      </c>
      <c r="R340" s="39">
        <f t="shared" si="184"/>
        <v>3376485.3638</v>
      </c>
      <c r="S340" s="39" t="str">
        <f t="shared" si="185"/>
        <v> </v>
      </c>
      <c r="T340" s="39" t="str">
        <f t="shared" si="186"/>
        <v> </v>
      </c>
      <c r="U340" s="39" t="str">
        <f t="shared" si="187"/>
        <v> </v>
      </c>
      <c r="V340" s="39" t="str">
        <f t="shared" si="188"/>
        <v> </v>
      </c>
      <c r="AI340" t="str">
        <f t="array" ref="AI340">IFERROR(INDEX($L$2:$L$789,SMALL(IF(ISNUMBER(FIND($AH$2,$C$2:$C$789)),ROW($2:$789)-1,4^8),ROW(A339)))&amp;"","")</f>
        <v/>
      </c>
      <c r="AT340" t="str">
        <f t="shared" si="189"/>
        <v>484045.5253,3376485.3638</v>
      </c>
      <c r="AV340">
        <f t="shared" si="203"/>
        <v>453.364</v>
      </c>
      <c r="AX340" t="str">
        <f t="shared" si="190"/>
        <v>pl 28949.8581459734,279 28949.8581459734,400 </v>
      </c>
      <c r="AY340" t="str">
        <f t="shared" si="191"/>
        <v>28949.8581459734,448.864</v>
      </c>
      <c r="AZ340" t="str">
        <f t="shared" si="192"/>
        <v>28949.8581459734,452.618</v>
      </c>
      <c r="BA340" t="str">
        <f t="shared" si="193"/>
        <v>28949.8581459734,453.364</v>
      </c>
      <c r="BB340" t="str">
        <f t="shared" si="194"/>
        <v>-text 28948.8581459734,337 3.5 90 448.864 </v>
      </c>
      <c r="BC340" t="str">
        <f t="shared" si="195"/>
        <v>-text 28948.8581459734,320 3.5 90 453.364 </v>
      </c>
      <c r="BD340" t="str">
        <f t="shared" si="196"/>
        <v>-text 28948.8581459734,306 3.5 90 452.618 </v>
      </c>
      <c r="BE340" t="str">
        <f t="shared" si="197"/>
        <v>-text 28948.8581459734,352 3.5 90 ZG57+899.716 </v>
      </c>
      <c r="BF340" t="str">
        <f t="shared" si="198"/>
        <v>-text 28948.8581459734,280 3.5 90 刘家沟渡槽进 </v>
      </c>
      <c r="BG340" t="str">
        <f t="shared" si="199"/>
        <v/>
      </c>
      <c r="BH340" t="str">
        <f t="shared" si="200"/>
        <v> </v>
      </c>
      <c r="BI340" t="str">
        <f t="shared" si="201"/>
        <v> </v>
      </c>
      <c r="BJ340" t="str">
        <f t="shared" si="202"/>
        <v> </v>
      </c>
    </row>
    <row r="341" spans="1:62">
      <c r="A341">
        <v>2</v>
      </c>
      <c r="B341">
        <v>340</v>
      </c>
      <c r="C341" t="str">
        <f>Sheet1!C314</f>
        <v>刘家沟渡槽出</v>
      </c>
      <c r="D341">
        <v>484201.3867</v>
      </c>
      <c r="E341">
        <v>3376274.8242</v>
      </c>
      <c r="G341">
        <f t="shared" si="176"/>
        <v>0</v>
      </c>
      <c r="H341">
        <f t="shared" si="177"/>
        <v>0</v>
      </c>
      <c r="I341">
        <f t="shared" si="178"/>
        <v>0</v>
      </c>
      <c r="J341">
        <f t="shared" si="179"/>
        <v>261.953620280438</v>
      </c>
      <c r="K341" s="40">
        <f t="shared" si="180"/>
        <v>58161.6699122272</v>
      </c>
      <c r="L341" s="40">
        <f t="shared" si="181"/>
        <v>58161.6699122272</v>
      </c>
      <c r="M341" s="40">
        <f t="shared" si="182"/>
        <v>58161.6699122272</v>
      </c>
      <c r="N341">
        <v>452.531</v>
      </c>
      <c r="O341">
        <v>448.777</v>
      </c>
      <c r="P341">
        <v>0</v>
      </c>
      <c r="Q341" s="39">
        <f t="shared" si="183"/>
        <v>484201.3867</v>
      </c>
      <c r="R341" s="39">
        <f t="shared" si="184"/>
        <v>3376274.8242</v>
      </c>
      <c r="S341" s="39" t="str">
        <f t="shared" si="185"/>
        <v> </v>
      </c>
      <c r="T341" s="39" t="str">
        <f t="shared" si="186"/>
        <v> </v>
      </c>
      <c r="U341" s="39" t="str">
        <f t="shared" si="187"/>
        <v> </v>
      </c>
      <c r="V341" s="39" t="str">
        <f t="shared" si="188"/>
        <v> </v>
      </c>
      <c r="AI341" t="str">
        <f t="array" ref="AI341">IFERROR(INDEX($L$2:$L$789,SMALL(IF(ISNUMBER(FIND($AH$2,$C$2:$C$789)),ROW($2:$789)-1,4^8),ROW(A340)))&amp;"","")</f>
        <v/>
      </c>
      <c r="AT341" t="str">
        <f t="shared" si="189"/>
        <v>484201.3867,3376274.8242</v>
      </c>
      <c r="AV341">
        <f t="shared" si="203"/>
        <v>453.277</v>
      </c>
      <c r="AX341" t="str">
        <f t="shared" si="190"/>
        <v>pl 29080.8349561136,279 29080.8349561136,400 </v>
      </c>
      <c r="AY341" t="str">
        <f t="shared" si="191"/>
        <v>29080.8349561136,448.777</v>
      </c>
      <c r="AZ341" t="str">
        <f t="shared" si="192"/>
        <v>29080.8349561136,452.531</v>
      </c>
      <c r="BA341" t="str">
        <f t="shared" si="193"/>
        <v>29080.8349561136,453.277</v>
      </c>
      <c r="BB341" t="str">
        <f t="shared" si="194"/>
        <v>-text 29079.8349561136,337 3.5 90 448.777 </v>
      </c>
      <c r="BC341" t="str">
        <f t="shared" si="195"/>
        <v>-text 29079.8349561136,320 3.5 90 453.277 </v>
      </c>
      <c r="BD341" t="str">
        <f t="shared" si="196"/>
        <v>-text 29079.8349561136,306 3.5 90 452.531 </v>
      </c>
      <c r="BE341" t="str">
        <f t="shared" si="197"/>
        <v>-text 29079.8349561136,352 3.5 90 ZG58+161.670 </v>
      </c>
      <c r="BF341" t="str">
        <f t="shared" si="198"/>
        <v>-text 29079.8349561136,280 3.5 90 刘家沟渡槽出 </v>
      </c>
      <c r="BG341" t="str">
        <f t="shared" si="199"/>
        <v/>
      </c>
      <c r="BH341" t="str">
        <f t="shared" si="200"/>
        <v> </v>
      </c>
      <c r="BI341" t="str">
        <f t="shared" si="201"/>
        <v> </v>
      </c>
      <c r="BJ341" t="str">
        <f t="shared" si="202"/>
        <v> </v>
      </c>
    </row>
    <row r="342" spans="1:62">
      <c r="A342">
        <v>0</v>
      </c>
      <c r="B342">
        <v>341</v>
      </c>
      <c r="C342" t="s">
        <v>335</v>
      </c>
      <c r="D342">
        <v>484221.3032</v>
      </c>
      <c r="E342">
        <v>3376247.9207</v>
      </c>
      <c r="F342">
        <v>80</v>
      </c>
      <c r="G342">
        <f t="shared" si="176"/>
        <v>18.537</v>
      </c>
      <c r="H342">
        <f t="shared" si="177"/>
        <v>13.0553447364276</v>
      </c>
      <c r="I342">
        <f t="shared" si="178"/>
        <v>25.8825346753751</v>
      </c>
      <c r="J342">
        <f t="shared" si="179"/>
        <v>33.4733518564067</v>
      </c>
      <c r="K342" s="40">
        <f t="shared" si="180"/>
        <v>58182.0879193472</v>
      </c>
      <c r="L342" s="40">
        <f t="shared" si="181"/>
        <v>58195.0291866849</v>
      </c>
      <c r="M342" s="40">
        <f t="shared" si="182"/>
        <v>58207.9704540226</v>
      </c>
      <c r="N342">
        <v>452.56</v>
      </c>
      <c r="O342">
        <v>448.314</v>
      </c>
      <c r="P342">
        <v>0.001</v>
      </c>
      <c r="Q342" s="39">
        <f t="shared" si="183"/>
        <v>484213.535326183</v>
      </c>
      <c r="R342" s="39">
        <f t="shared" si="184"/>
        <v>3376258.41365776</v>
      </c>
      <c r="S342" s="39">
        <f t="shared" si="185"/>
        <v>484222.041250129</v>
      </c>
      <c r="T342" s="39">
        <f t="shared" si="186"/>
        <v>3376248.67915046</v>
      </c>
      <c r="U342" s="39">
        <f t="shared" si="187"/>
        <v>484232.004002978</v>
      </c>
      <c r="V342" s="39">
        <f t="shared" si="188"/>
        <v>3376240.44174006</v>
      </c>
      <c r="AI342" t="str">
        <f t="array" ref="AI342">IFERROR(INDEX($L$2:$L$789,SMALL(IF(ISNUMBER(FIND($AH$2,$C$2:$C$789)),ROW($2:$789)-1,4^8),ROW(A341)))&amp;"","")</f>
        <v/>
      </c>
      <c r="AS342" t="str">
        <f>"-text"&amp;" "&amp;D342&amp;","&amp;E342&amp;" "&amp;"10"&amp;" "&amp;"0"&amp;" "&amp;C342</f>
        <v>-text 484221.3032,3376247.9207 10 0 IP184</v>
      </c>
      <c r="AT342" t="str">
        <f t="shared" si="189"/>
        <v>484221.3032,3376247.9207</v>
      </c>
      <c r="AV342">
        <f t="shared" si="203"/>
        <v>454.114</v>
      </c>
      <c r="AX342" t="str">
        <f t="shared" si="190"/>
        <v>pl 29097.5145933424,279 29097.5145933424,400 </v>
      </c>
      <c r="AY342" t="str">
        <f t="shared" si="191"/>
        <v>29097.5145933424,448.314</v>
      </c>
      <c r="AZ342" t="str">
        <f t="shared" si="192"/>
        <v>29097.5145933424,452.56</v>
      </c>
      <c r="BA342" t="str">
        <f t="shared" si="193"/>
        <v>29097.5145933424,454.114</v>
      </c>
      <c r="BB342" t="str">
        <f t="shared" si="194"/>
        <v>-text 29096.5145933424,337 3.5 90 448.314 </v>
      </c>
      <c r="BC342" t="str">
        <f t="shared" si="195"/>
        <v>-text 29096.5145933424,320 3.5 90 454.114 </v>
      </c>
      <c r="BD342" t="str">
        <f t="shared" si="196"/>
        <v>-text 29096.5145933424,306 3.5 90 452.560 </v>
      </c>
      <c r="BE342" t="str">
        <f t="shared" si="197"/>
        <v>-text 29096.5145933424,352 3.5 90 ZG58+195.029 </v>
      </c>
      <c r="BF342" t="str">
        <f t="shared" si="198"/>
        <v>-text 29096.5145933424,280 3.5 90 IP184 </v>
      </c>
      <c r="BG342" t="str">
        <f t="shared" si="199"/>
        <v>-TEXT 29098.5145933424,300 3.5 0 R=80</v>
      </c>
      <c r="BH342" t="str">
        <f t="shared" si="200"/>
        <v>-TEXT 29098.5145933424,295 3.5 0 α=18.54° </v>
      </c>
      <c r="BI342" t="str">
        <f t="shared" si="201"/>
        <v>-TEXT 29098.5145933424,290 3.5 0 T=13.06 </v>
      </c>
      <c r="BJ342" t="str">
        <f t="shared" si="202"/>
        <v>-TEXT 29098.5145933424,285 3.5 0 S=25.88 </v>
      </c>
    </row>
    <row r="343" spans="1:62">
      <c r="A343">
        <v>0</v>
      </c>
      <c r="B343">
        <v>342</v>
      </c>
      <c r="C343" t="s">
        <v>336</v>
      </c>
      <c r="D343">
        <v>484292.5703</v>
      </c>
      <c r="E343">
        <v>3376198.111</v>
      </c>
      <c r="F343">
        <v>80</v>
      </c>
      <c r="G343">
        <f t="shared" si="176"/>
        <v>19.845</v>
      </c>
      <c r="H343">
        <f t="shared" si="177"/>
        <v>13.9946101878067</v>
      </c>
      <c r="I343">
        <f t="shared" si="178"/>
        <v>27.708847204662</v>
      </c>
      <c r="J343">
        <f t="shared" si="179"/>
        <v>86.9482935802052</v>
      </c>
      <c r="K343" s="40">
        <f t="shared" si="180"/>
        <v>58267.8687926785</v>
      </c>
      <c r="L343" s="40">
        <f t="shared" si="181"/>
        <v>58281.7232162809</v>
      </c>
      <c r="M343" s="40">
        <f t="shared" si="182"/>
        <v>58295.5776398832</v>
      </c>
      <c r="N343">
        <v>452.543</v>
      </c>
      <c r="O343">
        <v>448.297</v>
      </c>
      <c r="P343">
        <v>0.001</v>
      </c>
      <c r="Q343" s="39">
        <f t="shared" si="183"/>
        <v>484281.099628838</v>
      </c>
      <c r="R343" s="39">
        <f t="shared" si="184"/>
        <v>3376206.12803296</v>
      </c>
      <c r="S343" s="39">
        <f t="shared" si="185"/>
        <v>484293.084250435</v>
      </c>
      <c r="T343" s="39">
        <f t="shared" si="186"/>
        <v>3376199.21178381</v>
      </c>
      <c r="U343" s="39">
        <f t="shared" si="187"/>
        <v>484306.081397288</v>
      </c>
      <c r="V343" s="39">
        <f t="shared" si="188"/>
        <v>3376194.46417064</v>
      </c>
      <c r="AI343" t="str">
        <f t="array" ref="AI343">IFERROR(INDEX($L$2:$L$789,SMALL(IF(ISNUMBER(FIND($AH$2,$C$2:$C$789)),ROW($2:$789)-1,4^8),ROW(A342)))&amp;"","")</f>
        <v/>
      </c>
      <c r="AS343" t="str">
        <f>"-text"&amp;" "&amp;D343&amp;","&amp;E343&amp;" "&amp;"10"&amp;" "&amp;"0"&amp;" "&amp;C343</f>
        <v>-text 484292.5703,3376198.111 10 0 IP185</v>
      </c>
      <c r="AT343" t="str">
        <f t="shared" si="189"/>
        <v>484292.5703,3376198.111</v>
      </c>
      <c r="AV343">
        <f t="shared" si="203"/>
        <v>454.097</v>
      </c>
      <c r="AX343" t="str">
        <f t="shared" si="190"/>
        <v>pl 29140.8616081404,279 29140.8616081404,400 </v>
      </c>
      <c r="AY343" t="str">
        <f t="shared" si="191"/>
        <v>29140.8616081404,448.297</v>
      </c>
      <c r="AZ343" t="str">
        <f t="shared" si="192"/>
        <v>29140.8616081404,452.543</v>
      </c>
      <c r="BA343" t="str">
        <f t="shared" si="193"/>
        <v>29140.8616081404,454.097</v>
      </c>
      <c r="BB343" t="str">
        <f t="shared" si="194"/>
        <v>-text 29139.8616081404,337 3.5 90 448.297 </v>
      </c>
      <c r="BC343" t="str">
        <f t="shared" si="195"/>
        <v>-text 29139.8616081404,320 3.5 90 454.097 </v>
      </c>
      <c r="BD343" t="str">
        <f t="shared" si="196"/>
        <v>-text 29139.8616081404,306 3.5 90 452.543 </v>
      </c>
      <c r="BE343" t="str">
        <f t="shared" si="197"/>
        <v>-text 29139.8616081404,352 3.5 90 ZG58+281.723 </v>
      </c>
      <c r="BF343" t="str">
        <f t="shared" si="198"/>
        <v>-text 29139.8616081404,280 3.5 90 IP185 </v>
      </c>
      <c r="BG343" t="str">
        <f t="shared" si="199"/>
        <v>-TEXT 29141.8616081404,300 3.5 0 R=80</v>
      </c>
      <c r="BH343" t="str">
        <f t="shared" si="200"/>
        <v>-TEXT 29141.8616081404,295 3.5 0 α=19.85° </v>
      </c>
      <c r="BI343" t="str">
        <f t="shared" si="201"/>
        <v>-TEXT 29141.8616081404,290 3.5 0 T=13.99 </v>
      </c>
      <c r="BJ343" t="str">
        <f t="shared" si="202"/>
        <v>-TEXT 29141.8616081404,285 3.5 0 S=27.71 </v>
      </c>
    </row>
    <row r="344" spans="1:62">
      <c r="A344">
        <v>1</v>
      </c>
      <c r="B344">
        <v>343</v>
      </c>
      <c r="C344" t="str">
        <f>Sheet1!C317</f>
        <v>祠堂湾隧进</v>
      </c>
      <c r="D344">
        <v>484413.323</v>
      </c>
      <c r="E344">
        <v>3376165.5182</v>
      </c>
      <c r="G344">
        <f t="shared" si="176"/>
        <v>0</v>
      </c>
      <c r="H344">
        <f t="shared" si="177"/>
        <v>0</v>
      </c>
      <c r="I344">
        <f t="shared" si="178"/>
        <v>0</v>
      </c>
      <c r="J344">
        <f t="shared" si="179"/>
        <v>125.073998773258</v>
      </c>
      <c r="K344" s="40">
        <f t="shared" si="180"/>
        <v>58406.6570284686</v>
      </c>
      <c r="L344" s="40">
        <f t="shared" si="181"/>
        <v>58406.6570284686</v>
      </c>
      <c r="M344" s="40">
        <f t="shared" si="182"/>
        <v>58406.6570284686</v>
      </c>
      <c r="N344">
        <v>452.516</v>
      </c>
      <c r="O344">
        <v>448.291</v>
      </c>
      <c r="P344">
        <v>0</v>
      </c>
      <c r="Q344" s="39">
        <f t="shared" si="183"/>
        <v>484413.323</v>
      </c>
      <c r="R344" s="39">
        <f t="shared" si="184"/>
        <v>3376165.5182</v>
      </c>
      <c r="S344" s="39" t="str">
        <f t="shared" si="185"/>
        <v> </v>
      </c>
      <c r="T344" s="39" t="str">
        <f t="shared" si="186"/>
        <v> </v>
      </c>
      <c r="U344" s="39" t="str">
        <f t="shared" si="187"/>
        <v> </v>
      </c>
      <c r="V344" s="39" t="str">
        <f t="shared" si="188"/>
        <v> </v>
      </c>
      <c r="AI344" t="str">
        <f t="array" ref="AI344">IFERROR(INDEX($L$2:$L$789,SMALL(IF(ISNUMBER(FIND($AH$2,$C$2:$C$789)),ROW($2:$789)-1,4^8),ROW(A343)))&amp;"","")</f>
        <v/>
      </c>
      <c r="AT344" t="str">
        <f t="shared" si="189"/>
        <v>484413.323,3376165.5182</v>
      </c>
      <c r="AV344">
        <f t="shared" si="203"/>
        <v>453.791</v>
      </c>
      <c r="AX344" t="str">
        <f t="shared" si="190"/>
        <v>pl 29203.3285142343,279 29203.3285142343,400 </v>
      </c>
      <c r="AY344" t="str">
        <f t="shared" si="191"/>
        <v>29203.3285142343,448.291</v>
      </c>
      <c r="AZ344" t="str">
        <f t="shared" si="192"/>
        <v>29203.3285142343,452.516</v>
      </c>
      <c r="BA344" t="str">
        <f t="shared" si="193"/>
        <v>29203.3285142343,453.791</v>
      </c>
      <c r="BB344" t="str">
        <f t="shared" si="194"/>
        <v>-text 29202.3285142343,337 3.5 90 448.291 </v>
      </c>
      <c r="BC344" t="str">
        <f t="shared" si="195"/>
        <v>-text 29202.3285142343,320 3.5 90 453.791 </v>
      </c>
      <c r="BD344" t="str">
        <f t="shared" si="196"/>
        <v>-text 29202.3285142343,306 3.5 90 452.516 </v>
      </c>
      <c r="BE344" t="str">
        <f t="shared" si="197"/>
        <v>-text 29202.3285142343,352 3.5 90 ZG58+406.657 </v>
      </c>
      <c r="BF344" t="str">
        <f t="shared" si="198"/>
        <v>-text 29202.3285142343,280 3.5 90 祠堂湾隧进 </v>
      </c>
      <c r="BG344" t="str">
        <f t="shared" si="199"/>
        <v/>
      </c>
      <c r="BH344" t="str">
        <f t="shared" si="200"/>
        <v> </v>
      </c>
      <c r="BI344" t="str">
        <f t="shared" si="201"/>
        <v> </v>
      </c>
      <c r="BJ344" t="str">
        <f t="shared" si="202"/>
        <v> </v>
      </c>
    </row>
    <row r="345" spans="1:62">
      <c r="A345">
        <v>1</v>
      </c>
      <c r="B345">
        <v>344</v>
      </c>
      <c r="C345" t="str">
        <f>Sheet1!C318</f>
        <v>祠堂湾隧出</v>
      </c>
      <c r="D345">
        <v>484826.9602</v>
      </c>
      <c r="E345">
        <v>3376053.872</v>
      </c>
      <c r="G345">
        <f t="shared" si="176"/>
        <v>0</v>
      </c>
      <c r="H345">
        <f t="shared" si="177"/>
        <v>0</v>
      </c>
      <c r="I345">
        <f t="shared" si="178"/>
        <v>0</v>
      </c>
      <c r="J345">
        <f t="shared" si="179"/>
        <v>428.439735783509</v>
      </c>
      <c r="K345" s="40">
        <f t="shared" si="180"/>
        <v>58835.0967642521</v>
      </c>
      <c r="L345" s="40">
        <f t="shared" si="181"/>
        <v>58835.0967642521</v>
      </c>
      <c r="M345" s="40">
        <f t="shared" si="182"/>
        <v>58835.0967642521</v>
      </c>
      <c r="N345">
        <v>452.438</v>
      </c>
      <c r="O345">
        <v>448.213</v>
      </c>
      <c r="P345">
        <v>0</v>
      </c>
      <c r="Q345" s="39">
        <f t="shared" si="183"/>
        <v>484826.9602</v>
      </c>
      <c r="R345" s="39">
        <f t="shared" si="184"/>
        <v>3376053.872</v>
      </c>
      <c r="S345" s="39" t="str">
        <f t="shared" si="185"/>
        <v> </v>
      </c>
      <c r="T345" s="39" t="str">
        <f t="shared" si="186"/>
        <v> </v>
      </c>
      <c r="U345" s="39" t="str">
        <f t="shared" si="187"/>
        <v> </v>
      </c>
      <c r="V345" s="39" t="str">
        <f t="shared" si="188"/>
        <v> </v>
      </c>
      <c r="AI345" t="str">
        <f t="array" ref="AI345">IFERROR(INDEX($L$2:$L$789,SMALL(IF(ISNUMBER(FIND($AH$2,$C$2:$C$789)),ROW($2:$789)-1,4^8),ROW(A344)))&amp;"","")</f>
        <v/>
      </c>
      <c r="AT345" t="str">
        <f t="shared" si="189"/>
        <v>484826.9602,3376053.872</v>
      </c>
      <c r="AV345">
        <f t="shared" si="203"/>
        <v>453.713</v>
      </c>
      <c r="AX345" t="str">
        <f t="shared" si="190"/>
        <v>pl 29417.5483821261,279 29417.5483821261,400 </v>
      </c>
      <c r="AY345" t="str">
        <f t="shared" si="191"/>
        <v>29417.5483821261,448.213</v>
      </c>
      <c r="AZ345" t="str">
        <f t="shared" si="192"/>
        <v>29417.5483821261,452.438</v>
      </c>
      <c r="BA345" t="str">
        <f t="shared" si="193"/>
        <v>29417.5483821261,453.713</v>
      </c>
      <c r="BB345" t="str">
        <f t="shared" si="194"/>
        <v>-text 29416.5483821261,337 3.5 90 448.213 </v>
      </c>
      <c r="BC345" t="str">
        <f t="shared" si="195"/>
        <v>-text 29416.5483821261,320 3.5 90 453.713 </v>
      </c>
      <c r="BD345" t="str">
        <f t="shared" si="196"/>
        <v>-text 29416.5483821261,306 3.5 90 452.438 </v>
      </c>
      <c r="BE345" t="str">
        <f t="shared" si="197"/>
        <v>-text 29416.5483821261,352 3.5 90 ZG58+835.097 </v>
      </c>
      <c r="BF345" t="str">
        <f t="shared" si="198"/>
        <v>-text 29416.5483821261,280 3.5 90 祠堂湾隧出 </v>
      </c>
      <c r="BG345" t="str">
        <f t="shared" si="199"/>
        <v/>
      </c>
      <c r="BH345" t="str">
        <f t="shared" si="200"/>
        <v> </v>
      </c>
      <c r="BI345" t="str">
        <f t="shared" si="201"/>
        <v> </v>
      </c>
      <c r="BJ345" t="str">
        <f t="shared" si="202"/>
        <v> </v>
      </c>
    </row>
    <row r="346" spans="1:62">
      <c r="A346">
        <v>2</v>
      </c>
      <c r="B346">
        <v>345</v>
      </c>
      <c r="C346" t="str">
        <f>Sheet1!C319</f>
        <v>叶家沟渡槽进</v>
      </c>
      <c r="D346">
        <v>484858.2439</v>
      </c>
      <c r="E346">
        <v>3376045.428</v>
      </c>
      <c r="G346">
        <f t="shared" si="176"/>
        <v>0</v>
      </c>
      <c r="H346">
        <f t="shared" si="177"/>
        <v>0</v>
      </c>
      <c r="I346">
        <f t="shared" si="178"/>
        <v>0</v>
      </c>
      <c r="J346">
        <f t="shared" si="179"/>
        <v>32.4032563439862</v>
      </c>
      <c r="K346" s="40">
        <f t="shared" si="180"/>
        <v>58867.5000205961</v>
      </c>
      <c r="L346" s="40">
        <f t="shared" si="181"/>
        <v>58867.5000205961</v>
      </c>
      <c r="M346" s="40">
        <f t="shared" si="182"/>
        <v>58867.5000205961</v>
      </c>
      <c r="N346">
        <v>452.369</v>
      </c>
      <c r="O346">
        <v>448.615</v>
      </c>
      <c r="P346">
        <v>0</v>
      </c>
      <c r="Q346" s="39">
        <f t="shared" si="183"/>
        <v>484858.2439</v>
      </c>
      <c r="R346" s="39">
        <f t="shared" si="184"/>
        <v>3376045.428</v>
      </c>
      <c r="S346" s="39" t="str">
        <f t="shared" si="185"/>
        <v> </v>
      </c>
      <c r="T346" s="39" t="str">
        <f t="shared" si="186"/>
        <v> </v>
      </c>
      <c r="U346" s="39" t="str">
        <f t="shared" si="187"/>
        <v> </v>
      </c>
      <c r="V346" s="39" t="str">
        <f t="shared" si="188"/>
        <v> </v>
      </c>
      <c r="AI346" t="str">
        <f t="array" ref="AI346">IFERROR(INDEX($L$2:$L$789,SMALL(IF(ISNUMBER(FIND($AH$2,$C$2:$C$789)),ROW($2:$789)-1,4^8),ROW(A345)))&amp;"","")</f>
        <v/>
      </c>
      <c r="AT346" t="str">
        <f t="shared" si="189"/>
        <v>484858.2439,3376045.428</v>
      </c>
      <c r="AV346">
        <f t="shared" si="203"/>
        <v>453.115</v>
      </c>
      <c r="AX346" t="str">
        <f t="shared" si="190"/>
        <v>pl 29433.7500102981,279 29433.7500102981,400 </v>
      </c>
      <c r="AY346" t="str">
        <f t="shared" si="191"/>
        <v>29433.7500102981,448.615</v>
      </c>
      <c r="AZ346" t="str">
        <f t="shared" si="192"/>
        <v>29433.7500102981,452.369</v>
      </c>
      <c r="BA346" t="str">
        <f t="shared" si="193"/>
        <v>29433.7500102981,453.115</v>
      </c>
      <c r="BB346" t="str">
        <f t="shared" si="194"/>
        <v>-text 29432.7500102981,337 3.5 90 448.615 </v>
      </c>
      <c r="BC346" t="str">
        <f t="shared" si="195"/>
        <v>-text 29432.7500102981,320 3.5 90 453.115 </v>
      </c>
      <c r="BD346" t="str">
        <f t="shared" si="196"/>
        <v>-text 29432.7500102981,306 3.5 90 452.369 </v>
      </c>
      <c r="BE346" t="str">
        <f t="shared" si="197"/>
        <v>-text 29432.7500102981,352 3.5 90 ZG58+867.500 </v>
      </c>
      <c r="BF346" t="str">
        <f t="shared" si="198"/>
        <v>-text 29432.7500102981,280 3.5 90 叶家沟渡槽进 </v>
      </c>
      <c r="BG346" t="str">
        <f t="shared" si="199"/>
        <v/>
      </c>
      <c r="BH346" t="str">
        <f t="shared" si="200"/>
        <v> </v>
      </c>
      <c r="BI346" t="str">
        <f t="shared" si="201"/>
        <v> </v>
      </c>
      <c r="BJ346" t="str">
        <f t="shared" si="202"/>
        <v> </v>
      </c>
    </row>
    <row r="347" spans="1:62">
      <c r="A347">
        <v>2</v>
      </c>
      <c r="B347">
        <v>346</v>
      </c>
      <c r="C347" t="str">
        <f>Sheet1!C320</f>
        <v>叶家沟渡槽出</v>
      </c>
      <c r="D347">
        <v>485044.0958</v>
      </c>
      <c r="E347">
        <v>3375995.2641</v>
      </c>
      <c r="G347">
        <f t="shared" si="176"/>
        <v>0</v>
      </c>
      <c r="H347">
        <f t="shared" si="177"/>
        <v>0</v>
      </c>
      <c r="I347">
        <f t="shared" si="178"/>
        <v>0</v>
      </c>
      <c r="J347">
        <f t="shared" si="179"/>
        <v>192.502845685012</v>
      </c>
      <c r="K347" s="40">
        <f t="shared" si="180"/>
        <v>59060.0028662811</v>
      </c>
      <c r="L347" s="40">
        <f t="shared" si="181"/>
        <v>59060.0028662811</v>
      </c>
      <c r="M347" s="40">
        <f t="shared" si="182"/>
        <v>59060.0028662811</v>
      </c>
      <c r="N347">
        <v>452.305</v>
      </c>
      <c r="O347">
        <v>448.551</v>
      </c>
      <c r="P347">
        <v>0</v>
      </c>
      <c r="Q347" s="39">
        <f t="shared" si="183"/>
        <v>485044.0958</v>
      </c>
      <c r="R347" s="39">
        <f t="shared" si="184"/>
        <v>3375995.2641</v>
      </c>
      <c r="S347" s="39" t="str">
        <f t="shared" si="185"/>
        <v> </v>
      </c>
      <c r="T347" s="39" t="str">
        <f t="shared" si="186"/>
        <v> </v>
      </c>
      <c r="U347" s="39" t="str">
        <f t="shared" si="187"/>
        <v> </v>
      </c>
      <c r="V347" s="39" t="str">
        <f t="shared" si="188"/>
        <v> </v>
      </c>
      <c r="AI347" t="str">
        <f t="array" ref="AI347">IFERROR(INDEX($L$2:$L$789,SMALL(IF(ISNUMBER(FIND($AH$2,$C$2:$C$789)),ROW($2:$789)-1,4^8),ROW(A346)))&amp;"","")</f>
        <v/>
      </c>
      <c r="AT347" t="str">
        <f t="shared" si="189"/>
        <v>485044.0958,3375995.2641</v>
      </c>
      <c r="AV347">
        <f t="shared" si="203"/>
        <v>453.051</v>
      </c>
      <c r="AX347" t="str">
        <f t="shared" si="190"/>
        <v>pl 29530.0014331406,279 29530.0014331406,400 </v>
      </c>
      <c r="AY347" t="str">
        <f t="shared" si="191"/>
        <v>29530.0014331406,448.551</v>
      </c>
      <c r="AZ347" t="str">
        <f t="shared" si="192"/>
        <v>29530.0014331406,452.305</v>
      </c>
      <c r="BA347" t="str">
        <f t="shared" si="193"/>
        <v>29530.0014331406,453.051</v>
      </c>
      <c r="BB347" t="str">
        <f t="shared" si="194"/>
        <v>-text 29529.0014331406,337 3.5 90 448.551 </v>
      </c>
      <c r="BC347" t="str">
        <f t="shared" si="195"/>
        <v>-text 29529.0014331406,320 3.5 90 453.051 </v>
      </c>
      <c r="BD347" t="str">
        <f t="shared" si="196"/>
        <v>-text 29529.0014331406,306 3.5 90 452.305 </v>
      </c>
      <c r="BE347" t="str">
        <f t="shared" si="197"/>
        <v>-text 29529.0014331406,352 3.5 90 ZG59+060.003 </v>
      </c>
      <c r="BF347" t="str">
        <f t="shared" si="198"/>
        <v>-text 29529.0014331406,280 3.5 90 叶家沟渡槽出 </v>
      </c>
      <c r="BG347" t="str">
        <f t="shared" si="199"/>
        <v/>
      </c>
      <c r="BH347" t="str">
        <f t="shared" si="200"/>
        <v> </v>
      </c>
      <c r="BI347" t="str">
        <f t="shared" si="201"/>
        <v> </v>
      </c>
      <c r="BJ347" t="str">
        <f t="shared" si="202"/>
        <v> </v>
      </c>
    </row>
    <row r="348" spans="1:62">
      <c r="A348">
        <v>1</v>
      </c>
      <c r="B348">
        <v>347</v>
      </c>
      <c r="C348" t="str">
        <f>Sheet1!C321</f>
        <v>鞍子湾隧进</v>
      </c>
      <c r="D348">
        <v>485084.5267</v>
      </c>
      <c r="E348">
        <v>3375984.3513</v>
      </c>
      <c r="G348">
        <f t="shared" si="176"/>
        <v>0</v>
      </c>
      <c r="H348">
        <f t="shared" si="177"/>
        <v>0</v>
      </c>
      <c r="I348">
        <f t="shared" si="178"/>
        <v>0</v>
      </c>
      <c r="J348">
        <f t="shared" si="179"/>
        <v>41.8777611464497</v>
      </c>
      <c r="K348" s="40">
        <f t="shared" si="180"/>
        <v>59101.8806274276</v>
      </c>
      <c r="L348" s="40">
        <f t="shared" si="181"/>
        <v>59101.8806274276</v>
      </c>
      <c r="M348" s="40">
        <f t="shared" si="182"/>
        <v>59101.8806274276</v>
      </c>
      <c r="N348">
        <v>452.329</v>
      </c>
      <c r="O348">
        <v>448.104</v>
      </c>
      <c r="P348">
        <v>0</v>
      </c>
      <c r="Q348" s="39">
        <f t="shared" si="183"/>
        <v>485084.5267</v>
      </c>
      <c r="R348" s="39">
        <f t="shared" si="184"/>
        <v>3375984.3513</v>
      </c>
      <c r="S348" s="39" t="str">
        <f t="shared" si="185"/>
        <v> </v>
      </c>
      <c r="T348" s="39" t="str">
        <f t="shared" si="186"/>
        <v> </v>
      </c>
      <c r="U348" s="39" t="str">
        <f t="shared" si="187"/>
        <v> </v>
      </c>
      <c r="V348" s="39" t="str">
        <f t="shared" si="188"/>
        <v> </v>
      </c>
      <c r="AI348" t="str">
        <f t="array" ref="AI348">IFERROR(INDEX($L$2:$L$789,SMALL(IF(ISNUMBER(FIND($AH$2,$C$2:$C$789)),ROW($2:$789)-1,4^8),ROW(A347)))&amp;"","")</f>
        <v/>
      </c>
      <c r="AT348" t="str">
        <f t="shared" si="189"/>
        <v>485084.5267,3375984.3513</v>
      </c>
      <c r="AV348">
        <f t="shared" si="203"/>
        <v>453.604</v>
      </c>
      <c r="AX348" t="str">
        <f t="shared" si="190"/>
        <v>pl 29550.9403137138,279 29550.9403137138,400 </v>
      </c>
      <c r="AY348" t="str">
        <f t="shared" si="191"/>
        <v>29550.9403137138,448.104</v>
      </c>
      <c r="AZ348" t="str">
        <f t="shared" si="192"/>
        <v>29550.9403137138,452.329</v>
      </c>
      <c r="BA348" t="str">
        <f t="shared" si="193"/>
        <v>29550.9403137138,453.604</v>
      </c>
      <c r="BB348" t="str">
        <f t="shared" si="194"/>
        <v>-text 29549.9403137138,337 3.5 90 448.104 </v>
      </c>
      <c r="BC348" t="str">
        <f t="shared" si="195"/>
        <v>-text 29549.9403137138,320 3.5 90 453.604 </v>
      </c>
      <c r="BD348" t="str">
        <f t="shared" si="196"/>
        <v>-text 29549.9403137138,306 3.5 90 452.329 </v>
      </c>
      <c r="BE348" t="str">
        <f t="shared" si="197"/>
        <v>-text 29549.9403137138,352 3.5 90 ZG59+101.881 </v>
      </c>
      <c r="BF348" t="str">
        <f t="shared" si="198"/>
        <v>-text 29549.9403137138,280 3.5 90 鞍子湾隧进 </v>
      </c>
      <c r="BG348" t="str">
        <f t="shared" si="199"/>
        <v/>
      </c>
      <c r="BH348" t="str">
        <f t="shared" si="200"/>
        <v> </v>
      </c>
      <c r="BI348" t="str">
        <f t="shared" si="201"/>
        <v> </v>
      </c>
      <c r="BJ348" t="str">
        <f t="shared" si="202"/>
        <v> </v>
      </c>
    </row>
    <row r="349" spans="1:62">
      <c r="A349">
        <v>1</v>
      </c>
      <c r="B349">
        <v>348</v>
      </c>
      <c r="C349" t="s">
        <v>342</v>
      </c>
      <c r="D349">
        <v>485175.4918</v>
      </c>
      <c r="E349">
        <v>3375959.7985</v>
      </c>
      <c r="F349">
        <v>80</v>
      </c>
      <c r="G349">
        <f t="shared" si="176"/>
        <v>19.56</v>
      </c>
      <c r="H349">
        <f t="shared" si="177"/>
        <v>13.7896427165477</v>
      </c>
      <c r="I349">
        <f t="shared" si="178"/>
        <v>27.3109121352073</v>
      </c>
      <c r="J349">
        <f t="shared" si="179"/>
        <v>94.2204298751833</v>
      </c>
      <c r="K349" s="40">
        <f t="shared" si="180"/>
        <v>59182.3114145862</v>
      </c>
      <c r="L349" s="40">
        <f t="shared" si="181"/>
        <v>59195.9668706538</v>
      </c>
      <c r="M349" s="40">
        <f t="shared" si="182"/>
        <v>59209.6223267214</v>
      </c>
      <c r="N349">
        <v>452.312</v>
      </c>
      <c r="O349">
        <v>448.087</v>
      </c>
      <c r="P349">
        <v>0.001</v>
      </c>
      <c r="Q349" s="39">
        <f t="shared" si="183"/>
        <v>485162.178591492</v>
      </c>
      <c r="R349" s="39">
        <f t="shared" si="184"/>
        <v>3375963.39192809</v>
      </c>
      <c r="S349" s="39">
        <f t="shared" si="185"/>
        <v>485174.99535263</v>
      </c>
      <c r="T349" s="39">
        <f t="shared" si="186"/>
        <v>3375958.72826544</v>
      </c>
      <c r="U349" s="39">
        <f t="shared" si="187"/>
        <v>485186.833648517</v>
      </c>
      <c r="V349" s="39">
        <f t="shared" si="188"/>
        <v>3375951.95524057</v>
      </c>
      <c r="AI349" t="str">
        <f t="array" ref="AI349">IFERROR(INDEX($L$2:$L$789,SMALL(IF(ISNUMBER(FIND($AH$2,$C$2:$C$789)),ROW($2:$789)-1,4^8),ROW(A348)))&amp;"","")</f>
        <v/>
      </c>
      <c r="AS349" t="str">
        <f>"-text"&amp;" "&amp;D349&amp;","&amp;E349&amp;" "&amp;"10"&amp;" "&amp;"0"&amp;" "&amp;C349</f>
        <v>-text 485175.4918,3375959.7985 10 0 IP186</v>
      </c>
      <c r="AT349" t="str">
        <f t="shared" si="189"/>
        <v>485175.4918,3375959.7985</v>
      </c>
      <c r="AV349">
        <f t="shared" si="203"/>
        <v>453.587</v>
      </c>
      <c r="AX349" t="str">
        <f t="shared" si="190"/>
        <v>pl 29597.9834353269,279 29597.9834353269,400 </v>
      </c>
      <c r="AY349" t="str">
        <f t="shared" si="191"/>
        <v>29597.9834353269,448.087</v>
      </c>
      <c r="AZ349" t="str">
        <f t="shared" si="192"/>
        <v>29597.9834353269,452.312</v>
      </c>
      <c r="BA349" t="str">
        <f t="shared" si="193"/>
        <v>29597.9834353269,453.587</v>
      </c>
      <c r="BB349" t="str">
        <f t="shared" si="194"/>
        <v>-text 29596.9834353269,337 3.5 90 448.087 </v>
      </c>
      <c r="BC349" t="str">
        <f t="shared" si="195"/>
        <v>-text 29596.9834353269,320 3.5 90 453.587 </v>
      </c>
      <c r="BD349" t="str">
        <f t="shared" si="196"/>
        <v>-text 29596.9834353269,306 3.5 90 452.312 </v>
      </c>
      <c r="BE349" t="str">
        <f t="shared" si="197"/>
        <v>-text 29596.9834353269,352 3.5 90 ZG59+195.967 </v>
      </c>
      <c r="BF349" t="str">
        <f t="shared" si="198"/>
        <v>-text 29596.9834353269,280 3.5 90 IP186 </v>
      </c>
      <c r="BG349" t="str">
        <f t="shared" si="199"/>
        <v>-TEXT 29598.9834353269,300 3.5 0 R=80</v>
      </c>
      <c r="BH349" t="str">
        <f t="shared" si="200"/>
        <v>-TEXT 29598.9834353269,295 3.5 0 α=19.56° </v>
      </c>
      <c r="BI349" t="str">
        <f t="shared" si="201"/>
        <v>-TEXT 29598.9834353269,290 3.5 0 T=13.79 </v>
      </c>
      <c r="BJ349" t="str">
        <f t="shared" si="202"/>
        <v>-TEXT 29598.9834353269,285 3.5 0 S=27.31 </v>
      </c>
    </row>
    <row r="350" spans="1:62">
      <c r="A350">
        <v>1</v>
      </c>
      <c r="B350">
        <v>349</v>
      </c>
      <c r="C350" t="str">
        <f>Sheet1!C323</f>
        <v>鞍子湾隧出</v>
      </c>
      <c r="D350">
        <v>485597.1978</v>
      </c>
      <c r="E350">
        <v>3375668.175</v>
      </c>
      <c r="G350">
        <f t="shared" si="176"/>
        <v>0</v>
      </c>
      <c r="H350">
        <f t="shared" si="177"/>
        <v>0</v>
      </c>
      <c r="I350">
        <f t="shared" si="178"/>
        <v>0</v>
      </c>
      <c r="J350">
        <f t="shared" si="179"/>
        <v>512.718457038932</v>
      </c>
      <c r="K350" s="40">
        <f t="shared" si="180"/>
        <v>59708.5511410438</v>
      </c>
      <c r="L350" s="40">
        <f t="shared" si="181"/>
        <v>59708.5511410438</v>
      </c>
      <c r="M350" s="40">
        <f t="shared" si="182"/>
        <v>59708.5511410438</v>
      </c>
      <c r="N350">
        <v>452.218</v>
      </c>
      <c r="O350">
        <v>447.993</v>
      </c>
      <c r="P350">
        <v>0</v>
      </c>
      <c r="Q350" s="39">
        <f t="shared" si="183"/>
        <v>485597.1978</v>
      </c>
      <c r="R350" s="39">
        <f t="shared" si="184"/>
        <v>3375668.175</v>
      </c>
      <c r="S350" s="39" t="str">
        <f t="shared" si="185"/>
        <v> </v>
      </c>
      <c r="T350" s="39" t="str">
        <f t="shared" si="186"/>
        <v> </v>
      </c>
      <c r="U350" s="39" t="str">
        <f t="shared" si="187"/>
        <v> </v>
      </c>
      <c r="V350" s="39" t="str">
        <f t="shared" si="188"/>
        <v> </v>
      </c>
      <c r="AI350" t="str">
        <f t="array" ref="AI350">IFERROR(INDEX($L$2:$L$789,SMALL(IF(ISNUMBER(FIND($AH$2,$C$2:$C$789)),ROW($2:$789)-1,4^8),ROW(A349)))&amp;"","")</f>
        <v/>
      </c>
      <c r="AT350" t="str">
        <f t="shared" si="189"/>
        <v>485597.1978,3375668.175</v>
      </c>
      <c r="AV350">
        <f t="shared" si="203"/>
        <v>453.493</v>
      </c>
      <c r="AX350" t="str">
        <f t="shared" si="190"/>
        <v>pl 29854.2755705219,279 29854.2755705219,400 </v>
      </c>
      <c r="AY350" t="str">
        <f t="shared" si="191"/>
        <v>29854.2755705219,447.993</v>
      </c>
      <c r="AZ350" t="str">
        <f t="shared" si="192"/>
        <v>29854.2755705219,452.218</v>
      </c>
      <c r="BA350" t="str">
        <f t="shared" si="193"/>
        <v>29854.2755705219,453.493</v>
      </c>
      <c r="BB350" t="str">
        <f t="shared" si="194"/>
        <v>-text 29853.2755705219,337 3.5 90 447.993 </v>
      </c>
      <c r="BC350" t="str">
        <f t="shared" si="195"/>
        <v>-text 29853.2755705219,320 3.5 90 453.493 </v>
      </c>
      <c r="BD350" t="str">
        <f t="shared" si="196"/>
        <v>-text 29853.2755705219,306 3.5 90 452.218 </v>
      </c>
      <c r="BE350" t="str">
        <f t="shared" si="197"/>
        <v>-text 29853.2755705219,352 3.5 90 ZG59+708.551 </v>
      </c>
      <c r="BF350" t="str">
        <f t="shared" si="198"/>
        <v>-text 29853.2755705219,280 3.5 90 鞍子湾隧出 </v>
      </c>
      <c r="BG350" t="str">
        <f t="shared" si="199"/>
        <v/>
      </c>
      <c r="BH350" t="str">
        <f t="shared" si="200"/>
        <v> </v>
      </c>
      <c r="BI350" t="str">
        <f t="shared" si="201"/>
        <v> </v>
      </c>
      <c r="BJ350" t="str">
        <f t="shared" si="202"/>
        <v> </v>
      </c>
    </row>
    <row r="351" spans="1:62">
      <c r="A351">
        <v>2</v>
      </c>
      <c r="B351">
        <v>350</v>
      </c>
      <c r="C351" t="str">
        <f>Sheet1!C324</f>
        <v>徐家沟渡槽进</v>
      </c>
      <c r="D351">
        <v>485609.0388</v>
      </c>
      <c r="E351">
        <v>3375659.9866</v>
      </c>
      <c r="G351">
        <f t="shared" si="176"/>
        <v>0</v>
      </c>
      <c r="H351">
        <f t="shared" si="177"/>
        <v>0</v>
      </c>
      <c r="I351">
        <f t="shared" si="178"/>
        <v>0</v>
      </c>
      <c r="J351">
        <f t="shared" si="179"/>
        <v>14.3964987256213</v>
      </c>
      <c r="K351" s="40">
        <f t="shared" si="180"/>
        <v>59722.9476397694</v>
      </c>
      <c r="L351" s="40">
        <f t="shared" si="181"/>
        <v>59722.9476397694</v>
      </c>
      <c r="M351" s="40">
        <f t="shared" si="182"/>
        <v>59722.9476397694</v>
      </c>
      <c r="N351">
        <v>452.153</v>
      </c>
      <c r="O351">
        <v>448.399</v>
      </c>
      <c r="P351">
        <v>0</v>
      </c>
      <c r="Q351" s="39">
        <f t="shared" si="183"/>
        <v>485609.0388</v>
      </c>
      <c r="R351" s="39">
        <f t="shared" si="184"/>
        <v>3375659.9866</v>
      </c>
      <c r="S351" s="39" t="str">
        <f t="shared" si="185"/>
        <v> </v>
      </c>
      <c r="T351" s="39" t="str">
        <f t="shared" si="186"/>
        <v> </v>
      </c>
      <c r="U351" s="39" t="str">
        <f t="shared" si="187"/>
        <v> </v>
      </c>
      <c r="V351" s="39" t="str">
        <f t="shared" si="188"/>
        <v> </v>
      </c>
      <c r="AI351" t="str">
        <f t="array" ref="AI351">IFERROR(INDEX($L$2:$L$789,SMALL(IF(ISNUMBER(FIND($AH$2,$C$2:$C$789)),ROW($2:$789)-1,4^8),ROW(A350)))&amp;"","")</f>
        <v/>
      </c>
      <c r="AT351" t="str">
        <f t="shared" si="189"/>
        <v>485609.0388,3375659.9866</v>
      </c>
      <c r="AV351">
        <f t="shared" si="203"/>
        <v>452.899</v>
      </c>
      <c r="AX351" t="str">
        <f t="shared" si="190"/>
        <v>pl 29861.4738198847,279 29861.4738198847,400 </v>
      </c>
      <c r="AY351" t="str">
        <f t="shared" si="191"/>
        <v>29861.4738198847,448.399</v>
      </c>
      <c r="AZ351" t="str">
        <f t="shared" si="192"/>
        <v>29861.4738198847,452.153</v>
      </c>
      <c r="BA351" t="str">
        <f t="shared" si="193"/>
        <v>29861.4738198847,452.899</v>
      </c>
      <c r="BB351" t="str">
        <f t="shared" si="194"/>
        <v>-text 29860.4738198847,337 3.5 90 448.399 </v>
      </c>
      <c r="BC351" t="str">
        <f t="shared" si="195"/>
        <v>-text 29860.4738198847,320 3.5 90 452.899 </v>
      </c>
      <c r="BD351" t="str">
        <f t="shared" si="196"/>
        <v>-text 29860.4738198847,306 3.5 90 452.153 </v>
      </c>
      <c r="BE351" t="str">
        <f t="shared" si="197"/>
        <v>-text 29860.4738198847,352 3.5 90 ZG59+722.948 </v>
      </c>
      <c r="BF351" t="str">
        <f t="shared" si="198"/>
        <v>-text 29860.4738198847,280 3.5 90 徐家沟渡槽进 </v>
      </c>
      <c r="BG351" t="str">
        <f t="shared" si="199"/>
        <v/>
      </c>
      <c r="BH351" t="str">
        <f t="shared" si="200"/>
        <v> </v>
      </c>
      <c r="BI351" t="str">
        <f t="shared" si="201"/>
        <v> </v>
      </c>
      <c r="BJ351" t="str">
        <f t="shared" si="202"/>
        <v> </v>
      </c>
    </row>
    <row r="352" spans="1:62">
      <c r="A352">
        <v>2</v>
      </c>
      <c r="B352">
        <v>351</v>
      </c>
      <c r="C352" t="str">
        <f>Sheet1!C325</f>
        <v>徐家沟渡槽出</v>
      </c>
      <c r="D352">
        <v>485831.463</v>
      </c>
      <c r="E352">
        <v>3375506.1729</v>
      </c>
      <c r="G352">
        <f t="shared" si="176"/>
        <v>0</v>
      </c>
      <c r="H352">
        <f t="shared" si="177"/>
        <v>0</v>
      </c>
      <c r="I352">
        <f t="shared" si="178"/>
        <v>0</v>
      </c>
      <c r="J352">
        <f t="shared" si="179"/>
        <v>270.427770492011</v>
      </c>
      <c r="K352" s="40">
        <f t="shared" si="180"/>
        <v>59993.3754102614</v>
      </c>
      <c r="L352" s="40">
        <f t="shared" si="181"/>
        <v>59993.3754102614</v>
      </c>
      <c r="M352" s="40">
        <f t="shared" si="182"/>
        <v>59993.3754102614</v>
      </c>
      <c r="N352">
        <v>452.062</v>
      </c>
      <c r="O352">
        <v>448.308</v>
      </c>
      <c r="P352">
        <v>0</v>
      </c>
      <c r="Q352" s="39">
        <f t="shared" si="183"/>
        <v>485831.463</v>
      </c>
      <c r="R352" s="39">
        <f t="shared" si="184"/>
        <v>3375506.1729</v>
      </c>
      <c r="S352" s="39" t="str">
        <f t="shared" si="185"/>
        <v> </v>
      </c>
      <c r="T352" s="39" t="str">
        <f t="shared" si="186"/>
        <v> </v>
      </c>
      <c r="U352" s="39" t="str">
        <f t="shared" si="187"/>
        <v> </v>
      </c>
      <c r="V352" s="39" t="str">
        <f t="shared" si="188"/>
        <v> </v>
      </c>
      <c r="AI352" t="str">
        <f t="array" ref="AI352">IFERROR(INDEX($L$2:$L$789,SMALL(IF(ISNUMBER(FIND($AH$2,$C$2:$C$789)),ROW($2:$789)-1,4^8),ROW(A351)))&amp;"","")</f>
        <v/>
      </c>
      <c r="AT352" t="str">
        <f t="shared" si="189"/>
        <v>485831.463,3375506.1729</v>
      </c>
      <c r="AV352">
        <f t="shared" si="203"/>
        <v>452.808</v>
      </c>
      <c r="AX352" t="str">
        <f t="shared" si="190"/>
        <v>pl 29996.6877051307,279 29996.6877051307,400 </v>
      </c>
      <c r="AY352" t="str">
        <f t="shared" si="191"/>
        <v>29996.6877051307,448.308</v>
      </c>
      <c r="AZ352" t="str">
        <f t="shared" si="192"/>
        <v>29996.6877051307,452.062</v>
      </c>
      <c r="BA352" t="str">
        <f t="shared" si="193"/>
        <v>29996.6877051307,452.808</v>
      </c>
      <c r="BB352" t="str">
        <f t="shared" si="194"/>
        <v>-text 29995.6877051307,337 3.5 90 448.308 </v>
      </c>
      <c r="BC352" t="str">
        <f t="shared" si="195"/>
        <v>-text 29995.6877051307,320 3.5 90 452.808 </v>
      </c>
      <c r="BD352" t="str">
        <f t="shared" si="196"/>
        <v>-text 29995.6877051307,306 3.5 90 452.062 </v>
      </c>
      <c r="BE352" t="str">
        <f t="shared" si="197"/>
        <v>-text 29995.6877051307,352 3.5 90 ZG59+993.375 </v>
      </c>
      <c r="BF352" t="str">
        <f t="shared" si="198"/>
        <v>-text 29995.6877051307,280 3.5 90 徐家沟渡槽出 </v>
      </c>
      <c r="BG352" t="str">
        <f t="shared" si="199"/>
        <v/>
      </c>
      <c r="BH352" t="str">
        <f t="shared" si="200"/>
        <v> </v>
      </c>
      <c r="BI352" t="str">
        <f t="shared" si="201"/>
        <v> </v>
      </c>
      <c r="BJ352" t="str">
        <f t="shared" si="202"/>
        <v> </v>
      </c>
    </row>
    <row r="353" spans="1:62">
      <c r="A353">
        <v>1</v>
      </c>
      <c r="B353">
        <v>352</v>
      </c>
      <c r="C353" t="str">
        <f>Sheet1!C326</f>
        <v>大石堡隧进</v>
      </c>
      <c r="D353">
        <v>485851.7555</v>
      </c>
      <c r="E353">
        <v>3375492.1399</v>
      </c>
      <c r="G353">
        <f t="shared" si="176"/>
        <v>0</v>
      </c>
      <c r="H353">
        <f t="shared" si="177"/>
        <v>0</v>
      </c>
      <c r="I353">
        <f t="shared" si="178"/>
        <v>0</v>
      </c>
      <c r="J353">
        <f t="shared" si="179"/>
        <v>24.6720620390687</v>
      </c>
      <c r="K353" s="40">
        <f t="shared" si="180"/>
        <v>60018.0474723005</v>
      </c>
      <c r="L353" s="40">
        <f t="shared" si="181"/>
        <v>60018.0474723005</v>
      </c>
      <c r="M353" s="40">
        <f t="shared" si="182"/>
        <v>60018.0474723005</v>
      </c>
      <c r="N353">
        <v>452.09</v>
      </c>
      <c r="O353">
        <v>447.865</v>
      </c>
      <c r="P353">
        <v>0</v>
      </c>
      <c r="Q353" s="39">
        <f t="shared" si="183"/>
        <v>485851.7555</v>
      </c>
      <c r="R353" s="39">
        <f t="shared" si="184"/>
        <v>3375492.1399</v>
      </c>
      <c r="S353" s="39" t="str">
        <f t="shared" si="185"/>
        <v> </v>
      </c>
      <c r="T353" s="39" t="str">
        <f t="shared" si="186"/>
        <v> </v>
      </c>
      <c r="U353" s="39" t="str">
        <f t="shared" si="187"/>
        <v> </v>
      </c>
      <c r="V353" s="39" t="str">
        <f t="shared" si="188"/>
        <v> </v>
      </c>
      <c r="AI353" t="str">
        <f t="array" ref="AI353">IFERROR(INDEX($L$2:$L$789,SMALL(IF(ISNUMBER(FIND($AH$2,$C$2:$C$789)),ROW($2:$789)-1,4^8),ROW(A352)))&amp;"","")</f>
        <v/>
      </c>
      <c r="AT353" t="str">
        <f t="shared" si="189"/>
        <v>485851.7555,3375492.1399</v>
      </c>
      <c r="AV353">
        <f t="shared" si="203"/>
        <v>453.365</v>
      </c>
      <c r="AX353" t="str">
        <f t="shared" si="190"/>
        <v>pl 30009.0237361503,279 30009.0237361503,400 </v>
      </c>
      <c r="AY353" t="str">
        <f t="shared" si="191"/>
        <v>30009.0237361503,447.865</v>
      </c>
      <c r="AZ353" t="str">
        <f t="shared" si="192"/>
        <v>30009.0237361503,452.09</v>
      </c>
      <c r="BA353" t="str">
        <f t="shared" si="193"/>
        <v>30009.0237361503,453.365</v>
      </c>
      <c r="BB353" t="str">
        <f t="shared" si="194"/>
        <v>-text 30008.0237361503,337 3.5 90 447.865 </v>
      </c>
      <c r="BC353" t="str">
        <f t="shared" si="195"/>
        <v>-text 30008.0237361503,320 3.5 90 453.365 </v>
      </c>
      <c r="BD353" t="str">
        <f t="shared" si="196"/>
        <v>-text 30008.0237361503,306 3.5 90 452.090 </v>
      </c>
      <c r="BE353" t="str">
        <f t="shared" si="197"/>
        <v>-text 30008.0237361503,352 3.5 90 ZG60+018.047 </v>
      </c>
      <c r="BF353" t="str">
        <f t="shared" si="198"/>
        <v>-text 30008.0237361503,280 3.5 90 大石堡隧进 </v>
      </c>
      <c r="BG353" t="str">
        <f t="shared" si="199"/>
        <v/>
      </c>
      <c r="BH353" t="str">
        <f t="shared" si="200"/>
        <v> </v>
      </c>
      <c r="BI353" t="str">
        <f t="shared" si="201"/>
        <v> </v>
      </c>
      <c r="BJ353" t="str">
        <f t="shared" si="202"/>
        <v> </v>
      </c>
    </row>
    <row r="354" spans="1:62">
      <c r="A354">
        <v>1</v>
      </c>
      <c r="B354">
        <v>353</v>
      </c>
      <c r="C354" t="str">
        <f>Sheet1!C327</f>
        <v>大石堡隧出</v>
      </c>
      <c r="D354">
        <v>486294.2462</v>
      </c>
      <c r="E354">
        <v>3375186.1431</v>
      </c>
      <c r="G354">
        <f t="shared" si="176"/>
        <v>0</v>
      </c>
      <c r="H354">
        <f t="shared" si="177"/>
        <v>0</v>
      </c>
      <c r="I354">
        <f t="shared" si="178"/>
        <v>0</v>
      </c>
      <c r="J354">
        <f t="shared" si="179"/>
        <v>537.988904343395</v>
      </c>
      <c r="K354" s="40">
        <f t="shared" si="180"/>
        <v>60556.0363766439</v>
      </c>
      <c r="L354" s="40">
        <f t="shared" si="181"/>
        <v>60556.0363766439</v>
      </c>
      <c r="M354" s="40">
        <f t="shared" si="182"/>
        <v>60556.0363766439</v>
      </c>
      <c r="N354">
        <v>451.992</v>
      </c>
      <c r="O354">
        <v>447.767</v>
      </c>
      <c r="P354">
        <v>0</v>
      </c>
      <c r="Q354" s="39">
        <f t="shared" si="183"/>
        <v>486294.2462</v>
      </c>
      <c r="R354" s="39">
        <f t="shared" si="184"/>
        <v>3375186.1431</v>
      </c>
      <c r="S354" s="39" t="str">
        <f t="shared" si="185"/>
        <v> </v>
      </c>
      <c r="T354" s="39" t="str">
        <f t="shared" si="186"/>
        <v> </v>
      </c>
      <c r="U354" s="39" t="str">
        <f t="shared" si="187"/>
        <v> </v>
      </c>
      <c r="V354" s="39" t="str">
        <f t="shared" si="188"/>
        <v> </v>
      </c>
      <c r="AI354" t="str">
        <f t="array" ref="AI354">IFERROR(INDEX($L$2:$L$789,SMALL(IF(ISNUMBER(FIND($AH$2,$C$2:$C$789)),ROW($2:$789)-1,4^8),ROW(A353)))&amp;"","")</f>
        <v/>
      </c>
      <c r="AT354" t="str">
        <f t="shared" si="189"/>
        <v>486294.2462,3375186.1431</v>
      </c>
      <c r="AV354">
        <f t="shared" si="203"/>
        <v>453.267</v>
      </c>
      <c r="AX354" t="str">
        <f t="shared" si="190"/>
        <v>pl 30278.0181883219,279 30278.0181883219,400 </v>
      </c>
      <c r="AY354" t="str">
        <f t="shared" si="191"/>
        <v>30278.0181883219,447.767</v>
      </c>
      <c r="AZ354" t="str">
        <f t="shared" si="192"/>
        <v>30278.0181883219,451.992</v>
      </c>
      <c r="BA354" t="str">
        <f t="shared" si="193"/>
        <v>30278.0181883219,453.267</v>
      </c>
      <c r="BB354" t="str">
        <f t="shared" si="194"/>
        <v>-text 30277.0181883219,337 3.5 90 447.767 </v>
      </c>
      <c r="BC354" t="str">
        <f t="shared" si="195"/>
        <v>-text 30277.0181883219,320 3.5 90 453.267 </v>
      </c>
      <c r="BD354" t="str">
        <f t="shared" si="196"/>
        <v>-text 30277.0181883219,306 3.5 90 451.992 </v>
      </c>
      <c r="BE354" t="str">
        <f t="shared" si="197"/>
        <v>-text 30277.0181883219,352 3.5 90 ZG60+556.036 </v>
      </c>
      <c r="BF354" t="str">
        <f t="shared" si="198"/>
        <v>-text 30277.0181883219,280 3.5 90 大石堡隧出 </v>
      </c>
      <c r="BG354" t="str">
        <f t="shared" si="199"/>
        <v/>
      </c>
      <c r="BH354" t="str">
        <f t="shared" si="200"/>
        <v> </v>
      </c>
      <c r="BI354" t="str">
        <f t="shared" si="201"/>
        <v> </v>
      </c>
      <c r="BJ354" t="str">
        <f t="shared" si="202"/>
        <v> </v>
      </c>
    </row>
    <row r="355" spans="1:62">
      <c r="A355">
        <v>0</v>
      </c>
      <c r="B355">
        <v>354</v>
      </c>
      <c r="C355" t="s">
        <v>348</v>
      </c>
      <c r="D355">
        <v>486370.1106</v>
      </c>
      <c r="E355">
        <v>3375133.6804</v>
      </c>
      <c r="F355">
        <v>60</v>
      </c>
      <c r="G355">
        <f t="shared" si="176"/>
        <v>19.423</v>
      </c>
      <c r="H355">
        <f t="shared" si="177"/>
        <v>10.2683828853996</v>
      </c>
      <c r="I355">
        <f t="shared" si="178"/>
        <v>20.3397180368915</v>
      </c>
      <c r="J355">
        <f t="shared" si="179"/>
        <v>92.2374223331102</v>
      </c>
      <c r="K355" s="40">
        <f t="shared" si="180"/>
        <v>60638.0054160916</v>
      </c>
      <c r="L355" s="40">
        <f t="shared" si="181"/>
        <v>60648.1752751101</v>
      </c>
      <c r="M355" s="40">
        <f t="shared" si="182"/>
        <v>60658.3451341285</v>
      </c>
      <c r="N355">
        <v>451.978</v>
      </c>
      <c r="O355">
        <v>447.732</v>
      </c>
      <c r="P355">
        <v>0.001</v>
      </c>
      <c r="Q355" s="39">
        <f t="shared" si="183"/>
        <v>486361.664953029</v>
      </c>
      <c r="R355" s="39">
        <f t="shared" si="184"/>
        <v>3375139.52083957</v>
      </c>
      <c r="S355" s="39">
        <f t="shared" si="185"/>
        <v>486369.500505124</v>
      </c>
      <c r="T355" s="39">
        <f t="shared" si="186"/>
        <v>3375133.05688788</v>
      </c>
      <c r="U355" s="39">
        <f t="shared" si="187"/>
        <v>486376.133353235</v>
      </c>
      <c r="V355" s="39">
        <f t="shared" si="188"/>
        <v>3375125.36378227</v>
      </c>
      <c r="AI355" t="str">
        <f t="array" ref="AI355">IFERROR(INDEX($L$2:$L$789,SMALL(IF(ISNUMBER(FIND($AH$2,$C$2:$C$789)),ROW($2:$789)-1,4^8),ROW(A354)))&amp;"","")</f>
        <v/>
      </c>
      <c r="AS355" t="str">
        <f>"-text"&amp;" "&amp;D355&amp;","&amp;E355&amp;" "&amp;"10"&amp;" "&amp;"0"&amp;" "&amp;C355</f>
        <v>-text 486370.1106,3375133.6804 10 0 IP187</v>
      </c>
      <c r="AT355" t="str">
        <f t="shared" si="189"/>
        <v>486370.1106,3375133.6804</v>
      </c>
      <c r="AV355">
        <f t="shared" si="203"/>
        <v>453.532</v>
      </c>
      <c r="AX355" t="str">
        <f t="shared" si="190"/>
        <v>pl 30324.087637555,279 30324.087637555,400 </v>
      </c>
      <c r="AY355" t="str">
        <f t="shared" si="191"/>
        <v>30324.087637555,447.732</v>
      </c>
      <c r="AZ355" t="str">
        <f t="shared" si="192"/>
        <v>30324.087637555,451.978</v>
      </c>
      <c r="BA355" t="str">
        <f t="shared" si="193"/>
        <v>30324.087637555,453.532</v>
      </c>
      <c r="BB355" t="str">
        <f t="shared" si="194"/>
        <v>-text 30323.087637555,337 3.5 90 447.732 </v>
      </c>
      <c r="BC355" t="str">
        <f t="shared" si="195"/>
        <v>-text 30323.087637555,320 3.5 90 453.532 </v>
      </c>
      <c r="BD355" t="str">
        <f t="shared" si="196"/>
        <v>-text 30323.087637555,306 3.5 90 451.978 </v>
      </c>
      <c r="BE355" t="str">
        <f t="shared" si="197"/>
        <v>-text 30323.087637555,352 3.5 90 ZG60+648.175 </v>
      </c>
      <c r="BF355" t="str">
        <f t="shared" si="198"/>
        <v>-text 30323.087637555,280 3.5 90 IP187 </v>
      </c>
      <c r="BG355" t="str">
        <f t="shared" si="199"/>
        <v>-TEXT 30325.087637555,300 3.5 0 R=60</v>
      </c>
      <c r="BH355" t="str">
        <f t="shared" si="200"/>
        <v>-TEXT 30325.087637555,295 3.5 0 α=19.42° </v>
      </c>
      <c r="BI355" t="str">
        <f t="shared" si="201"/>
        <v>-TEXT 30325.087637555,290 3.5 0 T=10.27 </v>
      </c>
      <c r="BJ355" t="str">
        <f t="shared" si="202"/>
        <v>-TEXT 30325.087637555,285 3.5 0 S=20.34 </v>
      </c>
    </row>
    <row r="356" spans="1:62">
      <c r="A356">
        <v>2</v>
      </c>
      <c r="B356">
        <v>355</v>
      </c>
      <c r="C356" t="str">
        <f>Sheet1!C329</f>
        <v>棕房沟渡槽进</v>
      </c>
      <c r="D356">
        <v>486379.5286</v>
      </c>
      <c r="E356">
        <v>3375120.6754</v>
      </c>
      <c r="G356">
        <f t="shared" si="176"/>
        <v>0</v>
      </c>
      <c r="H356">
        <f t="shared" si="177"/>
        <v>0</v>
      </c>
      <c r="I356">
        <f t="shared" si="178"/>
        <v>0</v>
      </c>
      <c r="J356">
        <f t="shared" si="179"/>
        <v>16.0570467084452</v>
      </c>
      <c r="K356" s="40">
        <f t="shared" si="180"/>
        <v>60664.1337979516</v>
      </c>
      <c r="L356" s="40">
        <f t="shared" si="181"/>
        <v>60664.1337979516</v>
      </c>
      <c r="M356" s="40">
        <f t="shared" si="182"/>
        <v>60664.1337979516</v>
      </c>
      <c r="N356">
        <v>451.909</v>
      </c>
      <c r="O356">
        <v>448.155</v>
      </c>
      <c r="P356">
        <v>0</v>
      </c>
      <c r="Q356" s="39">
        <f t="shared" si="183"/>
        <v>486379.5286</v>
      </c>
      <c r="R356" s="39">
        <f t="shared" si="184"/>
        <v>3375120.6754</v>
      </c>
      <c r="S356" s="39" t="str">
        <f t="shared" si="185"/>
        <v> </v>
      </c>
      <c r="T356" s="39" t="str">
        <f t="shared" si="186"/>
        <v> </v>
      </c>
      <c r="U356" s="39" t="str">
        <f t="shared" si="187"/>
        <v> </v>
      </c>
      <c r="V356" s="39" t="str">
        <f t="shared" si="188"/>
        <v> </v>
      </c>
      <c r="AI356" t="str">
        <f t="array" ref="AI356">IFERROR(INDEX($L$2:$L$789,SMALL(IF(ISNUMBER(FIND($AH$2,$C$2:$C$789)),ROW($2:$789)-1,4^8),ROW(A355)))&amp;"","")</f>
        <v/>
      </c>
      <c r="AT356" t="str">
        <f t="shared" si="189"/>
        <v>486379.5286,3375120.6754</v>
      </c>
      <c r="AV356">
        <f t="shared" si="203"/>
        <v>452.655</v>
      </c>
      <c r="AX356" t="str">
        <f t="shared" si="190"/>
        <v>pl 30332.0668989758,279 30332.0668989758,400 </v>
      </c>
      <c r="AY356" t="str">
        <f t="shared" si="191"/>
        <v>30332.0668989758,448.155</v>
      </c>
      <c r="AZ356" t="str">
        <f t="shared" si="192"/>
        <v>30332.0668989758,451.909</v>
      </c>
      <c r="BA356" t="str">
        <f t="shared" si="193"/>
        <v>30332.0668989758,452.655</v>
      </c>
      <c r="BB356" t="str">
        <f t="shared" si="194"/>
        <v>-text 30331.0668989758,337 3.5 90 448.155 </v>
      </c>
      <c r="BC356" t="str">
        <f t="shared" si="195"/>
        <v>-text 30331.0668989758,320 3.5 90 452.655 </v>
      </c>
      <c r="BD356" t="str">
        <f t="shared" si="196"/>
        <v>-text 30331.0668989758,306 3.5 90 451.909 </v>
      </c>
      <c r="BE356" t="str">
        <f t="shared" si="197"/>
        <v>-text 30331.0668989758,352 3.5 90 ZG60+664.134 </v>
      </c>
      <c r="BF356" t="str">
        <f t="shared" si="198"/>
        <v>-text 30331.0668989758,280 3.5 90 棕房沟渡槽进 </v>
      </c>
      <c r="BG356" t="str">
        <f t="shared" si="199"/>
        <v/>
      </c>
      <c r="BH356" t="str">
        <f t="shared" si="200"/>
        <v> </v>
      </c>
      <c r="BI356" t="str">
        <f t="shared" si="201"/>
        <v> </v>
      </c>
      <c r="BJ356" t="str">
        <f t="shared" si="202"/>
        <v> </v>
      </c>
    </row>
    <row r="357" spans="1:62">
      <c r="A357">
        <v>2</v>
      </c>
      <c r="B357">
        <v>356</v>
      </c>
      <c r="C357" t="str">
        <f>Sheet1!C330</f>
        <v>棕房沟渡槽出</v>
      </c>
      <c r="D357">
        <v>486518.6895</v>
      </c>
      <c r="E357">
        <v>3374928.5143</v>
      </c>
      <c r="G357">
        <f t="shared" si="176"/>
        <v>0</v>
      </c>
      <c r="H357">
        <f t="shared" si="177"/>
        <v>0</v>
      </c>
      <c r="I357">
        <f t="shared" si="178"/>
        <v>0</v>
      </c>
      <c r="J357">
        <f t="shared" si="179"/>
        <v>237.258602461667</v>
      </c>
      <c r="K357" s="40">
        <f t="shared" si="180"/>
        <v>60901.3924004132</v>
      </c>
      <c r="L357" s="40">
        <f t="shared" si="181"/>
        <v>60901.3924004132</v>
      </c>
      <c r="M357" s="40">
        <f t="shared" si="182"/>
        <v>60901.3924004132</v>
      </c>
      <c r="N357">
        <v>451.829</v>
      </c>
      <c r="O357">
        <v>448.075</v>
      </c>
      <c r="P357">
        <v>0</v>
      </c>
      <c r="Q357" s="39">
        <f t="shared" si="183"/>
        <v>486518.6895</v>
      </c>
      <c r="R357" s="39">
        <f t="shared" si="184"/>
        <v>3374928.5143</v>
      </c>
      <c r="S357" s="39" t="str">
        <f t="shared" si="185"/>
        <v> </v>
      </c>
      <c r="T357" s="39" t="str">
        <f t="shared" si="186"/>
        <v> </v>
      </c>
      <c r="U357" s="39" t="str">
        <f t="shared" si="187"/>
        <v> </v>
      </c>
      <c r="V357" s="39" t="str">
        <f t="shared" si="188"/>
        <v> </v>
      </c>
      <c r="AI357" t="str">
        <f t="array" ref="AI357">IFERROR(INDEX($L$2:$L$789,SMALL(IF(ISNUMBER(FIND($AH$2,$C$2:$C$789)),ROW($2:$789)-1,4^8),ROW(A356)))&amp;"","")</f>
        <v/>
      </c>
      <c r="AT357" t="str">
        <f t="shared" si="189"/>
        <v>486518.6895,3374928.5143</v>
      </c>
      <c r="AV357">
        <f t="shared" si="203"/>
        <v>452.575</v>
      </c>
      <c r="AX357" t="str">
        <f t="shared" si="190"/>
        <v>pl 30450.6962002066,279 30450.6962002066,400 </v>
      </c>
      <c r="AY357" t="str">
        <f t="shared" si="191"/>
        <v>30450.6962002066,448.075</v>
      </c>
      <c r="AZ357" t="str">
        <f t="shared" si="192"/>
        <v>30450.6962002066,451.829</v>
      </c>
      <c r="BA357" t="str">
        <f t="shared" si="193"/>
        <v>30450.6962002066,452.575</v>
      </c>
      <c r="BB357" t="str">
        <f t="shared" si="194"/>
        <v>-text 30449.6962002066,337 3.5 90 448.075 </v>
      </c>
      <c r="BC357" t="str">
        <f t="shared" si="195"/>
        <v>-text 30449.6962002066,320 3.5 90 452.575 </v>
      </c>
      <c r="BD357" t="str">
        <f t="shared" si="196"/>
        <v>-text 30449.6962002066,306 3.5 90 451.829 </v>
      </c>
      <c r="BE357" t="str">
        <f t="shared" si="197"/>
        <v>-text 30449.6962002066,352 3.5 90 ZG60+901.392 </v>
      </c>
      <c r="BF357" t="str">
        <f t="shared" si="198"/>
        <v>-text 30449.6962002066,280 3.5 90 棕房沟渡槽出 </v>
      </c>
      <c r="BG357" t="str">
        <f t="shared" si="199"/>
        <v/>
      </c>
      <c r="BH357" t="str">
        <f t="shared" si="200"/>
        <v> </v>
      </c>
      <c r="BI357" t="str">
        <f t="shared" si="201"/>
        <v> </v>
      </c>
      <c r="BJ357" t="str">
        <f t="shared" si="202"/>
        <v> </v>
      </c>
    </row>
    <row r="358" spans="1:62">
      <c r="A358">
        <v>1</v>
      </c>
      <c r="B358">
        <v>357</v>
      </c>
      <c r="C358" t="str">
        <f>Sheet1!C331</f>
        <v>邓家坡隧进</v>
      </c>
      <c r="D358">
        <v>486546.5268</v>
      </c>
      <c r="E358">
        <v>3374890.075</v>
      </c>
      <c r="G358">
        <f t="shared" si="176"/>
        <v>0</v>
      </c>
      <c r="H358">
        <f t="shared" si="177"/>
        <v>0</v>
      </c>
      <c r="I358">
        <f t="shared" si="178"/>
        <v>0</v>
      </c>
      <c r="J358">
        <f t="shared" si="179"/>
        <v>47.4604578123778</v>
      </c>
      <c r="K358" s="40">
        <f t="shared" si="180"/>
        <v>60948.8528582256</v>
      </c>
      <c r="L358" s="40">
        <f t="shared" si="181"/>
        <v>60948.8528582256</v>
      </c>
      <c r="M358" s="40">
        <f t="shared" si="182"/>
        <v>60948.8528582256</v>
      </c>
      <c r="N358">
        <v>451.853</v>
      </c>
      <c r="O358">
        <v>447.628</v>
      </c>
      <c r="P358">
        <v>0</v>
      </c>
      <c r="Q358" s="39">
        <f t="shared" si="183"/>
        <v>486546.5268</v>
      </c>
      <c r="R358" s="39">
        <f t="shared" si="184"/>
        <v>3374890.075</v>
      </c>
      <c r="S358" s="39" t="str">
        <f t="shared" si="185"/>
        <v> </v>
      </c>
      <c r="T358" s="39" t="str">
        <f t="shared" si="186"/>
        <v> </v>
      </c>
      <c r="U358" s="39" t="str">
        <f t="shared" si="187"/>
        <v> </v>
      </c>
      <c r="V358" s="39" t="str">
        <f t="shared" si="188"/>
        <v> </v>
      </c>
      <c r="AI358" t="str">
        <f t="array" ref="AI358">IFERROR(INDEX($L$2:$L$789,SMALL(IF(ISNUMBER(FIND($AH$2,$C$2:$C$789)),ROW($2:$789)-1,4^8),ROW(A357)))&amp;"","")</f>
        <v/>
      </c>
      <c r="AT358" t="str">
        <f t="shared" si="189"/>
        <v>486546.5268,3374890.075</v>
      </c>
      <c r="AV358">
        <f t="shared" si="203"/>
        <v>453.128</v>
      </c>
      <c r="AX358" t="str">
        <f t="shared" si="190"/>
        <v>pl 30474.4264291128,279 30474.4264291128,400 </v>
      </c>
      <c r="AY358" t="str">
        <f t="shared" si="191"/>
        <v>30474.4264291128,447.628</v>
      </c>
      <c r="AZ358" t="str">
        <f t="shared" si="192"/>
        <v>30474.4264291128,451.853</v>
      </c>
      <c r="BA358" t="str">
        <f t="shared" si="193"/>
        <v>30474.4264291128,453.128</v>
      </c>
      <c r="BB358" t="str">
        <f t="shared" si="194"/>
        <v>-text 30473.4264291128,337 3.5 90 447.628 </v>
      </c>
      <c r="BC358" t="str">
        <f t="shared" si="195"/>
        <v>-text 30473.4264291128,320 3.5 90 453.128 </v>
      </c>
      <c r="BD358" t="str">
        <f t="shared" si="196"/>
        <v>-text 30473.4264291128,306 3.5 90 451.853 </v>
      </c>
      <c r="BE358" t="str">
        <f t="shared" si="197"/>
        <v>-text 30473.4264291128,352 3.5 90 ZG60+948.853 </v>
      </c>
      <c r="BF358" t="str">
        <f t="shared" si="198"/>
        <v>-text 30473.4264291128,280 3.5 90 邓家坡隧进 </v>
      </c>
      <c r="BG358" t="str">
        <f t="shared" si="199"/>
        <v/>
      </c>
      <c r="BH358" t="str">
        <f t="shared" si="200"/>
        <v> </v>
      </c>
      <c r="BI358" t="str">
        <f t="shared" si="201"/>
        <v> </v>
      </c>
      <c r="BJ358" t="str">
        <f t="shared" si="202"/>
        <v> </v>
      </c>
    </row>
    <row r="359" spans="1:62">
      <c r="A359">
        <v>1</v>
      </c>
      <c r="B359">
        <v>358</v>
      </c>
      <c r="C359" t="str">
        <f>Sheet1!C332</f>
        <v>邓家坡隧出</v>
      </c>
      <c r="D359">
        <v>486798.5133</v>
      </c>
      <c r="E359">
        <v>3374542.1181</v>
      </c>
      <c r="G359">
        <f t="shared" si="176"/>
        <v>0</v>
      </c>
      <c r="H359">
        <f t="shared" si="177"/>
        <v>0</v>
      </c>
      <c r="I359">
        <f t="shared" si="178"/>
        <v>0</v>
      </c>
      <c r="J359">
        <f t="shared" si="179"/>
        <v>429.617504810888</v>
      </c>
      <c r="K359" s="40">
        <f t="shared" si="180"/>
        <v>61378.4703630365</v>
      </c>
      <c r="L359" s="40">
        <f t="shared" si="181"/>
        <v>61378.4703630365</v>
      </c>
      <c r="M359" s="40">
        <f t="shared" si="182"/>
        <v>61378.4703630365</v>
      </c>
      <c r="N359">
        <v>451.775</v>
      </c>
      <c r="O359">
        <v>447.55</v>
      </c>
      <c r="P359">
        <v>0</v>
      </c>
      <c r="Q359" s="39">
        <f t="shared" si="183"/>
        <v>486798.5133</v>
      </c>
      <c r="R359" s="39">
        <f t="shared" si="184"/>
        <v>3374542.1181</v>
      </c>
      <c r="S359" s="39" t="str">
        <f t="shared" si="185"/>
        <v> </v>
      </c>
      <c r="T359" s="39" t="str">
        <f t="shared" si="186"/>
        <v> </v>
      </c>
      <c r="U359" s="39" t="str">
        <f t="shared" si="187"/>
        <v> </v>
      </c>
      <c r="V359" s="39" t="str">
        <f t="shared" si="188"/>
        <v> </v>
      </c>
      <c r="AI359" t="str">
        <f t="array" ref="AI359">IFERROR(INDEX($L$2:$L$789,SMALL(IF(ISNUMBER(FIND($AH$2,$C$2:$C$789)),ROW($2:$789)-1,4^8),ROW(A358)))&amp;"","")</f>
        <v/>
      </c>
      <c r="AT359" t="str">
        <f t="shared" si="189"/>
        <v>486798.5133,3374542.1181</v>
      </c>
      <c r="AV359">
        <f t="shared" si="203"/>
        <v>453.05</v>
      </c>
      <c r="AX359" t="str">
        <f t="shared" si="190"/>
        <v>pl 30689.2351815182,279 30689.2351815182,400 </v>
      </c>
      <c r="AY359" t="str">
        <f t="shared" si="191"/>
        <v>30689.2351815182,447.55</v>
      </c>
      <c r="AZ359" t="str">
        <f t="shared" si="192"/>
        <v>30689.2351815182,451.775</v>
      </c>
      <c r="BA359" t="str">
        <f t="shared" si="193"/>
        <v>30689.2351815182,453.05</v>
      </c>
      <c r="BB359" t="str">
        <f t="shared" si="194"/>
        <v>-text 30688.2351815182,337 3.5 90 447.550 </v>
      </c>
      <c r="BC359" t="str">
        <f t="shared" si="195"/>
        <v>-text 30688.2351815182,320 3.5 90 453.050 </v>
      </c>
      <c r="BD359" t="str">
        <f t="shared" si="196"/>
        <v>-text 30688.2351815182,306 3.5 90 451.775 </v>
      </c>
      <c r="BE359" t="str">
        <f t="shared" si="197"/>
        <v>-text 30688.2351815182,352 3.5 90 ZG61+378.470 </v>
      </c>
      <c r="BF359" t="str">
        <f t="shared" si="198"/>
        <v>-text 30688.2351815182,280 3.5 90 邓家坡隧出 </v>
      </c>
      <c r="BG359" t="str">
        <f t="shared" si="199"/>
        <v/>
      </c>
      <c r="BH359" t="str">
        <f t="shared" si="200"/>
        <v> </v>
      </c>
      <c r="BI359" t="str">
        <f t="shared" si="201"/>
        <v> </v>
      </c>
      <c r="BJ359" t="str">
        <f t="shared" si="202"/>
        <v> </v>
      </c>
    </row>
    <row r="360" spans="1:62">
      <c r="A360">
        <v>2</v>
      </c>
      <c r="B360">
        <v>359</v>
      </c>
      <c r="C360" t="str">
        <f>Sheet1!C333</f>
        <v>韩家沟渡槽进</v>
      </c>
      <c r="D360">
        <v>486817.3678</v>
      </c>
      <c r="E360">
        <v>3374516.0826</v>
      </c>
      <c r="G360">
        <f t="shared" si="176"/>
        <v>0</v>
      </c>
      <c r="H360">
        <f t="shared" si="177"/>
        <v>0</v>
      </c>
      <c r="I360">
        <f t="shared" si="178"/>
        <v>0</v>
      </c>
      <c r="J360">
        <f t="shared" si="179"/>
        <v>32.1455973737093</v>
      </c>
      <c r="K360" s="40">
        <f t="shared" si="180"/>
        <v>61410.6159604102</v>
      </c>
      <c r="L360" s="40">
        <f t="shared" si="181"/>
        <v>61410.6159604102</v>
      </c>
      <c r="M360" s="40">
        <f t="shared" si="182"/>
        <v>61410.6159604102</v>
      </c>
      <c r="N360">
        <v>451.706</v>
      </c>
      <c r="O360">
        <v>447.952</v>
      </c>
      <c r="P360">
        <v>0</v>
      </c>
      <c r="Q360" s="39">
        <f t="shared" si="183"/>
        <v>486817.3678</v>
      </c>
      <c r="R360" s="39">
        <f t="shared" si="184"/>
        <v>3374516.0826</v>
      </c>
      <c r="S360" s="39" t="str">
        <f t="shared" si="185"/>
        <v> </v>
      </c>
      <c r="T360" s="39" t="str">
        <f t="shared" si="186"/>
        <v> </v>
      </c>
      <c r="U360" s="39" t="str">
        <f t="shared" si="187"/>
        <v> </v>
      </c>
      <c r="V360" s="39" t="str">
        <f t="shared" si="188"/>
        <v> </v>
      </c>
      <c r="AI360" t="str">
        <f t="array" ref="AI360">IFERROR(INDEX($L$2:$L$789,SMALL(IF(ISNUMBER(FIND($AH$2,$C$2:$C$789)),ROW($2:$789)-1,4^8),ROW(A359)))&amp;"","")</f>
        <v/>
      </c>
      <c r="AT360" t="str">
        <f t="shared" si="189"/>
        <v>486817.3678,3374516.0826</v>
      </c>
      <c r="AV360">
        <f t="shared" si="203"/>
        <v>452.452</v>
      </c>
      <c r="AX360" t="str">
        <f t="shared" si="190"/>
        <v>pl 30705.3079802051,279 30705.3079802051,400 </v>
      </c>
      <c r="AY360" t="str">
        <f t="shared" si="191"/>
        <v>30705.3079802051,447.952</v>
      </c>
      <c r="AZ360" t="str">
        <f t="shared" si="192"/>
        <v>30705.3079802051,451.706</v>
      </c>
      <c r="BA360" t="str">
        <f t="shared" si="193"/>
        <v>30705.3079802051,452.452</v>
      </c>
      <c r="BB360" t="str">
        <f t="shared" si="194"/>
        <v>-text 30704.3079802051,337 3.5 90 447.952 </v>
      </c>
      <c r="BC360" t="str">
        <f t="shared" si="195"/>
        <v>-text 30704.3079802051,320 3.5 90 452.452 </v>
      </c>
      <c r="BD360" t="str">
        <f t="shared" si="196"/>
        <v>-text 30704.3079802051,306 3.5 90 451.706 </v>
      </c>
      <c r="BE360" t="str">
        <f t="shared" si="197"/>
        <v>-text 30704.3079802051,352 3.5 90 ZG61+410.616 </v>
      </c>
      <c r="BF360" t="str">
        <f t="shared" si="198"/>
        <v>-text 30704.3079802051,280 3.5 90 韩家沟渡槽进 </v>
      </c>
      <c r="BG360" t="str">
        <f t="shared" si="199"/>
        <v/>
      </c>
      <c r="BH360" t="str">
        <f t="shared" si="200"/>
        <v> </v>
      </c>
      <c r="BI360" t="str">
        <f t="shared" si="201"/>
        <v> </v>
      </c>
      <c r="BJ360" t="str">
        <f t="shared" si="202"/>
        <v> </v>
      </c>
    </row>
    <row r="361" spans="1:62">
      <c r="A361">
        <v>2</v>
      </c>
      <c r="B361">
        <v>360</v>
      </c>
      <c r="C361" t="str">
        <f>Sheet1!C334</f>
        <v>韩家沟渡槽出</v>
      </c>
      <c r="D361">
        <v>486894.194</v>
      </c>
      <c r="E361">
        <v>3374409.9967</v>
      </c>
      <c r="G361">
        <f t="shared" si="176"/>
        <v>0</v>
      </c>
      <c r="H361">
        <f t="shared" si="177"/>
        <v>0</v>
      </c>
      <c r="I361">
        <f t="shared" si="178"/>
        <v>0</v>
      </c>
      <c r="J361">
        <f t="shared" si="179"/>
        <v>130.98275911438</v>
      </c>
      <c r="K361" s="40">
        <f t="shared" si="180"/>
        <v>61541.5987195246</v>
      </c>
      <c r="L361" s="40">
        <f t="shared" si="181"/>
        <v>61541.5987195246</v>
      </c>
      <c r="M361" s="40">
        <f t="shared" si="182"/>
        <v>61541.5987195246</v>
      </c>
      <c r="N361">
        <v>451.662</v>
      </c>
      <c r="O361">
        <v>447.908</v>
      </c>
      <c r="P361">
        <v>0</v>
      </c>
      <c r="Q361" s="39">
        <f t="shared" si="183"/>
        <v>486894.194</v>
      </c>
      <c r="R361" s="39">
        <f t="shared" si="184"/>
        <v>3374409.9967</v>
      </c>
      <c r="S361" s="39" t="str">
        <f t="shared" si="185"/>
        <v> </v>
      </c>
      <c r="T361" s="39" t="str">
        <f t="shared" si="186"/>
        <v> </v>
      </c>
      <c r="U361" s="39" t="str">
        <f t="shared" si="187"/>
        <v> </v>
      </c>
      <c r="V361" s="39" t="str">
        <f t="shared" si="188"/>
        <v> </v>
      </c>
      <c r="AI361" t="str">
        <f t="array" ref="AI361">IFERROR(INDEX($L$2:$L$789,SMALL(IF(ISNUMBER(FIND($AH$2,$C$2:$C$789)),ROW($2:$789)-1,4^8),ROW(A360)))&amp;"","")</f>
        <v/>
      </c>
      <c r="AT361" t="str">
        <f t="shared" si="189"/>
        <v>486894.194,3374409.9967</v>
      </c>
      <c r="AV361">
        <f t="shared" si="203"/>
        <v>452.408</v>
      </c>
      <c r="AX361" t="str">
        <f t="shared" si="190"/>
        <v>pl 30770.7993597623,279 30770.7993597623,400 </v>
      </c>
      <c r="AY361" t="str">
        <f t="shared" si="191"/>
        <v>30770.7993597623,447.908</v>
      </c>
      <c r="AZ361" t="str">
        <f t="shared" si="192"/>
        <v>30770.7993597623,451.662</v>
      </c>
      <c r="BA361" t="str">
        <f t="shared" si="193"/>
        <v>30770.7993597623,452.408</v>
      </c>
      <c r="BB361" t="str">
        <f t="shared" si="194"/>
        <v>-text 30769.7993597623,337 3.5 90 447.908 </v>
      </c>
      <c r="BC361" t="str">
        <f t="shared" si="195"/>
        <v>-text 30769.7993597623,320 3.5 90 452.408 </v>
      </c>
      <c r="BD361" t="str">
        <f t="shared" si="196"/>
        <v>-text 30769.7993597623,306 3.5 90 451.662 </v>
      </c>
      <c r="BE361" t="str">
        <f t="shared" si="197"/>
        <v>-text 30769.7993597623,352 3.5 90 ZG61+541.599 </v>
      </c>
      <c r="BF361" t="str">
        <f t="shared" si="198"/>
        <v>-text 30769.7993597623,280 3.5 90 韩家沟渡槽出 </v>
      </c>
      <c r="BG361" t="str">
        <f t="shared" si="199"/>
        <v/>
      </c>
      <c r="BH361" t="str">
        <f t="shared" si="200"/>
        <v> </v>
      </c>
      <c r="BI361" t="str">
        <f t="shared" si="201"/>
        <v> </v>
      </c>
      <c r="BJ361" t="str">
        <f t="shared" si="202"/>
        <v> </v>
      </c>
    </row>
    <row r="362" spans="1:62">
      <c r="A362">
        <v>1</v>
      </c>
      <c r="B362">
        <v>361</v>
      </c>
      <c r="C362" t="str">
        <f>Sheet1!C335</f>
        <v>会上坡隧进</v>
      </c>
      <c r="D362">
        <v>486899.633</v>
      </c>
      <c r="E362">
        <v>3374402.4863</v>
      </c>
      <c r="G362">
        <f t="shared" si="176"/>
        <v>0</v>
      </c>
      <c r="H362">
        <f t="shared" si="177"/>
        <v>0</v>
      </c>
      <c r="I362">
        <f t="shared" si="178"/>
        <v>0</v>
      </c>
      <c r="J362">
        <f t="shared" si="179"/>
        <v>9.27301618460433</v>
      </c>
      <c r="K362" s="40">
        <f t="shared" si="180"/>
        <v>61550.8717357092</v>
      </c>
      <c r="L362" s="40">
        <f t="shared" si="181"/>
        <v>61550.8717357092</v>
      </c>
      <c r="M362" s="40">
        <f t="shared" si="182"/>
        <v>61550.8717357092</v>
      </c>
      <c r="N362">
        <v>451.693</v>
      </c>
      <c r="O362">
        <v>447.468</v>
      </c>
      <c r="P362">
        <v>0</v>
      </c>
      <c r="Q362" s="39">
        <f t="shared" si="183"/>
        <v>486899.633</v>
      </c>
      <c r="R362" s="39">
        <f t="shared" si="184"/>
        <v>3374402.4863</v>
      </c>
      <c r="S362" s="39" t="str">
        <f t="shared" si="185"/>
        <v> </v>
      </c>
      <c r="T362" s="39" t="str">
        <f t="shared" si="186"/>
        <v> </v>
      </c>
      <c r="U362" s="39" t="str">
        <f t="shared" si="187"/>
        <v> </v>
      </c>
      <c r="V362" s="39" t="str">
        <f t="shared" si="188"/>
        <v> </v>
      </c>
      <c r="AI362" t="str">
        <f t="array" ref="AI362">IFERROR(INDEX($L$2:$L$789,SMALL(IF(ISNUMBER(FIND($AH$2,$C$2:$C$789)),ROW($2:$789)-1,4^8),ROW(A361)))&amp;"","")</f>
        <v/>
      </c>
      <c r="AT362" t="str">
        <f t="shared" si="189"/>
        <v>486899.633,3374402.4863</v>
      </c>
      <c r="AV362">
        <f t="shared" si="203"/>
        <v>452.968</v>
      </c>
      <c r="AX362" t="str">
        <f t="shared" si="190"/>
        <v>pl 30775.4358678546,279 30775.4358678546,400 </v>
      </c>
      <c r="AY362" t="str">
        <f t="shared" si="191"/>
        <v>30775.4358678546,447.468</v>
      </c>
      <c r="AZ362" t="str">
        <f t="shared" si="192"/>
        <v>30775.4358678546,451.693</v>
      </c>
      <c r="BA362" t="str">
        <f t="shared" si="193"/>
        <v>30775.4358678546,452.968</v>
      </c>
      <c r="BB362" t="str">
        <f t="shared" si="194"/>
        <v>-text 30774.4358678546,337 3.5 90 447.468 </v>
      </c>
      <c r="BC362" t="str">
        <f t="shared" si="195"/>
        <v>-text 30774.4358678546,320 3.5 90 452.968 </v>
      </c>
      <c r="BD362" t="str">
        <f t="shared" si="196"/>
        <v>-text 30774.4358678546,306 3.5 90 451.693 </v>
      </c>
      <c r="BE362" t="str">
        <f t="shared" si="197"/>
        <v>-text 30774.4358678546,352 3.5 90 ZG61+550.872 </v>
      </c>
      <c r="BF362" t="str">
        <f t="shared" si="198"/>
        <v>-text 30774.4358678546,280 3.5 90 会上坡隧进 </v>
      </c>
      <c r="BG362" t="str">
        <f t="shared" si="199"/>
        <v/>
      </c>
      <c r="BH362" t="str">
        <f t="shared" si="200"/>
        <v> </v>
      </c>
      <c r="BI362" t="str">
        <f t="shared" si="201"/>
        <v> </v>
      </c>
      <c r="BJ362" t="str">
        <f t="shared" si="202"/>
        <v> </v>
      </c>
    </row>
    <row r="363" spans="1:62">
      <c r="A363">
        <v>1</v>
      </c>
      <c r="B363">
        <v>362</v>
      </c>
      <c r="C363" t="s">
        <v>356</v>
      </c>
      <c r="D363">
        <v>486954.1913</v>
      </c>
      <c r="E363">
        <v>3374327.1492</v>
      </c>
      <c r="F363">
        <v>80</v>
      </c>
      <c r="G363">
        <f t="shared" si="176"/>
        <v>19.984</v>
      </c>
      <c r="H363">
        <f t="shared" si="177"/>
        <v>14.0946413408563</v>
      </c>
      <c r="I363">
        <f t="shared" si="178"/>
        <v>27.9029278174838</v>
      </c>
      <c r="J363">
        <f t="shared" si="179"/>
        <v>93.0176689415609</v>
      </c>
      <c r="K363" s="40">
        <f t="shared" si="180"/>
        <v>61629.7947633099</v>
      </c>
      <c r="L363" s="40">
        <f t="shared" si="181"/>
        <v>61643.7462272186</v>
      </c>
      <c r="M363" s="40">
        <f t="shared" si="182"/>
        <v>61657.6976911274</v>
      </c>
      <c r="N363">
        <v>451.675</v>
      </c>
      <c r="O363">
        <v>447.45</v>
      </c>
      <c r="P363">
        <v>0.001</v>
      </c>
      <c r="Q363" s="39">
        <f t="shared" si="183"/>
        <v>486945.924272032</v>
      </c>
      <c r="R363" s="39">
        <f t="shared" si="184"/>
        <v>3374338.5647667</v>
      </c>
      <c r="S363" s="39">
        <f t="shared" si="185"/>
        <v>486955.048701116</v>
      </c>
      <c r="T363" s="39">
        <f t="shared" si="186"/>
        <v>3374328.03408299</v>
      </c>
      <c r="U363" s="39">
        <f t="shared" si="187"/>
        <v>486965.861922293</v>
      </c>
      <c r="V363" s="39">
        <f t="shared" si="188"/>
        <v>3374319.24632142</v>
      </c>
      <c r="AI363" t="str">
        <f t="array" ref="AI363">IFERROR(INDEX($L$2:$L$789,SMALL(IF(ISNUMBER(FIND($AH$2,$C$2:$C$789)),ROW($2:$789)-1,4^8),ROW(A362)))&amp;"","")</f>
        <v/>
      </c>
      <c r="AS363" t="str">
        <f>"-text"&amp;" "&amp;D363&amp;","&amp;E363&amp;" "&amp;"10"&amp;" "&amp;"0"&amp;" "&amp;C363</f>
        <v>-text 486954.1913,3374327.1492 10 0 IP188</v>
      </c>
      <c r="AT363" t="str">
        <f t="shared" si="189"/>
        <v>486954.1913,3374327.1492</v>
      </c>
      <c r="AV363">
        <f t="shared" si="203"/>
        <v>452.95</v>
      </c>
      <c r="AX363" t="str">
        <f t="shared" si="190"/>
        <v>pl 30821.8731136093,279 30821.8731136093,400 </v>
      </c>
      <c r="AY363" t="str">
        <f t="shared" si="191"/>
        <v>30821.8731136093,447.45</v>
      </c>
      <c r="AZ363" t="str">
        <f t="shared" si="192"/>
        <v>30821.8731136093,451.675</v>
      </c>
      <c r="BA363" t="str">
        <f t="shared" si="193"/>
        <v>30821.8731136093,452.95</v>
      </c>
      <c r="BB363" t="str">
        <f t="shared" si="194"/>
        <v>-text 30820.8731136093,337 3.5 90 447.450 </v>
      </c>
      <c r="BC363" t="str">
        <f t="shared" si="195"/>
        <v>-text 30820.8731136093,320 3.5 90 452.950 </v>
      </c>
      <c r="BD363" t="str">
        <f t="shared" si="196"/>
        <v>-text 30820.8731136093,306 3.5 90 451.675 </v>
      </c>
      <c r="BE363" t="str">
        <f t="shared" si="197"/>
        <v>-text 30820.8731136093,352 3.5 90 ZG61+643.746 </v>
      </c>
      <c r="BF363" t="str">
        <f t="shared" si="198"/>
        <v>-text 30820.8731136093,280 3.5 90 IP188 </v>
      </c>
      <c r="BG363" t="str">
        <f t="shared" si="199"/>
        <v>-TEXT 30822.8731136093,300 3.5 0 R=80</v>
      </c>
      <c r="BH363" t="str">
        <f t="shared" si="200"/>
        <v>-TEXT 30822.8731136093,295 3.5 0 α=19.98° </v>
      </c>
      <c r="BI363" t="str">
        <f t="shared" si="201"/>
        <v>-TEXT 30822.8731136093,290 3.5 0 T=14.09 </v>
      </c>
      <c r="BJ363" t="str">
        <f t="shared" si="202"/>
        <v>-TEXT 30822.8731136093,285 3.5 0 S=27.90 </v>
      </c>
    </row>
    <row r="364" spans="1:62">
      <c r="A364">
        <v>1</v>
      </c>
      <c r="B364">
        <v>363</v>
      </c>
      <c r="C364" t="str">
        <f>Sheet1!C337</f>
        <v>会上坡隧出</v>
      </c>
      <c r="D364">
        <v>487249.563</v>
      </c>
      <c r="E364">
        <v>3374127.1353</v>
      </c>
      <c r="G364">
        <f t="shared" si="176"/>
        <v>0</v>
      </c>
      <c r="H364">
        <f t="shared" si="177"/>
        <v>0</v>
      </c>
      <c r="I364">
        <f t="shared" si="178"/>
        <v>0</v>
      </c>
      <c r="J364">
        <f t="shared" si="179"/>
        <v>356.72118153255</v>
      </c>
      <c r="K364" s="40">
        <f t="shared" si="180"/>
        <v>62000.3242313191</v>
      </c>
      <c r="L364" s="40">
        <f t="shared" si="181"/>
        <v>62000.3242313191</v>
      </c>
      <c r="M364" s="40">
        <f t="shared" si="182"/>
        <v>62000.3242313191</v>
      </c>
      <c r="N364">
        <v>451.61</v>
      </c>
      <c r="O364">
        <v>447.385</v>
      </c>
      <c r="P364">
        <v>0</v>
      </c>
      <c r="Q364" s="39">
        <f t="shared" si="183"/>
        <v>487249.563</v>
      </c>
      <c r="R364" s="39">
        <f t="shared" si="184"/>
        <v>3374127.1353</v>
      </c>
      <c r="S364" s="39" t="str">
        <f t="shared" si="185"/>
        <v> </v>
      </c>
      <c r="T364" s="39" t="str">
        <f t="shared" si="186"/>
        <v> </v>
      </c>
      <c r="U364" s="39" t="str">
        <f t="shared" si="187"/>
        <v> </v>
      </c>
      <c r="V364" s="39" t="str">
        <f t="shared" si="188"/>
        <v> </v>
      </c>
      <c r="AI364" t="str">
        <f t="array" ref="AI364">IFERROR(INDEX($L$2:$L$789,SMALL(IF(ISNUMBER(FIND($AH$2,$C$2:$C$789)),ROW($2:$789)-1,4^8),ROW(A363)))&amp;"","")</f>
        <v/>
      </c>
      <c r="AT364" t="str">
        <f t="shared" si="189"/>
        <v>487249.563,3374127.1353</v>
      </c>
      <c r="AV364">
        <f t="shared" si="203"/>
        <v>452.885</v>
      </c>
      <c r="AX364" t="str">
        <f t="shared" si="190"/>
        <v>pl 31000.1621156595,279 31000.1621156595,400 </v>
      </c>
      <c r="AY364" t="str">
        <f t="shared" si="191"/>
        <v>31000.1621156595,447.385</v>
      </c>
      <c r="AZ364" t="str">
        <f t="shared" si="192"/>
        <v>31000.1621156595,451.61</v>
      </c>
      <c r="BA364" t="str">
        <f t="shared" si="193"/>
        <v>31000.1621156595,452.885</v>
      </c>
      <c r="BB364" t="str">
        <f t="shared" si="194"/>
        <v>-text 30999.1621156595,337 3.5 90 447.385 </v>
      </c>
      <c r="BC364" t="str">
        <f t="shared" si="195"/>
        <v>-text 30999.1621156595,320 3.5 90 452.885 </v>
      </c>
      <c r="BD364" t="str">
        <f t="shared" si="196"/>
        <v>-text 30999.1621156595,306 3.5 90 451.610 </v>
      </c>
      <c r="BE364" t="str">
        <f t="shared" si="197"/>
        <v>-text 30999.1621156595,352 3.5 90 ZG62+000.324 </v>
      </c>
      <c r="BF364" t="str">
        <f t="shared" si="198"/>
        <v>-text 30999.1621156595,280 3.5 90 会上坡隧出 </v>
      </c>
      <c r="BG364" t="str">
        <f t="shared" si="199"/>
        <v/>
      </c>
      <c r="BH364" t="str">
        <f t="shared" si="200"/>
        <v> </v>
      </c>
      <c r="BI364" t="str">
        <f t="shared" si="201"/>
        <v> </v>
      </c>
      <c r="BJ364" t="str">
        <f t="shared" si="202"/>
        <v> </v>
      </c>
    </row>
    <row r="365" spans="1:62">
      <c r="A365">
        <v>1</v>
      </c>
      <c r="B365">
        <v>364</v>
      </c>
      <c r="C365" t="str">
        <f>Sheet1!C338</f>
        <v>尖坡长隧进</v>
      </c>
      <c r="D365">
        <v>487385.0811</v>
      </c>
      <c r="E365">
        <v>3374035.3684</v>
      </c>
      <c r="G365">
        <f t="shared" si="176"/>
        <v>0</v>
      </c>
      <c r="H365">
        <f t="shared" si="177"/>
        <v>0</v>
      </c>
      <c r="I365">
        <f t="shared" si="178"/>
        <v>0</v>
      </c>
      <c r="J365">
        <f t="shared" si="179"/>
        <v>163.665266208949</v>
      </c>
      <c r="K365" s="40">
        <f t="shared" si="180"/>
        <v>62163.989497528</v>
      </c>
      <c r="L365" s="40">
        <f t="shared" si="181"/>
        <v>62163.989497528</v>
      </c>
      <c r="M365" s="40">
        <f t="shared" si="182"/>
        <v>62163.989497528</v>
      </c>
      <c r="N365">
        <v>451.579</v>
      </c>
      <c r="O365">
        <v>447.354</v>
      </c>
      <c r="P365">
        <v>0</v>
      </c>
      <c r="Q365" s="39">
        <f t="shared" si="183"/>
        <v>487385.0811</v>
      </c>
      <c r="R365" s="39">
        <f t="shared" si="184"/>
        <v>3374035.3684</v>
      </c>
      <c r="S365" s="39" t="str">
        <f t="shared" si="185"/>
        <v> </v>
      </c>
      <c r="T365" s="39" t="str">
        <f t="shared" si="186"/>
        <v> </v>
      </c>
      <c r="U365" s="39" t="str">
        <f t="shared" si="187"/>
        <v> </v>
      </c>
      <c r="V365" s="39" t="str">
        <f t="shared" si="188"/>
        <v> </v>
      </c>
      <c r="AI365" t="str">
        <f t="array" ref="AI365">IFERROR(INDEX($L$2:$L$789,SMALL(IF(ISNUMBER(FIND($AH$2,$C$2:$C$789)),ROW($2:$789)-1,4^8),ROW(A364)))&amp;"","")</f>
        <v/>
      </c>
      <c r="AT365" t="str">
        <f t="shared" si="189"/>
        <v>487385.0811,3374035.3684</v>
      </c>
      <c r="AV365">
        <f t="shared" si="203"/>
        <v>452.854</v>
      </c>
      <c r="AX365" t="str">
        <f t="shared" si="190"/>
        <v>pl 31081.994748764,279 31081.994748764,400 </v>
      </c>
      <c r="AY365" t="str">
        <f t="shared" si="191"/>
        <v>31081.994748764,447.354</v>
      </c>
      <c r="AZ365" t="str">
        <f t="shared" si="192"/>
        <v>31081.994748764,451.579</v>
      </c>
      <c r="BA365" t="str">
        <f t="shared" si="193"/>
        <v>31081.994748764,452.854</v>
      </c>
      <c r="BB365" t="str">
        <f t="shared" si="194"/>
        <v>-text 31080.994748764,337 3.5 90 447.354 </v>
      </c>
      <c r="BC365" t="str">
        <f t="shared" si="195"/>
        <v>-text 31080.994748764,320 3.5 90 452.854 </v>
      </c>
      <c r="BD365" t="str">
        <f t="shared" si="196"/>
        <v>-text 31080.994748764,306 3.5 90 451.579 </v>
      </c>
      <c r="BE365" t="str">
        <f t="shared" si="197"/>
        <v>-text 31080.994748764,352 3.5 90 ZG62+163.989 </v>
      </c>
      <c r="BF365" t="str">
        <f t="shared" si="198"/>
        <v>-text 31080.994748764,280 3.5 90 尖坡长隧进 </v>
      </c>
      <c r="BG365" t="str">
        <f t="shared" si="199"/>
        <v/>
      </c>
      <c r="BH365" t="str">
        <f t="shared" si="200"/>
        <v> </v>
      </c>
      <c r="BI365" t="str">
        <f t="shared" si="201"/>
        <v> </v>
      </c>
      <c r="BJ365" t="str">
        <f t="shared" si="202"/>
        <v> </v>
      </c>
    </row>
    <row r="366" spans="1:62">
      <c r="A366">
        <v>1</v>
      </c>
      <c r="B366">
        <v>365</v>
      </c>
      <c r="C366" t="s">
        <v>359</v>
      </c>
      <c r="D366">
        <v>487456.146</v>
      </c>
      <c r="E366">
        <v>3373987.2464</v>
      </c>
      <c r="F366">
        <v>80</v>
      </c>
      <c r="G366">
        <f t="shared" si="176"/>
        <v>54.291</v>
      </c>
      <c r="H366">
        <f t="shared" si="177"/>
        <v>41.0182670466775</v>
      </c>
      <c r="I366">
        <f t="shared" si="178"/>
        <v>75.8045363360193</v>
      </c>
      <c r="J366">
        <f t="shared" si="179"/>
        <v>85.8250947917166</v>
      </c>
      <c r="K366" s="40">
        <f t="shared" si="180"/>
        <v>62208.7963252731</v>
      </c>
      <c r="L366" s="40">
        <f t="shared" si="181"/>
        <v>62246.6985934411</v>
      </c>
      <c r="M366" s="40">
        <f t="shared" si="182"/>
        <v>62284.6008616091</v>
      </c>
      <c r="N366">
        <v>451.563</v>
      </c>
      <c r="O366">
        <v>447.338</v>
      </c>
      <c r="P366">
        <v>0.002</v>
      </c>
      <c r="Q366" s="39">
        <f t="shared" si="183"/>
        <v>487422.182052125</v>
      </c>
      <c r="R366" s="39">
        <f t="shared" si="184"/>
        <v>3374010.24527989</v>
      </c>
      <c r="S366" s="39">
        <f t="shared" si="185"/>
        <v>487447.463966243</v>
      </c>
      <c r="T366" s="39">
        <f t="shared" si="186"/>
        <v>3373982.4832444</v>
      </c>
      <c r="U366" s="39">
        <f t="shared" si="187"/>
        <v>487457.294451611</v>
      </c>
      <c r="V366" s="39">
        <f t="shared" si="188"/>
        <v>3373946.24421359</v>
      </c>
      <c r="AI366" t="str">
        <f t="array" ref="AI366">IFERROR(INDEX($L$2:$L$789,SMALL(IF(ISNUMBER(FIND($AH$2,$C$2:$C$789)),ROW($2:$789)-1,4^8),ROW(A365)))&amp;"","")</f>
        <v/>
      </c>
      <c r="AS366" t="str">
        <f>"-text"&amp;" "&amp;D366&amp;","&amp;E366&amp;" "&amp;"10"&amp;" "&amp;"0"&amp;" "&amp;C366</f>
        <v>-text 487456.146,3373987.2464 10 0 IP189</v>
      </c>
      <c r="AT366" t="str">
        <f t="shared" si="189"/>
        <v>487456.146,3373987.2464</v>
      </c>
      <c r="AV366">
        <f t="shared" si="203"/>
        <v>452.838</v>
      </c>
      <c r="AX366" t="str">
        <f t="shared" si="190"/>
        <v>pl 31123.3492967205,279 31123.3492967205,400 </v>
      </c>
      <c r="AY366" t="str">
        <f t="shared" si="191"/>
        <v>31123.3492967205,447.338</v>
      </c>
      <c r="AZ366" t="str">
        <f t="shared" si="192"/>
        <v>31123.3492967205,451.563</v>
      </c>
      <c r="BA366" t="str">
        <f t="shared" si="193"/>
        <v>31123.3492967205,452.838</v>
      </c>
      <c r="BB366" t="str">
        <f t="shared" si="194"/>
        <v>-text 31122.3492967205,337 3.5 90 447.338 </v>
      </c>
      <c r="BC366" t="str">
        <f t="shared" si="195"/>
        <v>-text 31122.3492967205,320 3.5 90 452.838 </v>
      </c>
      <c r="BD366" t="str">
        <f t="shared" si="196"/>
        <v>-text 31122.3492967205,306 3.5 90 451.563 </v>
      </c>
      <c r="BE366" t="str">
        <f t="shared" si="197"/>
        <v>-text 31122.3492967205,352 3.5 90 ZG62+246.699 </v>
      </c>
      <c r="BF366" t="str">
        <f t="shared" si="198"/>
        <v>-text 31122.3492967205,280 3.5 90 IP189 </v>
      </c>
      <c r="BG366" t="str">
        <f t="shared" si="199"/>
        <v>-TEXT 31124.3492967205,300 3.5 0 R=80</v>
      </c>
      <c r="BH366" t="str">
        <f t="shared" si="200"/>
        <v>-TEXT 31124.3492967205,295 3.5 0 α=54.29° </v>
      </c>
      <c r="BI366" t="str">
        <f t="shared" si="201"/>
        <v>-TEXT 31124.3492967205,290 3.5 0 T=41.02 </v>
      </c>
      <c r="BJ366" t="str">
        <f t="shared" si="202"/>
        <v>-TEXT 31124.3492967205,285 3.5 0 S=75.80 </v>
      </c>
    </row>
    <row r="367" spans="1:62">
      <c r="A367">
        <v>1</v>
      </c>
      <c r="B367">
        <v>366</v>
      </c>
      <c r="C367" t="str">
        <f>Sheet1!C340</f>
        <v>尖坡长隧出</v>
      </c>
      <c r="D367">
        <v>487507.2179</v>
      </c>
      <c r="E367">
        <v>3372163.87</v>
      </c>
      <c r="G367">
        <f t="shared" si="176"/>
        <v>0</v>
      </c>
      <c r="H367">
        <f t="shared" si="177"/>
        <v>0</v>
      </c>
      <c r="I367">
        <f t="shared" si="178"/>
        <v>0</v>
      </c>
      <c r="J367">
        <f t="shared" si="179"/>
        <v>1824.09150950449</v>
      </c>
      <c r="K367" s="40">
        <f t="shared" si="180"/>
        <v>64067.6741040669</v>
      </c>
      <c r="L367" s="40">
        <f t="shared" si="181"/>
        <v>64067.6741040669</v>
      </c>
      <c r="M367" s="40">
        <f t="shared" si="182"/>
        <v>64067.6741040669</v>
      </c>
      <c r="N367">
        <v>451.231</v>
      </c>
      <c r="O367">
        <v>447.006</v>
      </c>
      <c r="P367">
        <v>0</v>
      </c>
      <c r="Q367" s="39">
        <f t="shared" si="183"/>
        <v>487507.2179</v>
      </c>
      <c r="R367" s="39">
        <f t="shared" si="184"/>
        <v>3372163.87</v>
      </c>
      <c r="S367" s="39" t="str">
        <f t="shared" si="185"/>
        <v> </v>
      </c>
      <c r="T367" s="39" t="str">
        <f t="shared" si="186"/>
        <v> </v>
      </c>
      <c r="U367" s="39" t="str">
        <f t="shared" si="187"/>
        <v> </v>
      </c>
      <c r="V367" s="39" t="str">
        <f t="shared" si="188"/>
        <v> </v>
      </c>
      <c r="AI367" t="str">
        <f t="array" ref="AI367">IFERROR(INDEX($L$2:$L$789,SMALL(IF(ISNUMBER(FIND($AH$2,$C$2:$C$789)),ROW($2:$789)-1,4^8),ROW(A366)))&amp;"","")</f>
        <v/>
      </c>
      <c r="AT367" t="str">
        <f t="shared" si="189"/>
        <v>487507.2179,3372163.87</v>
      </c>
      <c r="AV367">
        <f t="shared" si="203"/>
        <v>452.506</v>
      </c>
      <c r="AX367" t="str">
        <f t="shared" si="190"/>
        <v>pl 32033.8370520334,279 32033.8370520334,400 </v>
      </c>
      <c r="AY367" t="str">
        <f t="shared" si="191"/>
        <v>32033.8370520334,447.006</v>
      </c>
      <c r="AZ367" t="str">
        <f t="shared" si="192"/>
        <v>32033.8370520334,451.231</v>
      </c>
      <c r="BA367" t="str">
        <f t="shared" si="193"/>
        <v>32033.8370520334,452.506</v>
      </c>
      <c r="BB367" t="str">
        <f t="shared" si="194"/>
        <v>-text 32032.8370520334,337 3.5 90 447.006 </v>
      </c>
      <c r="BC367" t="str">
        <f t="shared" si="195"/>
        <v>-text 32032.8370520334,320 3.5 90 452.506 </v>
      </c>
      <c r="BD367" t="str">
        <f t="shared" si="196"/>
        <v>-text 32032.8370520334,306 3.5 90 451.231 </v>
      </c>
      <c r="BE367" t="str">
        <f t="shared" si="197"/>
        <v>-text 32032.8370520334,352 3.5 90 ZG64+067.674 </v>
      </c>
      <c r="BF367" t="str">
        <f t="shared" si="198"/>
        <v>-text 32032.8370520334,280 3.5 90 尖坡长隧出 </v>
      </c>
      <c r="BG367" t="str">
        <f t="shared" si="199"/>
        <v/>
      </c>
      <c r="BH367" t="str">
        <f t="shared" si="200"/>
        <v> </v>
      </c>
      <c r="BI367" t="str">
        <f t="shared" si="201"/>
        <v> </v>
      </c>
      <c r="BJ367" t="str">
        <f t="shared" si="202"/>
        <v> </v>
      </c>
    </row>
    <row r="368" spans="1:62">
      <c r="A368">
        <v>0</v>
      </c>
      <c r="B368">
        <v>367</v>
      </c>
      <c r="C368" t="s">
        <v>361</v>
      </c>
      <c r="D368">
        <v>487507.673</v>
      </c>
      <c r="E368">
        <v>3372147.6244</v>
      </c>
      <c r="F368">
        <v>80</v>
      </c>
      <c r="G368">
        <f t="shared" si="176"/>
        <v>9.536</v>
      </c>
      <c r="H368">
        <f t="shared" si="177"/>
        <v>6.67279431261217</v>
      </c>
      <c r="I368">
        <f t="shared" si="178"/>
        <v>13.3147677976143</v>
      </c>
      <c r="J368">
        <f t="shared" si="179"/>
        <v>16.2519732762146</v>
      </c>
      <c r="K368" s="40">
        <f t="shared" si="180"/>
        <v>64077.2532830305</v>
      </c>
      <c r="L368" s="40">
        <f t="shared" si="181"/>
        <v>64083.9106669293</v>
      </c>
      <c r="M368" s="40">
        <f t="shared" si="182"/>
        <v>64090.5680508281</v>
      </c>
      <c r="N368">
        <v>451.231</v>
      </c>
      <c r="O368">
        <v>446.985</v>
      </c>
      <c r="P368">
        <v>0</v>
      </c>
      <c r="Q368" s="39">
        <f t="shared" si="183"/>
        <v>487507.486143386</v>
      </c>
      <c r="R368" s="39">
        <f t="shared" si="184"/>
        <v>3372154.29457755</v>
      </c>
      <c r="S368" s="39">
        <f t="shared" si="185"/>
        <v>487507.949080372</v>
      </c>
      <c r="T368" s="39">
        <f t="shared" si="186"/>
        <v>3372147.65523314</v>
      </c>
      <c r="U368" s="39">
        <f t="shared" si="187"/>
        <v>487508.962267313</v>
      </c>
      <c r="V368" s="39">
        <f t="shared" si="188"/>
        <v>3372141.0773416</v>
      </c>
      <c r="AI368" t="str">
        <f t="array" ref="AI368">IFERROR(INDEX($L$2:$L$789,SMALL(IF(ISNUMBER(FIND($AH$2,$C$2:$C$789)),ROW($2:$789)-1,4^8),ROW(A367)))&amp;"","")</f>
        <v/>
      </c>
      <c r="AS368" t="str">
        <f>"-text"&amp;" "&amp;D368&amp;","&amp;E368&amp;" "&amp;"10"&amp;" "&amp;"0"&amp;" "&amp;C368</f>
        <v>-text 487507.673,3372147.6244 10 0 IP190</v>
      </c>
      <c r="AT368" t="str">
        <f t="shared" si="189"/>
        <v>487507.673,3372147.6244</v>
      </c>
      <c r="AV368">
        <f t="shared" si="203"/>
        <v>452.785</v>
      </c>
      <c r="AX368" t="str">
        <f t="shared" si="190"/>
        <v>pl 32041.9553334646,279 32041.9553334646,400 </v>
      </c>
      <c r="AY368" t="str">
        <f t="shared" si="191"/>
        <v>32041.9553334646,446.985</v>
      </c>
      <c r="AZ368" t="str">
        <f t="shared" si="192"/>
        <v>32041.9553334646,451.231</v>
      </c>
      <c r="BA368" t="str">
        <f t="shared" si="193"/>
        <v>32041.9553334646,452.785</v>
      </c>
      <c r="BB368" t="str">
        <f t="shared" si="194"/>
        <v>-text 32040.9553334646,337 3.5 90 446.985 </v>
      </c>
      <c r="BC368" t="str">
        <f t="shared" si="195"/>
        <v>-text 32040.9553334646,320 3.5 90 452.785 </v>
      </c>
      <c r="BD368" t="str">
        <f t="shared" si="196"/>
        <v>-text 32040.9553334646,306 3.5 90 451.231 </v>
      </c>
      <c r="BE368" t="str">
        <f t="shared" si="197"/>
        <v>-text 32040.9553334646,352 3.5 90 ZG64+083.911 </v>
      </c>
      <c r="BF368" t="str">
        <f t="shared" si="198"/>
        <v>-text 32040.9553334646,280 3.5 90 IP190 </v>
      </c>
      <c r="BG368" t="str">
        <f t="shared" si="199"/>
        <v>-TEXT 32042.9553334646,300 3.5 0 R=80</v>
      </c>
      <c r="BH368" t="str">
        <f t="shared" si="200"/>
        <v>-TEXT 32042.9553334646,295 3.5 0 α=9.54° </v>
      </c>
      <c r="BI368" t="str">
        <f t="shared" si="201"/>
        <v>-TEXT 32042.9553334646,290 3.5 0 T=6.67 </v>
      </c>
      <c r="BJ368" t="str">
        <f t="shared" si="202"/>
        <v>-TEXT 32042.9553334646,285 3.5 0 S=13.31 </v>
      </c>
    </row>
    <row r="369" s="37" customFormat="1" spans="1:62">
      <c r="A369" s="37">
        <v>0</v>
      </c>
      <c r="B369" s="37">
        <v>368</v>
      </c>
      <c r="C369" s="37" t="str">
        <f>Sheet1!C342</f>
        <v>赵家沟分水闸进</v>
      </c>
      <c r="D369" s="37">
        <v>487531.7772</v>
      </c>
      <c r="E369" s="37">
        <v>3372025.2203</v>
      </c>
      <c r="G369" s="37">
        <f t="shared" si="176"/>
        <v>0</v>
      </c>
      <c r="H369" s="37">
        <f t="shared" si="177"/>
        <v>0</v>
      </c>
      <c r="I369" s="37">
        <f t="shared" si="178"/>
        <v>0</v>
      </c>
      <c r="J369" s="37">
        <f t="shared" si="179"/>
        <v>124.754864251588</v>
      </c>
      <c r="K369" s="52">
        <f t="shared" si="180"/>
        <v>64208.6501207671</v>
      </c>
      <c r="L369" s="52">
        <f t="shared" si="181"/>
        <v>64208.6501207671</v>
      </c>
      <c r="M369" s="52">
        <f t="shared" si="182"/>
        <v>64208.6501207671</v>
      </c>
      <c r="N369" s="37">
        <v>451.206</v>
      </c>
      <c r="O369" s="37">
        <v>446.96</v>
      </c>
      <c r="P369" s="37">
        <v>0</v>
      </c>
      <c r="Q369" s="51">
        <f t="shared" si="183"/>
        <v>487531.7772</v>
      </c>
      <c r="R369" s="51">
        <f t="shared" si="184"/>
        <v>3372025.2203</v>
      </c>
      <c r="S369" s="51" t="str">
        <f t="shared" si="185"/>
        <v> </v>
      </c>
      <c r="T369" s="51" t="str">
        <f t="shared" si="186"/>
        <v> </v>
      </c>
      <c r="U369" s="51" t="str">
        <f t="shared" si="187"/>
        <v> </v>
      </c>
      <c r="V369" s="51" t="str">
        <f t="shared" si="188"/>
        <v> </v>
      </c>
      <c r="AI369" s="37" t="str">
        <f t="array" ref="AI369">IFERROR(INDEX($L$2:$L$789,SMALL(IF(ISNUMBER(FIND($AH$2,$C$2:$C$789)),ROW($2:$789)-1,4^8),ROW(A368)))&amp;"","")</f>
        <v/>
      </c>
      <c r="AT369" s="37" t="str">
        <f t="shared" si="189"/>
        <v>487531.7772,3372025.2203</v>
      </c>
      <c r="AV369" s="37">
        <f t="shared" si="203"/>
        <v>452.76</v>
      </c>
      <c r="AX369" s="37" t="str">
        <f t="shared" si="190"/>
        <v>pl 32104.3250603835,279 32104.3250603835,400 </v>
      </c>
      <c r="AY369" s="37" t="str">
        <f t="shared" si="191"/>
        <v>32104.3250603835,446.96</v>
      </c>
      <c r="AZ369" s="37" t="str">
        <f t="shared" si="192"/>
        <v>32104.3250603835,451.206</v>
      </c>
      <c r="BA369" s="37" t="str">
        <f t="shared" si="193"/>
        <v>32104.3250603835,452.76</v>
      </c>
      <c r="BB369" s="37" t="str">
        <f t="shared" si="194"/>
        <v>-text 32103.3250603835,337 3.5 90 446.960 </v>
      </c>
      <c r="BC369" s="37" t="str">
        <f t="shared" si="195"/>
        <v>-text 32103.3250603835,320 3.5 90 452.760 </v>
      </c>
      <c r="BD369" s="37" t="str">
        <f t="shared" si="196"/>
        <v>-text 32103.3250603835,306 3.5 90 451.206 </v>
      </c>
      <c r="BE369" s="37" t="str">
        <f t="shared" si="197"/>
        <v>-text 32103.3250603835,352 3.5 90 ZG64+208.650 </v>
      </c>
      <c r="BF369" s="37" t="str">
        <f t="shared" si="198"/>
        <v>-text 32103.3250603835,280 3.5 90 赵家沟分水闸进 </v>
      </c>
      <c r="BG369" s="37" t="str">
        <f t="shared" si="199"/>
        <v/>
      </c>
      <c r="BH369" s="37" t="str">
        <f t="shared" si="200"/>
        <v> </v>
      </c>
      <c r="BI369" s="37" t="str">
        <f t="shared" si="201"/>
        <v> </v>
      </c>
      <c r="BJ369" s="37" t="str">
        <f t="shared" si="202"/>
        <v> </v>
      </c>
    </row>
    <row r="370" s="37" customFormat="1" spans="1:62">
      <c r="A370" s="37">
        <v>0</v>
      </c>
      <c r="B370" s="37">
        <v>369</v>
      </c>
      <c r="C370" s="37" t="str">
        <f>Sheet1!C343</f>
        <v>赵家沟分水闸出</v>
      </c>
      <c r="D370" s="37">
        <v>487531.7772</v>
      </c>
      <c r="E370" s="37">
        <v>3372025.2203</v>
      </c>
      <c r="G370" s="37">
        <f t="shared" si="176"/>
        <v>0</v>
      </c>
      <c r="H370" s="37">
        <f t="shared" si="177"/>
        <v>0</v>
      </c>
      <c r="I370" s="37">
        <f t="shared" si="178"/>
        <v>0</v>
      </c>
      <c r="J370" s="37">
        <f t="shared" si="179"/>
        <v>0</v>
      </c>
      <c r="K370" s="52">
        <f t="shared" si="180"/>
        <v>64208.6501207671</v>
      </c>
      <c r="L370" s="52">
        <f t="shared" si="181"/>
        <v>64208.6501207671</v>
      </c>
      <c r="M370" s="52">
        <f t="shared" si="182"/>
        <v>64208.6501207671</v>
      </c>
      <c r="N370" s="37">
        <v>451.176</v>
      </c>
      <c r="O370" s="37">
        <v>447.261</v>
      </c>
      <c r="P370" s="37">
        <v>0</v>
      </c>
      <c r="Q370" s="51">
        <f t="shared" si="183"/>
        <v>487531.7772</v>
      </c>
      <c r="R370" s="51">
        <f t="shared" si="184"/>
        <v>3372025.2203</v>
      </c>
      <c r="S370" s="51" t="str">
        <f t="shared" si="185"/>
        <v> </v>
      </c>
      <c r="T370" s="51" t="str">
        <f t="shared" si="186"/>
        <v> </v>
      </c>
      <c r="U370" s="51" t="str">
        <f t="shared" si="187"/>
        <v> </v>
      </c>
      <c r="V370" s="51" t="str">
        <f t="shared" si="188"/>
        <v> </v>
      </c>
      <c r="AI370" s="37" t="str">
        <f t="array" ref="AI370">IFERROR(INDEX($L$2:$L$789,SMALL(IF(ISNUMBER(FIND($AH$2,$C$2:$C$789)),ROW($2:$789)-1,4^8),ROW(A369)))&amp;"","")</f>
        <v/>
      </c>
      <c r="AT370" s="37" t="str">
        <f t="shared" si="189"/>
        <v>487531.7772,3372025.2203</v>
      </c>
      <c r="AV370" s="37">
        <f t="shared" si="203"/>
        <v>453.061</v>
      </c>
      <c r="AX370" s="37" t="str">
        <f t="shared" si="190"/>
        <v>pl 32104.3250603835,279 32104.3250603835,400 </v>
      </c>
      <c r="AY370" s="37" t="str">
        <f t="shared" si="191"/>
        <v>32104.3250603835,447.261</v>
      </c>
      <c r="AZ370" s="37" t="str">
        <f t="shared" si="192"/>
        <v>32104.3250603835,451.176</v>
      </c>
      <c r="BA370" s="37" t="str">
        <f t="shared" si="193"/>
        <v>32104.3250603835,453.061</v>
      </c>
      <c r="BB370" s="37" t="str">
        <f t="shared" si="194"/>
        <v>-text 32103.3250603835,337 3.5 90 447.261 </v>
      </c>
      <c r="BC370" s="37" t="str">
        <f t="shared" si="195"/>
        <v>-text 32103.3250603835,320 3.5 90 453.061 </v>
      </c>
      <c r="BD370" s="37" t="str">
        <f t="shared" si="196"/>
        <v>-text 32103.3250603835,306 3.5 90 451.176 </v>
      </c>
      <c r="BE370" s="37" t="str">
        <f t="shared" si="197"/>
        <v>-text 32103.3250603835,352 3.5 90 ZG64+208.650 </v>
      </c>
      <c r="BF370" s="37" t="str">
        <f t="shared" si="198"/>
        <v>-text 32103.3250603835,280 3.5 90 赵家沟分水闸出 </v>
      </c>
      <c r="BG370" s="37" t="str">
        <f t="shared" si="199"/>
        <v/>
      </c>
      <c r="BH370" s="37" t="str">
        <f t="shared" si="200"/>
        <v> </v>
      </c>
      <c r="BI370" s="37" t="str">
        <f t="shared" si="201"/>
        <v> </v>
      </c>
      <c r="BJ370" s="37" t="str">
        <f t="shared" si="202"/>
        <v> </v>
      </c>
    </row>
    <row r="371" spans="1:62">
      <c r="A371">
        <v>1</v>
      </c>
      <c r="B371">
        <v>370</v>
      </c>
      <c r="C371" t="str">
        <f>Sheet1!C344</f>
        <v>大白山隧进</v>
      </c>
      <c r="D371">
        <v>487542.7985</v>
      </c>
      <c r="E371">
        <v>3371969.2531</v>
      </c>
      <c r="G371">
        <f t="shared" si="176"/>
        <v>0</v>
      </c>
      <c r="H371">
        <f t="shared" si="177"/>
        <v>0</v>
      </c>
      <c r="I371">
        <f t="shared" si="178"/>
        <v>0</v>
      </c>
      <c r="J371">
        <f t="shared" si="179"/>
        <v>57.0420593033186</v>
      </c>
      <c r="K371" s="40">
        <f t="shared" si="180"/>
        <v>64265.6921800704</v>
      </c>
      <c r="L371" s="40">
        <f t="shared" si="181"/>
        <v>64265.6921800704</v>
      </c>
      <c r="M371" s="40">
        <f t="shared" si="182"/>
        <v>64265.6921800704</v>
      </c>
      <c r="N371">
        <v>451.165</v>
      </c>
      <c r="O371">
        <v>447.276</v>
      </c>
      <c r="P371">
        <v>0</v>
      </c>
      <c r="Q371" s="39">
        <f t="shared" si="183"/>
        <v>487542.7985</v>
      </c>
      <c r="R371" s="39">
        <f t="shared" si="184"/>
        <v>3371969.2531</v>
      </c>
      <c r="S371" s="39" t="str">
        <f t="shared" si="185"/>
        <v> </v>
      </c>
      <c r="T371" s="39" t="str">
        <f t="shared" si="186"/>
        <v> </v>
      </c>
      <c r="U371" s="39" t="str">
        <f t="shared" si="187"/>
        <v> </v>
      </c>
      <c r="V371" s="39" t="str">
        <f t="shared" si="188"/>
        <v> </v>
      </c>
      <c r="AI371" t="str">
        <f t="array" ref="AI371">IFERROR(INDEX($L$2:$L$789,SMALL(IF(ISNUMBER(FIND($AH$2,$C$2:$C$789)),ROW($2:$789)-1,4^8),ROW(A370)))&amp;"","")</f>
        <v/>
      </c>
      <c r="AT371" t="str">
        <f t="shared" si="189"/>
        <v>487542.7985,3371969.2531</v>
      </c>
      <c r="AV371">
        <f>IF(A371=0,O371+5.4,IF(A371=1,O371+5.1,O371+4.25))</f>
        <v>452.376</v>
      </c>
      <c r="AX371" t="str">
        <f t="shared" si="190"/>
        <v>pl 32132.8460900352,279 32132.8460900352,400 </v>
      </c>
      <c r="AY371" t="str">
        <f t="shared" si="191"/>
        <v>32132.8460900352,447.276</v>
      </c>
      <c r="AZ371" t="str">
        <f t="shared" si="192"/>
        <v>32132.8460900352,451.165</v>
      </c>
      <c r="BA371" t="str">
        <f t="shared" si="193"/>
        <v>32132.8460900352,452.376</v>
      </c>
      <c r="BB371" t="str">
        <f t="shared" si="194"/>
        <v>-text 32131.8460900352,337 3.5 90 447.276 </v>
      </c>
      <c r="BC371" t="str">
        <f t="shared" si="195"/>
        <v>-text 32131.8460900352,320 3.5 90 452.376 </v>
      </c>
      <c r="BD371" t="str">
        <f t="shared" si="196"/>
        <v>-text 32131.8460900352,306 3.5 90 451.165 </v>
      </c>
      <c r="BE371" t="str">
        <f t="shared" si="197"/>
        <v>-text 32131.8460900352,352 3.5 90 ZG64+265.692 </v>
      </c>
      <c r="BF371" t="str">
        <f t="shared" si="198"/>
        <v>-text 32131.8460900352,280 3.5 90 大白山隧进 </v>
      </c>
      <c r="BG371" t="str">
        <f t="shared" si="199"/>
        <v/>
      </c>
      <c r="BH371" t="str">
        <f t="shared" si="200"/>
        <v> </v>
      </c>
      <c r="BI371" t="str">
        <f t="shared" si="201"/>
        <v> </v>
      </c>
      <c r="BJ371" t="str">
        <f t="shared" si="202"/>
        <v> </v>
      </c>
    </row>
    <row r="372" spans="1:62">
      <c r="A372">
        <v>1</v>
      </c>
      <c r="B372">
        <v>371</v>
      </c>
      <c r="C372" t="s">
        <v>365</v>
      </c>
      <c r="D372">
        <v>487577.3944</v>
      </c>
      <c r="E372">
        <v>3371793.571</v>
      </c>
      <c r="F372">
        <v>80</v>
      </c>
      <c r="G372">
        <f t="shared" si="176"/>
        <v>7.413</v>
      </c>
      <c r="H372">
        <f t="shared" si="177"/>
        <v>5.18248166595819</v>
      </c>
      <c r="I372">
        <f t="shared" si="178"/>
        <v>10.3505005960272</v>
      </c>
      <c r="J372">
        <f t="shared" si="179"/>
        <v>179.056070986638</v>
      </c>
      <c r="K372" s="40">
        <f t="shared" si="180"/>
        <v>64439.5657693911</v>
      </c>
      <c r="L372" s="40">
        <f t="shared" si="181"/>
        <v>64444.7410196891</v>
      </c>
      <c r="M372" s="40">
        <f t="shared" si="182"/>
        <v>64449.9162699871</v>
      </c>
      <c r="N372">
        <v>451.132</v>
      </c>
      <c r="O372">
        <v>447.243</v>
      </c>
      <c r="P372">
        <v>0</v>
      </c>
      <c r="Q372" s="39">
        <f t="shared" si="183"/>
        <v>487576.393078925</v>
      </c>
      <c r="R372" s="39">
        <f t="shared" si="184"/>
        <v>3371798.65582766</v>
      </c>
      <c r="S372" s="39">
        <f t="shared" si="185"/>
        <v>487577.228126207</v>
      </c>
      <c r="T372" s="39">
        <f t="shared" si="186"/>
        <v>3371793.54930468</v>
      </c>
      <c r="U372" s="39">
        <f t="shared" si="187"/>
        <v>487577.731321496</v>
      </c>
      <c r="V372" s="39">
        <f t="shared" si="188"/>
        <v>3371788.39948184</v>
      </c>
      <c r="AI372" t="str">
        <f t="array" ref="AI372">IFERROR(INDEX($L$2:$L$789,SMALL(IF(ISNUMBER(FIND($AH$2,$C$2:$C$789)),ROW($2:$789)-1,4^8),ROW(A371)))&amp;"","")</f>
        <v/>
      </c>
      <c r="AS372" t="str">
        <f>"-text"&amp;" "&amp;D372&amp;","&amp;E372&amp;" "&amp;"10"&amp;" "&amp;"0"&amp;" "&amp;C372</f>
        <v>-text 487577.3944,3371793.571 10 0 IP191</v>
      </c>
      <c r="AT372" t="str">
        <f t="shared" si="189"/>
        <v>487577.3944,3371793.571</v>
      </c>
      <c r="AV372">
        <f t="shared" ref="AV372:AV435" si="204">IF(A372=0,O372+5.4,IF(A372=1,O372+5.1,O372+4.25))</f>
        <v>452.343</v>
      </c>
      <c r="AX372" t="str">
        <f t="shared" si="190"/>
        <v>pl 32222.3705098445,279 32222.3705098445,400 </v>
      </c>
      <c r="AY372" t="str">
        <f t="shared" si="191"/>
        <v>32222.3705098445,447.243</v>
      </c>
      <c r="AZ372" t="str">
        <f t="shared" si="192"/>
        <v>32222.3705098445,451.132</v>
      </c>
      <c r="BA372" t="str">
        <f t="shared" si="193"/>
        <v>32222.3705098445,452.343</v>
      </c>
      <c r="BB372" t="str">
        <f t="shared" si="194"/>
        <v>-text 32221.3705098445,337 3.5 90 447.243 </v>
      </c>
      <c r="BC372" t="str">
        <f t="shared" si="195"/>
        <v>-text 32221.3705098445,320 3.5 90 452.343 </v>
      </c>
      <c r="BD372" t="str">
        <f t="shared" si="196"/>
        <v>-text 32221.3705098445,306 3.5 90 451.132 </v>
      </c>
      <c r="BE372" t="str">
        <f t="shared" si="197"/>
        <v>-text 32221.3705098445,352 3.5 90 ZG64+444.741 </v>
      </c>
      <c r="BF372" t="str">
        <f t="shared" si="198"/>
        <v>-text 32221.3705098445,280 3.5 90 IP191 </v>
      </c>
      <c r="BG372" t="str">
        <f t="shared" si="199"/>
        <v>-TEXT 32223.3705098445,300 3.5 0 R=80</v>
      </c>
      <c r="BH372" t="str">
        <f t="shared" si="200"/>
        <v>-TEXT 32223.3705098445,295 3.5 0 α=7.41° </v>
      </c>
      <c r="BI372" t="str">
        <f t="shared" si="201"/>
        <v>-TEXT 32223.3705098445,290 3.5 0 T=5.18 </v>
      </c>
      <c r="BJ372" t="str">
        <f t="shared" si="202"/>
        <v>-TEXT 32223.3705098445,285 3.5 0 S=10.35 </v>
      </c>
    </row>
    <row r="373" spans="1:62">
      <c r="A373">
        <v>1</v>
      </c>
      <c r="B373">
        <v>372</v>
      </c>
      <c r="C373" t="str">
        <f>Sheet1!C346</f>
        <v>大白山隧出</v>
      </c>
      <c r="D373">
        <v>487588.9887</v>
      </c>
      <c r="E373">
        <v>3371615.6063</v>
      </c>
      <c r="G373">
        <f t="shared" si="176"/>
        <v>0</v>
      </c>
      <c r="H373">
        <f t="shared" si="177"/>
        <v>0</v>
      </c>
      <c r="I373">
        <f t="shared" si="178"/>
        <v>0</v>
      </c>
      <c r="J373">
        <f t="shared" si="179"/>
        <v>178.341981144493</v>
      </c>
      <c r="K373" s="40">
        <f t="shared" si="180"/>
        <v>64623.0757694656</v>
      </c>
      <c r="L373" s="40">
        <f t="shared" si="181"/>
        <v>64623.0757694656</v>
      </c>
      <c r="M373" s="40">
        <f t="shared" si="182"/>
        <v>64623.0757694656</v>
      </c>
      <c r="N373">
        <v>451.1</v>
      </c>
      <c r="O373">
        <v>447.211</v>
      </c>
      <c r="P373">
        <v>0</v>
      </c>
      <c r="Q373" s="39">
        <f t="shared" si="183"/>
        <v>487588.9887</v>
      </c>
      <c r="R373" s="39">
        <f t="shared" si="184"/>
        <v>3371615.6063</v>
      </c>
      <c r="S373" s="39" t="str">
        <f t="shared" si="185"/>
        <v> </v>
      </c>
      <c r="T373" s="39" t="str">
        <f t="shared" si="186"/>
        <v> </v>
      </c>
      <c r="U373" s="39" t="str">
        <f t="shared" si="187"/>
        <v> </v>
      </c>
      <c r="V373" s="39" t="str">
        <f t="shared" si="188"/>
        <v> </v>
      </c>
      <c r="AI373" t="str">
        <f t="array" ref="AI373">IFERROR(INDEX($L$2:$L$789,SMALL(IF(ISNUMBER(FIND($AH$2,$C$2:$C$789)),ROW($2:$789)-1,4^8),ROW(A372)))&amp;"","")</f>
        <v/>
      </c>
      <c r="AT373" t="str">
        <f t="shared" si="189"/>
        <v>487588.9887,3371615.6063</v>
      </c>
      <c r="AV373">
        <f t="shared" si="204"/>
        <v>452.311</v>
      </c>
      <c r="AX373" t="str">
        <f t="shared" si="190"/>
        <v>pl 32311.5378847328,279 32311.5378847328,400 </v>
      </c>
      <c r="AY373" t="str">
        <f t="shared" si="191"/>
        <v>32311.5378847328,447.211</v>
      </c>
      <c r="AZ373" t="str">
        <f t="shared" si="192"/>
        <v>32311.5378847328,451.1</v>
      </c>
      <c r="BA373" t="str">
        <f t="shared" si="193"/>
        <v>32311.5378847328,452.311</v>
      </c>
      <c r="BB373" t="str">
        <f t="shared" si="194"/>
        <v>-text 32310.5378847328,337 3.5 90 447.211 </v>
      </c>
      <c r="BC373" t="str">
        <f t="shared" si="195"/>
        <v>-text 32310.5378847328,320 3.5 90 452.311 </v>
      </c>
      <c r="BD373" t="str">
        <f t="shared" si="196"/>
        <v>-text 32310.5378847328,306 3.5 90 451.100 </v>
      </c>
      <c r="BE373" t="str">
        <f t="shared" si="197"/>
        <v>-text 32310.5378847328,352 3.5 90 ZG64+623.076 </v>
      </c>
      <c r="BF373" t="str">
        <f t="shared" si="198"/>
        <v>-text 32310.5378847328,280 3.5 90 大白山隧出 </v>
      </c>
      <c r="BG373" t="str">
        <f t="shared" si="199"/>
        <v/>
      </c>
      <c r="BH373" t="str">
        <f t="shared" si="200"/>
        <v> </v>
      </c>
      <c r="BI373" t="str">
        <f t="shared" si="201"/>
        <v> </v>
      </c>
      <c r="BJ373" t="str">
        <f t="shared" si="202"/>
        <v> </v>
      </c>
    </row>
    <row r="374" spans="1:62">
      <c r="A374">
        <v>1</v>
      </c>
      <c r="B374">
        <v>373</v>
      </c>
      <c r="C374" t="str">
        <f>Sheet1!C347</f>
        <v>火闪庙隧进</v>
      </c>
      <c r="D374">
        <v>487595.7847</v>
      </c>
      <c r="E374">
        <v>3371511.2906</v>
      </c>
      <c r="G374">
        <f t="shared" si="176"/>
        <v>0</v>
      </c>
      <c r="H374">
        <f t="shared" si="177"/>
        <v>0</v>
      </c>
      <c r="I374">
        <f t="shared" si="178"/>
        <v>0</v>
      </c>
      <c r="J374">
        <f t="shared" si="179"/>
        <v>104.536839834205</v>
      </c>
      <c r="K374" s="40">
        <f t="shared" si="180"/>
        <v>64727.6126092999</v>
      </c>
      <c r="L374" s="40">
        <f t="shared" si="181"/>
        <v>64727.6126092999</v>
      </c>
      <c r="M374" s="40">
        <f t="shared" si="182"/>
        <v>64727.6126092999</v>
      </c>
      <c r="N374">
        <v>451.08</v>
      </c>
      <c r="O374">
        <v>447.191</v>
      </c>
      <c r="P374">
        <v>0</v>
      </c>
      <c r="Q374" s="39">
        <f t="shared" si="183"/>
        <v>487595.7847</v>
      </c>
      <c r="R374" s="39">
        <f t="shared" si="184"/>
        <v>3371511.2906</v>
      </c>
      <c r="S374" s="39" t="str">
        <f t="shared" si="185"/>
        <v> </v>
      </c>
      <c r="T374" s="39" t="str">
        <f t="shared" si="186"/>
        <v> </v>
      </c>
      <c r="U374" s="39" t="str">
        <f t="shared" si="187"/>
        <v> </v>
      </c>
      <c r="V374" s="39" t="str">
        <f t="shared" si="188"/>
        <v> </v>
      </c>
      <c r="AI374" t="str">
        <f t="array" ref="AI374">IFERROR(INDEX($L$2:$L$789,SMALL(IF(ISNUMBER(FIND($AH$2,$C$2:$C$789)),ROW($2:$789)-1,4^8),ROW(A373)))&amp;"","")</f>
        <v/>
      </c>
      <c r="AT374" t="str">
        <f t="shared" si="189"/>
        <v>487595.7847,3371511.2906</v>
      </c>
      <c r="AV374">
        <f t="shared" si="204"/>
        <v>452.291</v>
      </c>
      <c r="AX374" t="str">
        <f t="shared" si="190"/>
        <v>pl 32363.8063046499,279 32363.8063046499,400 </v>
      </c>
      <c r="AY374" t="str">
        <f t="shared" si="191"/>
        <v>32363.8063046499,447.191</v>
      </c>
      <c r="AZ374" t="str">
        <f t="shared" si="192"/>
        <v>32363.8063046499,451.08</v>
      </c>
      <c r="BA374" t="str">
        <f t="shared" si="193"/>
        <v>32363.8063046499,452.291</v>
      </c>
      <c r="BB374" t="str">
        <f t="shared" si="194"/>
        <v>-text 32362.8063046499,337 3.5 90 447.191 </v>
      </c>
      <c r="BC374" t="str">
        <f t="shared" si="195"/>
        <v>-text 32362.8063046499,320 3.5 90 452.291 </v>
      </c>
      <c r="BD374" t="str">
        <f t="shared" si="196"/>
        <v>-text 32362.8063046499,306 3.5 90 451.080 </v>
      </c>
      <c r="BE374" t="str">
        <f t="shared" si="197"/>
        <v>-text 32362.8063046499,352 3.5 90 ZG64+727.613 </v>
      </c>
      <c r="BF374" t="str">
        <f t="shared" si="198"/>
        <v>-text 32362.8063046499,280 3.5 90 火闪庙隧进 </v>
      </c>
      <c r="BG374" t="str">
        <f t="shared" si="199"/>
        <v/>
      </c>
      <c r="BH374" t="str">
        <f t="shared" si="200"/>
        <v> </v>
      </c>
      <c r="BI374" t="str">
        <f t="shared" si="201"/>
        <v> </v>
      </c>
      <c r="BJ374" t="str">
        <f t="shared" si="202"/>
        <v> </v>
      </c>
    </row>
    <row r="375" spans="1:62">
      <c r="A375">
        <v>1</v>
      </c>
      <c r="B375">
        <v>374</v>
      </c>
      <c r="C375" t="s">
        <v>368</v>
      </c>
      <c r="D375">
        <v>487613.2134</v>
      </c>
      <c r="E375">
        <v>3371243.7706</v>
      </c>
      <c r="F375">
        <v>80</v>
      </c>
      <c r="G375">
        <f t="shared" si="176"/>
        <v>5.526</v>
      </c>
      <c r="H375">
        <f t="shared" si="177"/>
        <v>3.86086906080873</v>
      </c>
      <c r="I375">
        <f t="shared" si="178"/>
        <v>7.71575155721653</v>
      </c>
      <c r="J375">
        <f t="shared" si="179"/>
        <v>268.087131328043</v>
      </c>
      <c r="K375" s="40">
        <f t="shared" si="180"/>
        <v>64991.8388715671</v>
      </c>
      <c r="L375" s="40">
        <f t="shared" si="181"/>
        <v>64995.6967473457</v>
      </c>
      <c r="M375" s="40">
        <f t="shared" si="182"/>
        <v>64999.5546231243</v>
      </c>
      <c r="N375">
        <v>451.031</v>
      </c>
      <c r="O375">
        <v>447.142</v>
      </c>
      <c r="P375">
        <v>0</v>
      </c>
      <c r="Q375" s="39">
        <f t="shared" si="183"/>
        <v>487612.962399781</v>
      </c>
      <c r="R375" s="39">
        <f t="shared" si="184"/>
        <v>3371247.62330149</v>
      </c>
      <c r="S375" s="39">
        <f t="shared" si="185"/>
        <v>487613.120295955</v>
      </c>
      <c r="T375" s="39">
        <f t="shared" si="186"/>
        <v>3371243.7690329</v>
      </c>
      <c r="U375" s="39">
        <f t="shared" si="187"/>
        <v>487613.09220051</v>
      </c>
      <c r="V375" s="39">
        <f t="shared" si="188"/>
        <v>3371239.91163374</v>
      </c>
      <c r="AI375" t="str">
        <f t="array" ref="AI375">IFERROR(INDEX($L$2:$L$789,SMALL(IF(ISNUMBER(FIND($AH$2,$C$2:$C$789)),ROW($2:$789)-1,4^8),ROW(A374)))&amp;"","")</f>
        <v/>
      </c>
      <c r="AS375" t="str">
        <f>"-text"&amp;" "&amp;D375&amp;","&amp;E375&amp;" "&amp;"10"&amp;" "&amp;"0"&amp;" "&amp;C375</f>
        <v>-text 487613.2134,3371243.7706 10 0 IP192</v>
      </c>
      <c r="AT375" t="str">
        <f t="shared" si="189"/>
        <v>487613.2134,3371243.7706</v>
      </c>
      <c r="AV375">
        <f t="shared" si="204"/>
        <v>452.242</v>
      </c>
      <c r="AX375" t="str">
        <f t="shared" si="190"/>
        <v>pl 32497.8483736728,279 32497.8483736728,400 </v>
      </c>
      <c r="AY375" t="str">
        <f t="shared" si="191"/>
        <v>32497.8483736728,447.142</v>
      </c>
      <c r="AZ375" t="str">
        <f t="shared" si="192"/>
        <v>32497.8483736728,451.031</v>
      </c>
      <c r="BA375" t="str">
        <f t="shared" si="193"/>
        <v>32497.8483736728,452.242</v>
      </c>
      <c r="BB375" t="str">
        <f t="shared" si="194"/>
        <v>-text 32496.8483736728,337 3.5 90 447.142 </v>
      </c>
      <c r="BC375" t="str">
        <f t="shared" si="195"/>
        <v>-text 32496.8483736728,320 3.5 90 452.242 </v>
      </c>
      <c r="BD375" t="str">
        <f t="shared" si="196"/>
        <v>-text 32496.8483736728,306 3.5 90 451.031 </v>
      </c>
      <c r="BE375" t="str">
        <f t="shared" si="197"/>
        <v>-text 32496.8483736728,352 3.5 90 ZG64+995.697 </v>
      </c>
      <c r="BF375" t="str">
        <f t="shared" si="198"/>
        <v>-text 32496.8483736728,280 3.5 90 IP192 </v>
      </c>
      <c r="BG375" t="str">
        <f t="shared" si="199"/>
        <v>-TEXT 32498.8483736728,300 3.5 0 R=80</v>
      </c>
      <c r="BH375" t="str">
        <f t="shared" si="200"/>
        <v>-TEXT 32498.8483736728,295 3.5 0 α=5.53° </v>
      </c>
      <c r="BI375" t="str">
        <f t="shared" si="201"/>
        <v>-TEXT 32498.8483736728,290 3.5 0 T=3.86 </v>
      </c>
      <c r="BJ375" t="str">
        <f t="shared" si="202"/>
        <v>-TEXT 32498.8483736728,285 3.5 0 S=7.72 </v>
      </c>
    </row>
    <row r="376" spans="1:62">
      <c r="A376">
        <v>1</v>
      </c>
      <c r="B376">
        <v>375</v>
      </c>
      <c r="C376" t="str">
        <f>Sheet1!C349</f>
        <v>火闪庙隧出</v>
      </c>
      <c r="D376">
        <v>487609.62</v>
      </c>
      <c r="E376">
        <v>3371129.3575</v>
      </c>
      <c r="G376">
        <f t="shared" si="176"/>
        <v>0</v>
      </c>
      <c r="H376">
        <f t="shared" si="177"/>
        <v>0</v>
      </c>
      <c r="I376">
        <f t="shared" si="178"/>
        <v>0</v>
      </c>
      <c r="J376">
        <f t="shared" si="179"/>
        <v>114.469515484129</v>
      </c>
      <c r="K376" s="40">
        <f t="shared" si="180"/>
        <v>65110.1632695476</v>
      </c>
      <c r="L376" s="40">
        <f t="shared" si="181"/>
        <v>65110.1632695476</v>
      </c>
      <c r="M376" s="40">
        <f t="shared" si="182"/>
        <v>65110.1632695476</v>
      </c>
      <c r="N376">
        <v>451.01</v>
      </c>
      <c r="O376">
        <v>447.121</v>
      </c>
      <c r="P376">
        <v>0</v>
      </c>
      <c r="Q376" s="39">
        <f t="shared" si="183"/>
        <v>487609.62</v>
      </c>
      <c r="R376" s="39">
        <f t="shared" si="184"/>
        <v>3371129.3575</v>
      </c>
      <c r="S376" s="39" t="str">
        <f t="shared" si="185"/>
        <v> </v>
      </c>
      <c r="T376" s="39" t="str">
        <f t="shared" si="186"/>
        <v> </v>
      </c>
      <c r="U376" s="39" t="str">
        <f t="shared" si="187"/>
        <v> </v>
      </c>
      <c r="V376" s="39" t="str">
        <f t="shared" si="188"/>
        <v> </v>
      </c>
      <c r="AI376" t="str">
        <f t="array" ref="AI376">IFERROR(INDEX($L$2:$L$789,SMALL(IF(ISNUMBER(FIND($AH$2,$C$2:$C$789)),ROW($2:$789)-1,4^8),ROW(A375)))&amp;"","")</f>
        <v/>
      </c>
      <c r="AT376" t="str">
        <f t="shared" si="189"/>
        <v>487609.62,3371129.3575</v>
      </c>
      <c r="AV376">
        <f t="shared" si="204"/>
        <v>452.221</v>
      </c>
      <c r="AX376" t="str">
        <f t="shared" si="190"/>
        <v>pl 32555.0816347738,279 32555.0816347738,400 </v>
      </c>
      <c r="AY376" t="str">
        <f t="shared" si="191"/>
        <v>32555.0816347738,447.121</v>
      </c>
      <c r="AZ376" t="str">
        <f t="shared" si="192"/>
        <v>32555.0816347738,451.01</v>
      </c>
      <c r="BA376" t="str">
        <f t="shared" si="193"/>
        <v>32555.0816347738,452.221</v>
      </c>
      <c r="BB376" t="str">
        <f t="shared" si="194"/>
        <v>-text 32554.0816347738,337 3.5 90 447.121 </v>
      </c>
      <c r="BC376" t="str">
        <f t="shared" si="195"/>
        <v>-text 32554.0816347738,320 3.5 90 452.221 </v>
      </c>
      <c r="BD376" t="str">
        <f t="shared" si="196"/>
        <v>-text 32554.0816347738,306 3.5 90 451.010 </v>
      </c>
      <c r="BE376" t="str">
        <f t="shared" si="197"/>
        <v>-text 32554.0816347738,352 3.5 90 ZG65+110.163 </v>
      </c>
      <c r="BF376" t="str">
        <f t="shared" si="198"/>
        <v>-text 32554.0816347738,280 3.5 90 火闪庙隧出 </v>
      </c>
      <c r="BG376" t="str">
        <f t="shared" si="199"/>
        <v/>
      </c>
      <c r="BH376" t="str">
        <f t="shared" si="200"/>
        <v> </v>
      </c>
      <c r="BI376" t="str">
        <f t="shared" si="201"/>
        <v> </v>
      </c>
      <c r="BJ376" t="str">
        <f t="shared" si="202"/>
        <v> </v>
      </c>
    </row>
    <row r="377" spans="1:62">
      <c r="A377">
        <v>0</v>
      </c>
      <c r="B377">
        <v>376</v>
      </c>
      <c r="C377" t="s">
        <v>370</v>
      </c>
      <c r="D377">
        <v>487606.0535</v>
      </c>
      <c r="E377">
        <v>3371015.8032</v>
      </c>
      <c r="F377">
        <v>80</v>
      </c>
      <c r="G377">
        <f t="shared" si="176"/>
        <v>40.035</v>
      </c>
      <c r="H377">
        <f t="shared" si="177"/>
        <v>29.1452933867913</v>
      </c>
      <c r="I377">
        <f t="shared" si="178"/>
        <v>55.8994052828744</v>
      </c>
      <c r="J377">
        <f t="shared" si="179"/>
        <v>113.610294299113</v>
      </c>
      <c r="K377" s="40">
        <f t="shared" si="180"/>
        <v>65194.62827046</v>
      </c>
      <c r="L377" s="40">
        <f t="shared" si="181"/>
        <v>65222.5779731014</v>
      </c>
      <c r="M377" s="40">
        <f t="shared" si="182"/>
        <v>65250.5276757428</v>
      </c>
      <c r="N377">
        <v>450.992</v>
      </c>
      <c r="O377">
        <v>447.077</v>
      </c>
      <c r="P377">
        <v>0.002</v>
      </c>
      <c r="Q377" s="39">
        <f t="shared" si="183"/>
        <v>487606.968440759</v>
      </c>
      <c r="R377" s="39">
        <f t="shared" si="184"/>
        <v>3371044.93412875</v>
      </c>
      <c r="S377" s="39">
        <f t="shared" si="185"/>
        <v>487601.278234392</v>
      </c>
      <c r="T377" s="39">
        <f t="shared" si="186"/>
        <v>3371017.71474539</v>
      </c>
      <c r="U377" s="39">
        <f t="shared" si="187"/>
        <v>487586.614462423</v>
      </c>
      <c r="V377" s="39">
        <f t="shared" si="188"/>
        <v>3370994.08749267</v>
      </c>
      <c r="AI377" t="str">
        <f t="array" ref="AI377">IFERROR(INDEX($L$2:$L$789,SMALL(IF(ISNUMBER(FIND($AH$2,$C$2:$C$789)),ROW($2:$789)-1,4^8),ROW(A376)))&amp;"","")</f>
        <v/>
      </c>
      <c r="AS377" t="str">
        <f>"-text"&amp;" "&amp;D377&amp;","&amp;E377&amp;" "&amp;"10"&amp;" "&amp;"0"&amp;" "&amp;C377</f>
        <v>-text 487606.0535,3371015.8032 10 0 IP193</v>
      </c>
      <c r="AT377" t="str">
        <f t="shared" si="189"/>
        <v>487606.0535,3371015.8032</v>
      </c>
      <c r="AV377">
        <f t="shared" si="204"/>
        <v>452.477</v>
      </c>
      <c r="AX377" t="str">
        <f t="shared" si="190"/>
        <v>pl 32611.2889865507,279 32611.2889865507,400 </v>
      </c>
      <c r="AY377" t="str">
        <f t="shared" si="191"/>
        <v>32611.2889865507,447.077</v>
      </c>
      <c r="AZ377" t="str">
        <f t="shared" si="192"/>
        <v>32611.2889865507,450.992</v>
      </c>
      <c r="BA377" t="str">
        <f t="shared" si="193"/>
        <v>32611.2889865507,452.477</v>
      </c>
      <c r="BB377" t="str">
        <f t="shared" si="194"/>
        <v>-text 32610.2889865507,337 3.5 90 447.077 </v>
      </c>
      <c r="BC377" t="str">
        <f t="shared" si="195"/>
        <v>-text 32610.2889865507,320 3.5 90 452.477 </v>
      </c>
      <c r="BD377" t="str">
        <f t="shared" si="196"/>
        <v>-text 32610.2889865507,306 3.5 90 450.992 </v>
      </c>
      <c r="BE377" t="str">
        <f t="shared" si="197"/>
        <v>-text 32610.2889865507,352 3.5 90 ZG65+222.578 </v>
      </c>
      <c r="BF377" t="str">
        <f t="shared" si="198"/>
        <v>-text 32610.2889865507,280 3.5 90 IP193 </v>
      </c>
      <c r="BG377" t="str">
        <f t="shared" si="199"/>
        <v>-TEXT 32612.2889865507,300 3.5 0 R=80</v>
      </c>
      <c r="BH377" t="str">
        <f t="shared" si="200"/>
        <v>-TEXT 32612.2889865507,295 3.5 0 α=40.04° </v>
      </c>
      <c r="BI377" t="str">
        <f t="shared" si="201"/>
        <v>-TEXT 32612.2889865507,290 3.5 0 T=29.15 </v>
      </c>
      <c r="BJ377" t="str">
        <f t="shared" si="202"/>
        <v>-TEXT 32612.2889865507,285 3.5 0 S=55.90 </v>
      </c>
    </row>
    <row r="378" spans="1:62">
      <c r="A378">
        <v>0</v>
      </c>
      <c r="B378">
        <v>377</v>
      </c>
      <c r="C378" t="s">
        <v>371</v>
      </c>
      <c r="D378">
        <v>487545.4294</v>
      </c>
      <c r="E378">
        <v>3370948.0789</v>
      </c>
      <c r="F378">
        <v>80</v>
      </c>
      <c r="G378">
        <f t="shared" si="176"/>
        <v>40.499</v>
      </c>
      <c r="H378">
        <f t="shared" si="177"/>
        <v>29.5127650228109</v>
      </c>
      <c r="I378">
        <f t="shared" si="178"/>
        <v>56.5472715012147</v>
      </c>
      <c r="J378">
        <f t="shared" si="179"/>
        <v>90.894787041278</v>
      </c>
      <c r="K378" s="40">
        <f t="shared" si="180"/>
        <v>65282.7644043745</v>
      </c>
      <c r="L378" s="40">
        <f t="shared" si="181"/>
        <v>65311.0380401251</v>
      </c>
      <c r="M378" s="40">
        <f t="shared" si="182"/>
        <v>65339.3116758757</v>
      </c>
      <c r="N378">
        <v>450.973</v>
      </c>
      <c r="O378">
        <v>447.058</v>
      </c>
      <c r="P378">
        <v>0.002</v>
      </c>
      <c r="Q378" s="39">
        <f t="shared" si="183"/>
        <v>487565.113530149</v>
      </c>
      <c r="R378" s="39">
        <f t="shared" si="184"/>
        <v>3370970.06840476</v>
      </c>
      <c r="S378" s="39">
        <f t="shared" si="185"/>
        <v>487550.330010421</v>
      </c>
      <c r="T378" s="39">
        <f t="shared" si="186"/>
        <v>3370946.1401748</v>
      </c>
      <c r="U378" s="39">
        <f t="shared" si="187"/>
        <v>487544.74194077</v>
      </c>
      <c r="V378" s="39">
        <f t="shared" si="188"/>
        <v>3370918.57414277</v>
      </c>
      <c r="AI378" t="str">
        <f t="array" ref="AI378">IFERROR(INDEX($L$2:$L$789,SMALL(IF(ISNUMBER(FIND($AH$2,$C$2:$C$789)),ROW($2:$789)-1,4^8),ROW(A377)))&amp;"","")</f>
        <v/>
      </c>
      <c r="AS378" t="str">
        <f>"-text"&amp;" "&amp;D378&amp;","&amp;E378&amp;" "&amp;"10"&amp;" "&amp;"0"&amp;" "&amp;C378</f>
        <v>-text 487545.4294,3370948.0789 10 0 IP194</v>
      </c>
      <c r="AT378" t="str">
        <f t="shared" si="189"/>
        <v>487545.4294,3370948.0789</v>
      </c>
      <c r="AV378">
        <f t="shared" si="204"/>
        <v>452.458</v>
      </c>
      <c r="AX378" t="str">
        <f t="shared" si="190"/>
        <v>pl 32655.5190200626,279 32655.5190200626,400 </v>
      </c>
      <c r="AY378" t="str">
        <f t="shared" si="191"/>
        <v>32655.5190200626,447.058</v>
      </c>
      <c r="AZ378" t="str">
        <f t="shared" si="192"/>
        <v>32655.5190200626,450.973</v>
      </c>
      <c r="BA378" t="str">
        <f t="shared" si="193"/>
        <v>32655.5190200626,452.458</v>
      </c>
      <c r="BB378" t="str">
        <f t="shared" si="194"/>
        <v>-text 32654.5190200626,337 3.5 90 447.058 </v>
      </c>
      <c r="BC378" t="str">
        <f t="shared" si="195"/>
        <v>-text 32654.5190200626,320 3.5 90 452.458 </v>
      </c>
      <c r="BD378" t="str">
        <f t="shared" si="196"/>
        <v>-text 32654.5190200626,306 3.5 90 450.973 </v>
      </c>
      <c r="BE378" t="str">
        <f t="shared" si="197"/>
        <v>-text 32654.5190200626,352 3.5 90 ZG65+311.038 </v>
      </c>
      <c r="BF378" t="str">
        <f t="shared" si="198"/>
        <v>-text 32654.5190200626,280 3.5 90 IP194 </v>
      </c>
      <c r="BG378" t="str">
        <f t="shared" si="199"/>
        <v>-TEXT 32656.5190200626,300 3.5 0 R=80</v>
      </c>
      <c r="BH378" t="str">
        <f t="shared" si="200"/>
        <v>-TEXT 32656.5190200626,295 3.5 0 α=40.50° </v>
      </c>
      <c r="BI378" t="str">
        <f t="shared" si="201"/>
        <v>-TEXT 32656.5190200626,290 3.5 0 T=29.51 </v>
      </c>
      <c r="BJ378" t="str">
        <f t="shared" si="202"/>
        <v>-TEXT 32656.5190200626,285 3.5 0 S=56.55 </v>
      </c>
    </row>
    <row r="379" spans="1:62">
      <c r="A379">
        <v>0</v>
      </c>
      <c r="B379">
        <v>378</v>
      </c>
      <c r="C379" t="s">
        <v>372</v>
      </c>
      <c r="D379">
        <v>487543.4354</v>
      </c>
      <c r="E379">
        <v>3370862.4993</v>
      </c>
      <c r="F379">
        <v>80</v>
      </c>
      <c r="G379">
        <f t="shared" si="176"/>
        <v>7.989</v>
      </c>
      <c r="H379">
        <f t="shared" si="177"/>
        <v>5.58642800789465</v>
      </c>
      <c r="I379">
        <f t="shared" si="178"/>
        <v>11.1547483153462</v>
      </c>
      <c r="J379">
        <f t="shared" si="179"/>
        <v>85.602826893797</v>
      </c>
      <c r="K379" s="40">
        <f t="shared" si="180"/>
        <v>65389.8153097388</v>
      </c>
      <c r="L379" s="40">
        <f t="shared" si="181"/>
        <v>65395.3926838965</v>
      </c>
      <c r="M379" s="40">
        <f t="shared" si="182"/>
        <v>65400.9700580542</v>
      </c>
      <c r="N379">
        <v>450.956</v>
      </c>
      <c r="O379">
        <v>447.041</v>
      </c>
      <c r="P379">
        <v>0</v>
      </c>
      <c r="Q379" s="39">
        <f t="shared" si="183"/>
        <v>487543.565528149</v>
      </c>
      <c r="R379" s="39">
        <f t="shared" si="184"/>
        <v>3370868.08421222</v>
      </c>
      <c r="S379" s="39">
        <f t="shared" si="185"/>
        <v>487543.241433503</v>
      </c>
      <c r="T379" s="39">
        <f t="shared" si="186"/>
        <v>3370862.51739322</v>
      </c>
      <c r="U379" s="39">
        <f t="shared" si="187"/>
        <v>487542.530348253</v>
      </c>
      <c r="V379" s="39">
        <f t="shared" si="188"/>
        <v>3370856.98667275</v>
      </c>
      <c r="AI379" t="str">
        <f t="array" ref="AI379">IFERROR(INDEX($L$2:$L$789,SMALL(IF(ISNUMBER(FIND($AH$2,$C$2:$C$789)),ROW($2:$789)-1,4^8),ROW(A378)))&amp;"","")</f>
        <v/>
      </c>
      <c r="AS379" t="str">
        <f>"-text"&amp;" "&amp;D379&amp;","&amp;E379&amp;" "&amp;"10"&amp;" "&amp;"0"&amp;" "&amp;C379</f>
        <v>-text 487543.4354,3370862.4993 10 0 IP195</v>
      </c>
      <c r="AT379" t="str">
        <f t="shared" si="189"/>
        <v>487543.4354,3370862.4993</v>
      </c>
      <c r="AV379">
        <f t="shared" si="204"/>
        <v>452.441</v>
      </c>
      <c r="AX379" t="str">
        <f t="shared" si="190"/>
        <v>pl 32697.6963419482,279 32697.6963419482,400 </v>
      </c>
      <c r="AY379" t="str">
        <f t="shared" si="191"/>
        <v>32697.6963419482,447.041</v>
      </c>
      <c r="AZ379" t="str">
        <f t="shared" si="192"/>
        <v>32697.6963419482,450.956</v>
      </c>
      <c r="BA379" t="str">
        <f t="shared" si="193"/>
        <v>32697.6963419482,452.441</v>
      </c>
      <c r="BB379" t="str">
        <f t="shared" si="194"/>
        <v>-text 32696.6963419482,337 3.5 90 447.041 </v>
      </c>
      <c r="BC379" t="str">
        <f t="shared" si="195"/>
        <v>-text 32696.6963419482,320 3.5 90 452.441 </v>
      </c>
      <c r="BD379" t="str">
        <f t="shared" si="196"/>
        <v>-text 32696.6963419482,306 3.5 90 450.956 </v>
      </c>
      <c r="BE379" t="str">
        <f t="shared" si="197"/>
        <v>-text 32696.6963419482,352 3.5 90 ZG65+395.393 </v>
      </c>
      <c r="BF379" t="str">
        <f t="shared" si="198"/>
        <v>-text 32696.6963419482,280 3.5 90 IP195 </v>
      </c>
      <c r="BG379" t="str">
        <f t="shared" si="199"/>
        <v>-TEXT 32698.6963419482,300 3.5 0 R=80</v>
      </c>
      <c r="BH379" t="str">
        <f t="shared" si="200"/>
        <v>-TEXT 32698.6963419482,295 3.5 0 α=7.99° </v>
      </c>
      <c r="BI379" t="str">
        <f t="shared" si="201"/>
        <v>-TEXT 32698.6963419482,290 3.5 0 T=5.59 </v>
      </c>
      <c r="BJ379" t="str">
        <f t="shared" si="202"/>
        <v>-TEXT 32698.6963419482,285 3.5 0 S=11.15 </v>
      </c>
    </row>
    <row r="380" spans="1:62">
      <c r="A380">
        <v>0</v>
      </c>
      <c r="B380">
        <v>379</v>
      </c>
      <c r="C380" t="s">
        <v>373</v>
      </c>
      <c r="D380">
        <v>487528.377</v>
      </c>
      <c r="E380">
        <v>3370770.7793</v>
      </c>
      <c r="F380">
        <v>80</v>
      </c>
      <c r="G380">
        <f t="shared" si="176"/>
        <v>28.802</v>
      </c>
      <c r="H380">
        <f t="shared" si="177"/>
        <v>20.5419971465186</v>
      </c>
      <c r="I380">
        <f t="shared" si="178"/>
        <v>40.2151784927525</v>
      </c>
      <c r="J380">
        <f t="shared" si="179"/>
        <v>92.9479091239459</v>
      </c>
      <c r="K380" s="40">
        <f t="shared" si="180"/>
        <v>65467.7895420237</v>
      </c>
      <c r="L380" s="40">
        <f t="shared" si="181"/>
        <v>65487.8971312701</v>
      </c>
      <c r="M380" s="40">
        <f t="shared" si="182"/>
        <v>65508.0047205164</v>
      </c>
      <c r="N380">
        <v>450.938</v>
      </c>
      <c r="O380">
        <v>447.023</v>
      </c>
      <c r="P380">
        <v>0.001</v>
      </c>
      <c r="Q380" s="39">
        <f t="shared" si="183"/>
        <v>487531.7049889</v>
      </c>
      <c r="R380" s="39">
        <f t="shared" si="184"/>
        <v>3370791.0499225</v>
      </c>
      <c r="S380" s="39">
        <f t="shared" si="185"/>
        <v>487526.001087776</v>
      </c>
      <c r="T380" s="39">
        <f t="shared" si="186"/>
        <v>3370771.82346405</v>
      </c>
      <c r="U380" s="39">
        <f t="shared" si="187"/>
        <v>487515.694670133</v>
      </c>
      <c r="V380" s="39">
        <f t="shared" si="188"/>
        <v>3370754.61971597</v>
      </c>
      <c r="AI380" t="str">
        <f t="array" ref="AI380">IFERROR(INDEX($L$2:$L$789,SMALL(IF(ISNUMBER(FIND($AH$2,$C$2:$C$789)),ROW($2:$789)-1,4^8),ROW(A379)))&amp;"","")</f>
        <v/>
      </c>
      <c r="AS380" t="str">
        <f>"-text"&amp;" "&amp;D380&amp;","&amp;E380&amp;" "&amp;"10"&amp;" "&amp;"0"&amp;" "&amp;C380</f>
        <v>-text 487528.377,3370770.7793 10 0 IP196</v>
      </c>
      <c r="AT380" t="str">
        <f t="shared" si="189"/>
        <v>487528.377,3370770.7793</v>
      </c>
      <c r="AV380">
        <f t="shared" si="204"/>
        <v>452.423</v>
      </c>
      <c r="AX380" t="str">
        <f t="shared" si="190"/>
        <v>pl 32743.948565635,279 32743.948565635,400 </v>
      </c>
      <c r="AY380" t="str">
        <f t="shared" si="191"/>
        <v>32743.948565635,447.023</v>
      </c>
      <c r="AZ380" t="str">
        <f t="shared" si="192"/>
        <v>32743.948565635,450.938</v>
      </c>
      <c r="BA380" t="str">
        <f t="shared" si="193"/>
        <v>32743.9485656351,452.423</v>
      </c>
      <c r="BB380" t="str">
        <f t="shared" si="194"/>
        <v>-text 32742.948565635,337 3.5 90 447.023 </v>
      </c>
      <c r="BC380" t="str">
        <f t="shared" si="195"/>
        <v>-text 32742.9485656351,320 3.5 90 452.423 </v>
      </c>
      <c r="BD380" t="str">
        <f t="shared" si="196"/>
        <v>-text 32742.948565635,306 3.5 90 450.938 </v>
      </c>
      <c r="BE380" t="str">
        <f t="shared" si="197"/>
        <v>-text 32742.948565635,352 3.5 90 ZG65+487.897 </v>
      </c>
      <c r="BF380" t="str">
        <f t="shared" si="198"/>
        <v>-text 32742.948565635,280 3.5 90 IP196 </v>
      </c>
      <c r="BG380" t="str">
        <f t="shared" si="199"/>
        <v>-TEXT 32744.948565635,300 3.5 0 R=80</v>
      </c>
      <c r="BH380" t="str">
        <f t="shared" si="200"/>
        <v>-TEXT 32744.948565635,295 3.5 0 α=28.80° </v>
      </c>
      <c r="BI380" t="str">
        <f t="shared" si="201"/>
        <v>-TEXT 32744.948565635,290 3.5 0 T=20.54 </v>
      </c>
      <c r="BJ380" t="str">
        <f t="shared" si="202"/>
        <v>-TEXT 32744.948565635,285 3.5 0 S=40.22 </v>
      </c>
    </row>
    <row r="381" spans="1:62">
      <c r="A381">
        <v>0</v>
      </c>
      <c r="B381">
        <v>380</v>
      </c>
      <c r="C381" t="s">
        <v>374</v>
      </c>
      <c r="D381">
        <v>487500.4367</v>
      </c>
      <c r="E381">
        <v>3370735.1783</v>
      </c>
      <c r="F381">
        <v>80</v>
      </c>
      <c r="G381">
        <f t="shared" ref="G381:G444" si="205">ROUND(IF((2*SQRT((D380-D381)^2+(E380-E381)^2)*SQRT((D382-D381)^2+(E382-E381)^2))=0,0,180-ACOS(((D380-D381)^2+(E380-E381)^2+(D382-D381)^2+(E382-E381)^2-(D382-D380)^2-(E382-E380)^2)/(2*SQRT((D380-D381)^2+(E380-E381)^2)*SQRT((D382-D381)^2+(E382-E381)^2)))/PI()*180),3)</f>
        <v>33.997</v>
      </c>
      <c r="H381">
        <f t="shared" ref="H381:H444" si="206">F381*TAN(PI()/180*G381/2)</f>
        <v>24.4561643741929</v>
      </c>
      <c r="I381">
        <f t="shared" ref="I381:I444" si="207">F381*G381/180*PI()</f>
        <v>47.468766864041</v>
      </c>
      <c r="J381">
        <f t="shared" ref="J381:J444" si="208">SQRT((D381-D380)^2+(E381-E380)^2)</f>
        <v>45.255845645684</v>
      </c>
      <c r="K381" s="40">
        <f t="shared" ref="K381:K444" si="209">L381-I381/2</f>
        <v>65508.2624046415</v>
      </c>
      <c r="L381" s="40">
        <f t="shared" ref="L381:L444" si="210">L380+J381-H381+I381/2+I380/2-H380</f>
        <v>65531.9967880735</v>
      </c>
      <c r="M381" s="40">
        <f t="shared" ref="M381:M444" si="211">K381+I381</f>
        <v>65555.7311715055</v>
      </c>
      <c r="N381">
        <v>450.929</v>
      </c>
      <c r="O381">
        <v>447.014</v>
      </c>
      <c r="P381">
        <v>0.001</v>
      </c>
      <c r="Q381" s="39">
        <f t="shared" ref="Q381:Q444" si="212">IF(G381=0,D381,D380+(D381-D380)/J381*(J381-H381))</f>
        <v>487515.535579707</v>
      </c>
      <c r="R381" s="39">
        <f t="shared" ref="R381:R444" si="213">IF(G381=0,E381,E380+(E381-E380)/J381*(J381-H381))</f>
        <v>3370754.41700597</v>
      </c>
      <c r="S381" s="39">
        <f t="shared" ref="S381:S444" si="214">IF(G381=0," ",(Q381+U381)/2+(D381-(Q381+U381)/2)/(H381*SIN(G381/360*PI()))*(F381-F381*COS(G381/360*PI())))</f>
        <v>487503.84574656</v>
      </c>
      <c r="T381" s="39">
        <f t="shared" ref="T381:T444" si="215">IF(G381=0," ",(R381+V381)/2+(E381-(R381+V381)/2)/(H381*SIN(G381/360*PI()))*(F381-F381*COS(G381/360*PI())))</f>
        <v>3370733.86102415</v>
      </c>
      <c r="U381" s="39">
        <f t="shared" ref="U381:U444" si="216">IF(G381=0," ",D381+(D382-D381)/J382*H381)</f>
        <v>487498.676140474</v>
      </c>
      <c r="V381" s="39">
        <f t="shared" ref="V381:V444" si="217">IF(G381=0," ",E381+(E382-E381)/J382*H381)</f>
        <v>3370710.78558785</v>
      </c>
      <c r="AI381" t="str">
        <f t="array" ref="AI381">IFERROR(INDEX($L$2:$L$789,SMALL(IF(ISNUMBER(FIND($AH$2,$C$2:$C$789)),ROW($2:$789)-1,4^8),ROW(A380)))&amp;"","")</f>
        <v/>
      </c>
      <c r="AS381" t="str">
        <f>"-text"&amp;" "&amp;D381&amp;","&amp;E381&amp;" "&amp;"10"&amp;" "&amp;"0"&amp;" "&amp;C381</f>
        <v>-text 487500.4367,3370735.1783 10 0 IP197</v>
      </c>
      <c r="AT381" t="str">
        <f t="shared" si="189"/>
        <v>487500.4367,3370735.1783</v>
      </c>
      <c r="AV381">
        <f t="shared" si="204"/>
        <v>452.414</v>
      </c>
      <c r="AX381" t="str">
        <f t="shared" si="190"/>
        <v>pl 32765.9983940367,279 32765.9983940367,400 </v>
      </c>
      <c r="AY381" t="str">
        <f t="shared" si="191"/>
        <v>32765.9983940367,447.014</v>
      </c>
      <c r="AZ381" t="str">
        <f t="shared" si="192"/>
        <v>32765.9983940367,450.929</v>
      </c>
      <c r="BA381" t="str">
        <f t="shared" si="193"/>
        <v>32765.9983940367,452.414</v>
      </c>
      <c r="BB381" t="str">
        <f t="shared" si="194"/>
        <v>-text 32764.9983940367,337 3.5 90 447.014 </v>
      </c>
      <c r="BC381" t="str">
        <f t="shared" si="195"/>
        <v>-text 32764.9983940367,320 3.5 90 452.414 </v>
      </c>
      <c r="BD381" t="str">
        <f t="shared" si="196"/>
        <v>-text 32764.9983940367,306 3.5 90 450.929 </v>
      </c>
      <c r="BE381" t="str">
        <f t="shared" si="197"/>
        <v>-text 32764.9983940367,352 3.5 90 ZG65+531.997 </v>
      </c>
      <c r="BF381" t="str">
        <f t="shared" si="198"/>
        <v>-text 32764.9983940367,280 3.5 90 IP197 </v>
      </c>
      <c r="BG381" t="str">
        <f t="shared" si="199"/>
        <v>-TEXT 32766.9983940367,300 3.5 0 R=80</v>
      </c>
      <c r="BH381" t="str">
        <f t="shared" si="200"/>
        <v>-TEXT 32766.9983940367,295 3.5 0 α=34.00° </v>
      </c>
      <c r="BI381" t="str">
        <f t="shared" si="201"/>
        <v>-TEXT 32766.9983940367,290 3.5 0 T=24.46 </v>
      </c>
      <c r="BJ381" t="str">
        <f t="shared" si="202"/>
        <v>-TEXT 32766.9983940367,285 3.5 0 S=47.47 </v>
      </c>
    </row>
    <row r="382" spans="1:62">
      <c r="A382">
        <v>1</v>
      </c>
      <c r="B382">
        <v>381</v>
      </c>
      <c r="C382" t="str">
        <f>Sheet1!C355</f>
        <v>仁和寨隧进</v>
      </c>
      <c r="D382">
        <v>487497.5963</v>
      </c>
      <c r="E382">
        <v>3370695.8243</v>
      </c>
      <c r="G382">
        <f t="shared" si="205"/>
        <v>0</v>
      </c>
      <c r="H382">
        <f t="shared" si="206"/>
        <v>0</v>
      </c>
      <c r="I382">
        <f t="shared" si="207"/>
        <v>0</v>
      </c>
      <c r="J382">
        <f t="shared" si="208"/>
        <v>39.4563706915105</v>
      </c>
      <c r="K382" s="40">
        <f t="shared" si="209"/>
        <v>65570.7313778228</v>
      </c>
      <c r="L382" s="40">
        <f t="shared" si="210"/>
        <v>65570.7313778228</v>
      </c>
      <c r="M382" s="40">
        <f t="shared" si="211"/>
        <v>65570.7313778228</v>
      </c>
      <c r="N382">
        <v>450.917</v>
      </c>
      <c r="O382">
        <v>447.028</v>
      </c>
      <c r="P382">
        <v>0</v>
      </c>
      <c r="Q382" s="39">
        <f t="shared" si="212"/>
        <v>487497.5963</v>
      </c>
      <c r="R382" s="39">
        <f t="shared" si="213"/>
        <v>3370695.8243</v>
      </c>
      <c r="S382" s="39" t="str">
        <f t="shared" si="214"/>
        <v> </v>
      </c>
      <c r="T382" s="39" t="str">
        <f t="shared" si="215"/>
        <v> </v>
      </c>
      <c r="U382" s="39" t="str">
        <f t="shared" si="216"/>
        <v> </v>
      </c>
      <c r="V382" s="39" t="str">
        <f t="shared" si="217"/>
        <v> </v>
      </c>
      <c r="AI382" t="str">
        <f t="array" ref="AI382">IFERROR(INDEX($L$2:$L$789,SMALL(IF(ISNUMBER(FIND($AH$2,$C$2:$C$789)),ROW($2:$789)-1,4^8),ROW(A381)))&amp;"","")</f>
        <v/>
      </c>
      <c r="AT382" t="str">
        <f t="shared" si="189"/>
        <v>487497.5963,3370695.8243</v>
      </c>
      <c r="AV382">
        <f t="shared" si="204"/>
        <v>452.128</v>
      </c>
      <c r="AX382" t="str">
        <f t="shared" si="190"/>
        <v>pl 32785.3656889114,279 32785.3656889114,400 </v>
      </c>
      <c r="AY382" t="str">
        <f t="shared" si="191"/>
        <v>32785.3656889114,447.028</v>
      </c>
      <c r="AZ382" t="str">
        <f t="shared" si="192"/>
        <v>32785.3656889114,450.917</v>
      </c>
      <c r="BA382" t="str">
        <f t="shared" si="193"/>
        <v>32785.3656889114,452.128</v>
      </c>
      <c r="BB382" t="str">
        <f t="shared" si="194"/>
        <v>-text 32784.3656889114,337 3.5 90 447.028 </v>
      </c>
      <c r="BC382" t="str">
        <f t="shared" si="195"/>
        <v>-text 32784.3656889114,320 3.5 90 452.128 </v>
      </c>
      <c r="BD382" t="str">
        <f t="shared" si="196"/>
        <v>-text 32784.3656889114,306 3.5 90 450.917 </v>
      </c>
      <c r="BE382" t="str">
        <f t="shared" si="197"/>
        <v>-text 32784.3656889114,352 3.5 90 ZG65+570.731 </v>
      </c>
      <c r="BF382" t="str">
        <f t="shared" si="198"/>
        <v>-text 32784.3656889114,280 3.5 90 仁和寨隧进 </v>
      </c>
      <c r="BG382" t="str">
        <f t="shared" si="199"/>
        <v/>
      </c>
      <c r="BH382" t="str">
        <f t="shared" si="200"/>
        <v> </v>
      </c>
      <c r="BI382" t="str">
        <f t="shared" si="201"/>
        <v> </v>
      </c>
      <c r="BJ382" t="str">
        <f t="shared" si="202"/>
        <v> </v>
      </c>
    </row>
    <row r="383" spans="1:62">
      <c r="A383">
        <v>1</v>
      </c>
      <c r="B383">
        <v>382</v>
      </c>
      <c r="C383" t="str">
        <f>Sheet1!C356</f>
        <v>仁和寨隧出</v>
      </c>
      <c r="D383">
        <v>487448.6925</v>
      </c>
      <c r="E383">
        <v>3370018.2517</v>
      </c>
      <c r="G383">
        <f t="shared" si="205"/>
        <v>0</v>
      </c>
      <c r="H383">
        <f t="shared" si="206"/>
        <v>0</v>
      </c>
      <c r="I383">
        <f t="shared" si="207"/>
        <v>0</v>
      </c>
      <c r="J383">
        <f t="shared" si="208"/>
        <v>679.335123429736</v>
      </c>
      <c r="K383" s="40">
        <f t="shared" si="209"/>
        <v>66250.0665012525</v>
      </c>
      <c r="L383" s="40">
        <f t="shared" si="210"/>
        <v>66250.0665012525</v>
      </c>
      <c r="M383" s="40">
        <f t="shared" si="211"/>
        <v>66250.0665012525</v>
      </c>
      <c r="N383">
        <v>450.794</v>
      </c>
      <c r="O383">
        <v>446.905</v>
      </c>
      <c r="P383">
        <v>0</v>
      </c>
      <c r="Q383" s="39">
        <f t="shared" si="212"/>
        <v>487448.6925</v>
      </c>
      <c r="R383" s="39">
        <f t="shared" si="213"/>
        <v>3370018.2517</v>
      </c>
      <c r="S383" s="39" t="str">
        <f t="shared" si="214"/>
        <v> </v>
      </c>
      <c r="T383" s="39" t="str">
        <f t="shared" si="215"/>
        <v> </v>
      </c>
      <c r="U383" s="39" t="str">
        <f t="shared" si="216"/>
        <v> </v>
      </c>
      <c r="V383" s="39" t="str">
        <f t="shared" si="217"/>
        <v> </v>
      </c>
      <c r="AI383" t="str">
        <f t="array" ref="AI383">IFERROR(INDEX($L$2:$L$789,SMALL(IF(ISNUMBER(FIND($AH$2,$C$2:$C$789)),ROW($2:$789)-1,4^8),ROW(A382)))&amp;"","")</f>
        <v/>
      </c>
      <c r="AT383" t="str">
        <f t="shared" si="189"/>
        <v>487448.6925,3370018.2517</v>
      </c>
      <c r="AV383">
        <f t="shared" si="204"/>
        <v>452.005</v>
      </c>
      <c r="AX383" t="str">
        <f t="shared" si="190"/>
        <v>pl 33125.0332506263,279 33125.0332506263,400 </v>
      </c>
      <c r="AY383" t="str">
        <f t="shared" si="191"/>
        <v>33125.0332506263,446.905</v>
      </c>
      <c r="AZ383" t="str">
        <f t="shared" si="192"/>
        <v>33125.0332506263,450.794</v>
      </c>
      <c r="BA383" t="str">
        <f t="shared" si="193"/>
        <v>33125.0332506263,452.005</v>
      </c>
      <c r="BB383" t="str">
        <f t="shared" si="194"/>
        <v>-text 33124.0332506263,337 3.5 90 446.905 </v>
      </c>
      <c r="BC383" t="str">
        <f t="shared" si="195"/>
        <v>-text 33124.0332506263,320 3.5 90 452.005 </v>
      </c>
      <c r="BD383" t="str">
        <f t="shared" si="196"/>
        <v>-text 33124.0332506263,306 3.5 90 450.794 </v>
      </c>
      <c r="BE383" t="str">
        <f t="shared" si="197"/>
        <v>-text 33124.0332506263,352 3.5 90 ZG66+250.067 </v>
      </c>
      <c r="BF383" t="str">
        <f t="shared" si="198"/>
        <v>-text 33124.0332506263,280 3.5 90 仁和寨隧出 </v>
      </c>
      <c r="BG383" t="str">
        <f t="shared" si="199"/>
        <v/>
      </c>
      <c r="BH383" t="str">
        <f t="shared" si="200"/>
        <v> </v>
      </c>
      <c r="BI383" t="str">
        <f t="shared" si="201"/>
        <v> </v>
      </c>
      <c r="BJ383" t="str">
        <f t="shared" si="202"/>
        <v> </v>
      </c>
    </row>
    <row r="384" spans="1:62">
      <c r="A384">
        <v>0</v>
      </c>
      <c r="B384">
        <v>383</v>
      </c>
      <c r="C384" t="s">
        <v>377</v>
      </c>
      <c r="D384">
        <v>487443.0131</v>
      </c>
      <c r="E384">
        <v>3369939.5636</v>
      </c>
      <c r="F384">
        <v>80</v>
      </c>
      <c r="G384">
        <f t="shared" si="205"/>
        <v>42.144</v>
      </c>
      <c r="H384">
        <f t="shared" si="206"/>
        <v>30.8245228931986</v>
      </c>
      <c r="I384">
        <f t="shared" si="207"/>
        <v>58.8441247968392</v>
      </c>
      <c r="J384">
        <f t="shared" si="208"/>
        <v>78.8927922307002</v>
      </c>
      <c r="K384" s="40">
        <f t="shared" si="209"/>
        <v>66298.1347705901</v>
      </c>
      <c r="L384" s="40">
        <f t="shared" si="210"/>
        <v>66327.5568329885</v>
      </c>
      <c r="M384" s="40">
        <f t="shared" si="211"/>
        <v>66356.9788953869</v>
      </c>
      <c r="N384">
        <v>450.782</v>
      </c>
      <c r="O384">
        <v>446.867</v>
      </c>
      <c r="P384">
        <v>0.002</v>
      </c>
      <c r="Q384" s="39">
        <f t="shared" si="212"/>
        <v>487445.232121413</v>
      </c>
      <c r="R384" s="39">
        <f t="shared" si="213"/>
        <v>3369970.30814676</v>
      </c>
      <c r="S384" s="39">
        <f t="shared" si="214"/>
        <v>487448.497251004</v>
      </c>
      <c r="T384" s="39">
        <f t="shared" si="215"/>
        <v>3369941.2343861</v>
      </c>
      <c r="U384" s="39">
        <f t="shared" si="216"/>
        <v>487461.997225128</v>
      </c>
      <c r="V384" s="39">
        <f t="shared" si="217"/>
        <v>3369915.27874454</v>
      </c>
      <c r="AI384" t="str">
        <f t="array" ref="AI384">IFERROR(INDEX($L$2:$L$789,SMALL(IF(ISNUMBER(FIND($AH$2,$C$2:$C$789)),ROW($2:$789)-1,4^8),ROW(A383)))&amp;"","")</f>
        <v/>
      </c>
      <c r="AS384" t="str">
        <f>"-text"&amp;" "&amp;D384&amp;","&amp;E384&amp;" "&amp;"10"&amp;" "&amp;"0"&amp;" "&amp;C384</f>
        <v>-text 487443.0131,3369939.5636 10 0 IP198</v>
      </c>
      <c r="AT384" t="str">
        <f t="shared" ref="AT384:AT447" si="218">D384&amp;","&amp;E384</f>
        <v>487443.0131,3369939.5636</v>
      </c>
      <c r="AV384">
        <f t="shared" si="204"/>
        <v>452.267</v>
      </c>
      <c r="AX384" t="str">
        <f t="shared" ref="AX384:AX447" si="219">"pl "&amp;L384/2&amp;",279 "&amp;L384/2&amp;",400 "</f>
        <v>pl 33163.7784164942,279 33163.7784164942,400 </v>
      </c>
      <c r="AY384" t="str">
        <f t="shared" ref="AY384:AY447" si="220">L384/2&amp;","&amp;O384</f>
        <v>33163.7784164942,446.867</v>
      </c>
      <c r="AZ384" t="str">
        <f t="shared" ref="AZ384:AZ447" si="221">L384/2&amp;","&amp;N384</f>
        <v>33163.7784164942,450.782</v>
      </c>
      <c r="BA384" t="str">
        <f t="shared" ref="BA384:BA447" si="222">L384/2&amp;","&amp;AV384</f>
        <v>33163.7784164942,452.267</v>
      </c>
      <c r="BB384" t="str">
        <f t="shared" ref="BB384:BB447" si="223">"-text "&amp;L384/2-1&amp;",337 3.5 90 "&amp;FIXED(O384,3)&amp;" "</f>
        <v>-text 33162.7784164942,337 3.5 90 446.867 </v>
      </c>
      <c r="BC384" t="str">
        <f t="shared" ref="BC384:BC447" si="224">"-text "&amp;L384/2-1&amp;",320 3.5 90 "&amp;FIXED(AV384,3)&amp;" "</f>
        <v>-text 33162.7784164942,320 3.5 90 452.267 </v>
      </c>
      <c r="BD384" t="str">
        <f t="shared" ref="BD384:BD447" si="225">"-text "&amp;L384/2-1&amp;",306 3.5 90 "&amp;FIXED(N384,3)&amp;" "</f>
        <v>-text 33162.7784164942,306 3.5 90 450.782 </v>
      </c>
      <c r="BE384" t="str">
        <f t="shared" ref="BE384:BE447" si="226">"-text "&amp;L384/2-1&amp;",352 3.5 90 "&amp;"ZG"&amp;TEXT(L384,"0+000.000")&amp;" "</f>
        <v>-text 33162.7784164942,352 3.5 90 ZG66+327.557 </v>
      </c>
      <c r="BF384" t="str">
        <f t="shared" ref="BF384:BF447" si="227">"-text "&amp;L384/2-1&amp;",280 3.5 90 "&amp;C384&amp;" "</f>
        <v>-text 33162.7784164942,280 3.5 90 IP198 </v>
      </c>
      <c r="BG384" t="str">
        <f t="shared" ref="BG384:BG447" si="228">IF(G384&lt;0.01,"",("-TEXT "&amp;L384/2+1&amp;",300 3.5 0 "&amp;"R="&amp;FIXED(F384,0)))</f>
        <v>-TEXT 33164.7784164942,300 3.5 0 R=80</v>
      </c>
      <c r="BH384" t="str">
        <f t="shared" ref="BH384:BH447" si="229">IF(G384&lt;0.01," ",("-TEXT "&amp;L384/2+1&amp;",295 3.5 0 "&amp;"α="&amp;FIXED(G384,2)&amp;"° "))</f>
        <v>-TEXT 33164.7784164942,295 3.5 0 α=42.14° </v>
      </c>
      <c r="BI384" t="str">
        <f t="shared" ref="BI384:BI447" si="230">IF(G384&lt;0.01," ",("-TEXT "&amp;L384/2+1&amp;",290 3.5 0 "&amp;"T="&amp;FIXED(H384,2)&amp;" "))</f>
        <v>-TEXT 33164.7784164942,290 3.5 0 T=30.82 </v>
      </c>
      <c r="BJ384" t="str">
        <f t="shared" ref="BJ384:BJ447" si="231">IF(G384&lt;0.01," ",("-TEXT "&amp;L384/2+1&amp;",285 3.5 0 "&amp;"S="&amp;FIXED(I384,2)&amp;" "))</f>
        <v>-TEXT 33164.7784164942,285 3.5 0 S=58.84 </v>
      </c>
    </row>
    <row r="385" spans="1:62">
      <c r="A385">
        <v>0</v>
      </c>
      <c r="B385">
        <v>384</v>
      </c>
      <c r="C385" t="s">
        <v>378</v>
      </c>
      <c r="D385">
        <v>487518.4184</v>
      </c>
      <c r="E385">
        <v>3369843.1037</v>
      </c>
      <c r="F385">
        <v>80</v>
      </c>
      <c r="G385">
        <f t="shared" si="205"/>
        <v>32.791</v>
      </c>
      <c r="H385">
        <f t="shared" si="206"/>
        <v>23.5384531372934</v>
      </c>
      <c r="I385">
        <f t="shared" si="207"/>
        <v>45.7848732017168</v>
      </c>
      <c r="J385">
        <f t="shared" si="208"/>
        <v>122.435581332111</v>
      </c>
      <c r="K385" s="40">
        <f t="shared" si="209"/>
        <v>66425.0515006885</v>
      </c>
      <c r="L385" s="40">
        <f t="shared" si="210"/>
        <v>66447.9439372894</v>
      </c>
      <c r="M385" s="40">
        <f t="shared" si="211"/>
        <v>66470.8363738902</v>
      </c>
      <c r="N385">
        <v>450.758</v>
      </c>
      <c r="O385">
        <v>446.842</v>
      </c>
      <c r="P385">
        <v>0.001</v>
      </c>
      <c r="Q385" s="39">
        <f t="shared" si="212"/>
        <v>487503.921600123</v>
      </c>
      <c r="R385" s="39">
        <f t="shared" si="213"/>
        <v>3369861.64828329</v>
      </c>
      <c r="S385" s="39">
        <f t="shared" si="214"/>
        <v>487515.265997625</v>
      </c>
      <c r="T385" s="39">
        <f t="shared" si="215"/>
        <v>3369841.85428119</v>
      </c>
      <c r="U385" s="39">
        <f t="shared" si="216"/>
        <v>487520.561968034</v>
      </c>
      <c r="V385" s="39">
        <f t="shared" si="217"/>
        <v>3369819.66305384</v>
      </c>
      <c r="AI385" t="str">
        <f t="array" ref="AI385">IFERROR(INDEX($L$2:$L$789,SMALL(IF(ISNUMBER(FIND($AH$2,$C$2:$C$789)),ROW($2:$789)-1,4^8),ROW(A384)))&amp;"","")</f>
        <v/>
      </c>
      <c r="AS385" t="str">
        <f>"-text"&amp;" "&amp;D385&amp;","&amp;E385&amp;" "&amp;"10"&amp;" "&amp;"0"&amp;" "&amp;C385</f>
        <v>-text 487518.4184,3369843.1037 10 0 IP199</v>
      </c>
      <c r="AT385" t="str">
        <f t="shared" si="218"/>
        <v>487518.4184,3369843.1037</v>
      </c>
      <c r="AV385">
        <f t="shared" si="204"/>
        <v>452.242</v>
      </c>
      <c r="AX385" t="str">
        <f t="shared" si="219"/>
        <v>pl 33223.9719686447,279 33223.9719686447,400 </v>
      </c>
      <c r="AY385" t="str">
        <f t="shared" si="220"/>
        <v>33223.9719686447,446.842</v>
      </c>
      <c r="AZ385" t="str">
        <f t="shared" si="221"/>
        <v>33223.9719686447,450.758</v>
      </c>
      <c r="BA385" t="str">
        <f t="shared" si="222"/>
        <v>33223.9719686447,452.242</v>
      </c>
      <c r="BB385" t="str">
        <f t="shared" si="223"/>
        <v>-text 33222.9719686447,337 3.5 90 446.842 </v>
      </c>
      <c r="BC385" t="str">
        <f t="shared" si="224"/>
        <v>-text 33222.9719686447,320 3.5 90 452.242 </v>
      </c>
      <c r="BD385" t="str">
        <f t="shared" si="225"/>
        <v>-text 33222.9719686447,306 3.5 90 450.758 </v>
      </c>
      <c r="BE385" t="str">
        <f t="shared" si="226"/>
        <v>-text 33222.9719686447,352 3.5 90 ZG66+447.944 </v>
      </c>
      <c r="BF385" t="str">
        <f t="shared" si="227"/>
        <v>-text 33222.9719686447,280 3.5 90 IP199 </v>
      </c>
      <c r="BG385" t="str">
        <f t="shared" si="228"/>
        <v>-TEXT 33224.9719686447,300 3.5 0 R=80</v>
      </c>
      <c r="BH385" t="str">
        <f t="shared" si="229"/>
        <v>-TEXT 33224.9719686447,295 3.5 0 α=32.79° </v>
      </c>
      <c r="BI385" t="str">
        <f t="shared" si="230"/>
        <v>-TEXT 33224.9719686447,290 3.5 0 T=23.54 </v>
      </c>
      <c r="BJ385" t="str">
        <f t="shared" si="231"/>
        <v>-TEXT 33224.9719686447,285 3.5 0 S=45.78 </v>
      </c>
    </row>
    <row r="386" spans="1:62">
      <c r="A386">
        <v>0</v>
      </c>
      <c r="B386">
        <v>385</v>
      </c>
      <c r="C386" t="s">
        <v>379</v>
      </c>
      <c r="D386">
        <v>487530.9208</v>
      </c>
      <c r="E386">
        <v>3369706.3857</v>
      </c>
      <c r="F386">
        <v>80</v>
      </c>
      <c r="G386">
        <f t="shared" si="205"/>
        <v>16.053</v>
      </c>
      <c r="H386">
        <f t="shared" si="206"/>
        <v>11.2810010450515</v>
      </c>
      <c r="I386">
        <f t="shared" si="207"/>
        <v>22.414216385812</v>
      </c>
      <c r="J386">
        <f t="shared" si="208"/>
        <v>137.288461021771</v>
      </c>
      <c r="K386" s="40">
        <f t="shared" si="209"/>
        <v>66573.3053807297</v>
      </c>
      <c r="L386" s="40">
        <f t="shared" si="210"/>
        <v>66584.5124889226</v>
      </c>
      <c r="M386" s="40">
        <f t="shared" si="211"/>
        <v>66595.7195971155</v>
      </c>
      <c r="N386">
        <v>450.731</v>
      </c>
      <c r="O386">
        <v>446.816</v>
      </c>
      <c r="P386">
        <v>0.001</v>
      </c>
      <c r="Q386" s="39">
        <f t="shared" si="212"/>
        <v>487529.893477045</v>
      </c>
      <c r="R386" s="39">
        <f t="shared" si="213"/>
        <v>3369717.61982623</v>
      </c>
      <c r="S386" s="39">
        <f t="shared" si="214"/>
        <v>487531.691199717</v>
      </c>
      <c r="T386" s="39">
        <f t="shared" si="215"/>
        <v>3369706.56712716</v>
      </c>
      <c r="U386" s="39">
        <f t="shared" si="216"/>
        <v>487535.014627524</v>
      </c>
      <c r="V386" s="39">
        <f t="shared" si="217"/>
        <v>3369695.87372774</v>
      </c>
      <c r="AI386" t="str">
        <f t="array" ref="AI386">IFERROR(INDEX($L$2:$L$789,SMALL(IF(ISNUMBER(FIND($AH$2,$C$2:$C$789)),ROW($2:$789)-1,4^8),ROW(A385)))&amp;"","")</f>
        <v/>
      </c>
      <c r="AS386" t="str">
        <f>"-text"&amp;" "&amp;D386&amp;","&amp;E386&amp;" "&amp;"10"&amp;" "&amp;"0"&amp;" "&amp;C386</f>
        <v>-text 487530.9208,3369706.3857 10 0 IP200</v>
      </c>
      <c r="AT386" t="str">
        <f t="shared" si="218"/>
        <v>487530.9208,3369706.3857</v>
      </c>
      <c r="AV386">
        <f t="shared" si="204"/>
        <v>452.216</v>
      </c>
      <c r="AX386" t="str">
        <f t="shared" si="219"/>
        <v>pl 33292.2562444613,279 33292.2562444613,400 </v>
      </c>
      <c r="AY386" t="str">
        <f t="shared" si="220"/>
        <v>33292.2562444613,446.816</v>
      </c>
      <c r="AZ386" t="str">
        <f t="shared" si="221"/>
        <v>33292.2562444613,450.731</v>
      </c>
      <c r="BA386" t="str">
        <f t="shared" si="222"/>
        <v>33292.2562444613,452.216</v>
      </c>
      <c r="BB386" t="str">
        <f t="shared" si="223"/>
        <v>-text 33291.2562444613,337 3.5 90 446.816 </v>
      </c>
      <c r="BC386" t="str">
        <f t="shared" si="224"/>
        <v>-text 33291.2562444613,320 3.5 90 452.216 </v>
      </c>
      <c r="BD386" t="str">
        <f t="shared" si="225"/>
        <v>-text 33291.2562444613,306 3.5 90 450.731 </v>
      </c>
      <c r="BE386" t="str">
        <f t="shared" si="226"/>
        <v>-text 33291.2562444613,352 3.5 90 ZG66+584.512 </v>
      </c>
      <c r="BF386" t="str">
        <f t="shared" si="227"/>
        <v>-text 33291.2562444613,280 3.5 90 IP200 </v>
      </c>
      <c r="BG386" t="str">
        <f t="shared" si="228"/>
        <v>-TEXT 33293.2562444613,300 3.5 0 R=80</v>
      </c>
      <c r="BH386" t="str">
        <f t="shared" si="229"/>
        <v>-TEXT 33293.2562444613,295 3.5 0 α=16.05° </v>
      </c>
      <c r="BI386" t="str">
        <f t="shared" si="230"/>
        <v>-TEXT 33293.2562444613,290 3.5 0 T=11.28 </v>
      </c>
      <c r="BJ386" t="str">
        <f t="shared" si="231"/>
        <v>-TEXT 33293.2562444613,285 3.5 0 S=22.41 </v>
      </c>
    </row>
    <row r="387" spans="1:62">
      <c r="A387">
        <v>1</v>
      </c>
      <c r="B387">
        <v>386</v>
      </c>
      <c r="C387" t="str">
        <f>Sheet1!C360</f>
        <v>庙子坡隧进</v>
      </c>
      <c r="D387">
        <v>487560.8309</v>
      </c>
      <c r="E387">
        <v>3369629.5837</v>
      </c>
      <c r="G387">
        <f t="shared" si="205"/>
        <v>0</v>
      </c>
      <c r="H387">
        <f t="shared" si="206"/>
        <v>0</v>
      </c>
      <c r="I387">
        <f t="shared" si="207"/>
        <v>0</v>
      </c>
      <c r="J387">
        <f t="shared" si="208"/>
        <v>82.4206362874644</v>
      </c>
      <c r="K387" s="40">
        <f t="shared" si="209"/>
        <v>66666.8592323579</v>
      </c>
      <c r="L387" s="40">
        <f t="shared" si="210"/>
        <v>66666.8592323579</v>
      </c>
      <c r="M387" s="40">
        <f t="shared" si="211"/>
        <v>66666.8592323579</v>
      </c>
      <c r="N387">
        <v>450.712</v>
      </c>
      <c r="O387">
        <v>446.823</v>
      </c>
      <c r="P387">
        <v>0</v>
      </c>
      <c r="Q387" s="39">
        <f t="shared" si="212"/>
        <v>487560.8309</v>
      </c>
      <c r="R387" s="39">
        <f t="shared" si="213"/>
        <v>3369629.5837</v>
      </c>
      <c r="S387" s="39" t="str">
        <f t="shared" si="214"/>
        <v> </v>
      </c>
      <c r="T387" s="39" t="str">
        <f t="shared" si="215"/>
        <v> </v>
      </c>
      <c r="U387" s="39" t="str">
        <f t="shared" si="216"/>
        <v> </v>
      </c>
      <c r="V387" s="39" t="str">
        <f t="shared" si="217"/>
        <v> </v>
      </c>
      <c r="AI387" t="str">
        <f t="array" ref="AI387">IFERROR(INDEX($L$2:$L$789,SMALL(IF(ISNUMBER(FIND($AH$2,$C$2:$C$789)),ROW($2:$789)-1,4^8),ROW(A386)))&amp;"","")</f>
        <v/>
      </c>
      <c r="AT387" t="str">
        <f t="shared" si="218"/>
        <v>487560.8309,3369629.5837</v>
      </c>
      <c r="AV387">
        <f t="shared" si="204"/>
        <v>451.923</v>
      </c>
      <c r="AX387" t="str">
        <f t="shared" si="219"/>
        <v>pl 33333.4296161789,279 33333.4296161789,400 </v>
      </c>
      <c r="AY387" t="str">
        <f t="shared" si="220"/>
        <v>33333.4296161789,446.823</v>
      </c>
      <c r="AZ387" t="str">
        <f t="shared" si="221"/>
        <v>33333.4296161789,450.712</v>
      </c>
      <c r="BA387" t="str">
        <f t="shared" si="222"/>
        <v>33333.4296161789,451.923</v>
      </c>
      <c r="BB387" t="str">
        <f t="shared" si="223"/>
        <v>-text 33332.4296161789,337 3.5 90 446.823 </v>
      </c>
      <c r="BC387" t="str">
        <f t="shared" si="224"/>
        <v>-text 33332.4296161789,320 3.5 90 451.923 </v>
      </c>
      <c r="BD387" t="str">
        <f t="shared" si="225"/>
        <v>-text 33332.4296161789,306 3.5 90 450.712 </v>
      </c>
      <c r="BE387" t="str">
        <f t="shared" si="226"/>
        <v>-text 33332.4296161789,352 3.5 90 ZG66+666.859 </v>
      </c>
      <c r="BF387" t="str">
        <f t="shared" si="227"/>
        <v>-text 33332.4296161789,280 3.5 90 庙子坡隧进 </v>
      </c>
      <c r="BG387" t="str">
        <f t="shared" si="228"/>
        <v/>
      </c>
      <c r="BH387" t="str">
        <f t="shared" si="229"/>
        <v> </v>
      </c>
      <c r="BI387" t="str">
        <f t="shared" si="230"/>
        <v> </v>
      </c>
      <c r="BJ387" t="str">
        <f t="shared" si="231"/>
        <v> </v>
      </c>
    </row>
    <row r="388" spans="1:62">
      <c r="A388">
        <v>1</v>
      </c>
      <c r="B388">
        <v>387</v>
      </c>
      <c r="C388" t="str">
        <f>Sheet1!C361</f>
        <v>庙子坡隧出</v>
      </c>
      <c r="D388">
        <v>487730.5035</v>
      </c>
      <c r="E388">
        <v>3369193.9055</v>
      </c>
      <c r="G388">
        <f t="shared" si="205"/>
        <v>0</v>
      </c>
      <c r="H388">
        <f t="shared" si="206"/>
        <v>0</v>
      </c>
      <c r="I388">
        <f t="shared" si="207"/>
        <v>0</v>
      </c>
      <c r="J388">
        <f t="shared" si="208"/>
        <v>467.551371665154</v>
      </c>
      <c r="K388" s="40">
        <f t="shared" si="209"/>
        <v>67134.410604023</v>
      </c>
      <c r="L388" s="40">
        <f t="shared" si="210"/>
        <v>67134.410604023</v>
      </c>
      <c r="M388" s="40">
        <f t="shared" si="211"/>
        <v>67134.410604023</v>
      </c>
      <c r="N388">
        <v>450.627</v>
      </c>
      <c r="O388">
        <v>446.738</v>
      </c>
      <c r="P388">
        <v>0</v>
      </c>
      <c r="Q388" s="39">
        <f t="shared" si="212"/>
        <v>487730.5035</v>
      </c>
      <c r="R388" s="39">
        <f t="shared" si="213"/>
        <v>3369193.9055</v>
      </c>
      <c r="S388" s="39" t="str">
        <f t="shared" si="214"/>
        <v> </v>
      </c>
      <c r="T388" s="39" t="str">
        <f t="shared" si="215"/>
        <v> </v>
      </c>
      <c r="U388" s="39" t="str">
        <f t="shared" si="216"/>
        <v> </v>
      </c>
      <c r="V388" s="39" t="str">
        <f t="shared" si="217"/>
        <v> </v>
      </c>
      <c r="AI388" t="str">
        <f t="array" ref="AI388">IFERROR(INDEX($L$2:$L$789,SMALL(IF(ISNUMBER(FIND($AH$2,$C$2:$C$789)),ROW($2:$789)-1,4^8),ROW(A387)))&amp;"","")</f>
        <v/>
      </c>
      <c r="AT388" t="str">
        <f t="shared" si="218"/>
        <v>487730.5035,3369193.9055</v>
      </c>
      <c r="AV388">
        <f t="shared" si="204"/>
        <v>451.838</v>
      </c>
      <c r="AX388" t="str">
        <f t="shared" si="219"/>
        <v>pl 33567.2053020115,279 33567.2053020115,400 </v>
      </c>
      <c r="AY388" t="str">
        <f t="shared" si="220"/>
        <v>33567.2053020115,446.738</v>
      </c>
      <c r="AZ388" t="str">
        <f t="shared" si="221"/>
        <v>33567.2053020115,450.627</v>
      </c>
      <c r="BA388" t="str">
        <f t="shared" si="222"/>
        <v>33567.2053020115,451.838</v>
      </c>
      <c r="BB388" t="str">
        <f t="shared" si="223"/>
        <v>-text 33566.2053020115,337 3.5 90 446.738 </v>
      </c>
      <c r="BC388" t="str">
        <f t="shared" si="224"/>
        <v>-text 33566.2053020115,320 3.5 90 451.838 </v>
      </c>
      <c r="BD388" t="str">
        <f t="shared" si="225"/>
        <v>-text 33566.2053020115,306 3.5 90 450.627 </v>
      </c>
      <c r="BE388" t="str">
        <f t="shared" si="226"/>
        <v>-text 33566.2053020115,352 3.5 90 ZG67+134.411 </v>
      </c>
      <c r="BF388" t="str">
        <f t="shared" si="227"/>
        <v>-text 33566.2053020115,280 3.5 90 庙子坡隧出 </v>
      </c>
      <c r="BG388" t="str">
        <f t="shared" si="228"/>
        <v/>
      </c>
      <c r="BH388" t="str">
        <f t="shared" si="229"/>
        <v> </v>
      </c>
      <c r="BI388" t="str">
        <f t="shared" si="230"/>
        <v> </v>
      </c>
      <c r="BJ388" t="str">
        <f t="shared" si="231"/>
        <v> </v>
      </c>
    </row>
    <row r="389" spans="1:62">
      <c r="A389">
        <v>0</v>
      </c>
      <c r="B389">
        <v>388</v>
      </c>
      <c r="C389" t="s">
        <v>382</v>
      </c>
      <c r="D389">
        <v>487745.6538</v>
      </c>
      <c r="E389">
        <v>3369155.0033</v>
      </c>
      <c r="F389">
        <v>80</v>
      </c>
      <c r="G389">
        <f t="shared" si="205"/>
        <v>15.575</v>
      </c>
      <c r="H389">
        <f t="shared" si="206"/>
        <v>10.9408565903015</v>
      </c>
      <c r="I389">
        <f t="shared" si="207"/>
        <v>21.7468024798493</v>
      </c>
      <c r="J389">
        <f t="shared" si="208"/>
        <v>41.7482066072448</v>
      </c>
      <c r="K389" s="40">
        <f t="shared" si="209"/>
        <v>67165.21795404</v>
      </c>
      <c r="L389" s="40">
        <f t="shared" si="210"/>
        <v>67176.0913552799</v>
      </c>
      <c r="M389" s="40">
        <f t="shared" si="211"/>
        <v>67186.9647565198</v>
      </c>
      <c r="N389">
        <v>450.622</v>
      </c>
      <c r="O389">
        <v>446.707</v>
      </c>
      <c r="P389">
        <v>0.001</v>
      </c>
      <c r="Q389" s="39">
        <f t="shared" si="212"/>
        <v>487741.683395686</v>
      </c>
      <c r="R389" s="39">
        <f t="shared" si="213"/>
        <v>3369165.19831018</v>
      </c>
      <c r="S389" s="39">
        <f t="shared" si="214"/>
        <v>487744.929655565</v>
      </c>
      <c r="T389" s="39">
        <f t="shared" si="215"/>
        <v>3369154.82957486</v>
      </c>
      <c r="U389" s="39">
        <f t="shared" si="216"/>
        <v>487746.740983527</v>
      </c>
      <c r="V389" s="39">
        <f t="shared" si="217"/>
        <v>3369144.11659366</v>
      </c>
      <c r="AI389" t="str">
        <f t="array" ref="AI389">IFERROR(INDEX($L$2:$L$789,SMALL(IF(ISNUMBER(FIND($AH$2,$C$2:$C$789)),ROW($2:$789)-1,4^8),ROW(A388)))&amp;"","")</f>
        <v/>
      </c>
      <c r="AS389" t="str">
        <f t="shared" ref="AS389:AS396" si="232">"-text"&amp;" "&amp;D389&amp;","&amp;E389&amp;" "&amp;"10"&amp;" "&amp;"0"&amp;" "&amp;C389</f>
        <v>-text 487745.6538,3369155.0033 10 0 IP201</v>
      </c>
      <c r="AT389" t="str">
        <f t="shared" si="218"/>
        <v>487745.6538,3369155.0033</v>
      </c>
      <c r="AV389">
        <f t="shared" si="204"/>
        <v>452.107</v>
      </c>
      <c r="AX389" t="str">
        <f t="shared" si="219"/>
        <v>pl 33588.0456776399,279 33588.0456776399,400 </v>
      </c>
      <c r="AY389" t="str">
        <f t="shared" si="220"/>
        <v>33588.0456776399,446.707</v>
      </c>
      <c r="AZ389" t="str">
        <f t="shared" si="221"/>
        <v>33588.0456776399,450.622</v>
      </c>
      <c r="BA389" t="str">
        <f t="shared" si="222"/>
        <v>33588.0456776399,452.107</v>
      </c>
      <c r="BB389" t="str">
        <f t="shared" si="223"/>
        <v>-text 33587.0456776399,337 3.5 90 446.707 </v>
      </c>
      <c r="BC389" t="str">
        <f t="shared" si="224"/>
        <v>-text 33587.0456776399,320 3.5 90 452.107 </v>
      </c>
      <c r="BD389" t="str">
        <f t="shared" si="225"/>
        <v>-text 33587.0456776399,306 3.5 90 450.622 </v>
      </c>
      <c r="BE389" t="str">
        <f t="shared" si="226"/>
        <v>-text 33587.0456776399,352 3.5 90 ZG67+176.091 </v>
      </c>
      <c r="BF389" t="str">
        <f t="shared" si="227"/>
        <v>-text 33587.0456776399,280 3.5 90 IP201 </v>
      </c>
      <c r="BG389" t="str">
        <f t="shared" si="228"/>
        <v>-TEXT 33589.0456776399,300 3.5 0 R=80</v>
      </c>
      <c r="BH389" t="str">
        <f t="shared" si="229"/>
        <v>-TEXT 33589.0456776399,295 3.5 0 α=15.58° </v>
      </c>
      <c r="BI389" t="str">
        <f t="shared" si="230"/>
        <v>-TEXT 33589.0456776399,290 3.5 0 T=10.94 </v>
      </c>
      <c r="BJ389" t="str">
        <f t="shared" si="231"/>
        <v>-TEXT 33589.0456776399,285 3.5 0 S=21.75 </v>
      </c>
    </row>
    <row r="390" spans="1:62">
      <c r="A390">
        <v>0</v>
      </c>
      <c r="B390">
        <v>389</v>
      </c>
      <c r="C390" t="s">
        <v>383</v>
      </c>
      <c r="D390">
        <v>487755.6695</v>
      </c>
      <c r="E390">
        <v>3369054.7093</v>
      </c>
      <c r="F390">
        <v>80</v>
      </c>
      <c r="G390">
        <f t="shared" si="205"/>
        <v>12.083</v>
      </c>
      <c r="H390">
        <f t="shared" si="206"/>
        <v>8.46692833485745</v>
      </c>
      <c r="I390">
        <f t="shared" si="207"/>
        <v>16.871050681478</v>
      </c>
      <c r="J390">
        <f t="shared" si="208"/>
        <v>100.792860275136</v>
      </c>
      <c r="K390" s="40">
        <f t="shared" si="209"/>
        <v>67268.3498318698</v>
      </c>
      <c r="L390" s="40">
        <f t="shared" si="210"/>
        <v>67276.7853572105</v>
      </c>
      <c r="M390" s="40">
        <f t="shared" si="211"/>
        <v>67285.2208825513</v>
      </c>
      <c r="N390">
        <v>450.602</v>
      </c>
      <c r="O390">
        <v>446.687</v>
      </c>
      <c r="P390">
        <v>0.001</v>
      </c>
      <c r="Q390" s="39">
        <f t="shared" si="212"/>
        <v>487754.8281486</v>
      </c>
      <c r="R390" s="39">
        <f t="shared" si="213"/>
        <v>3369063.13432245</v>
      </c>
      <c r="S390" s="39">
        <f t="shared" si="214"/>
        <v>487756.106970465</v>
      </c>
      <c r="T390" s="39">
        <f t="shared" si="215"/>
        <v>3369054.80025079</v>
      </c>
      <c r="U390" s="39">
        <f t="shared" si="216"/>
        <v>487758.255873772</v>
      </c>
      <c r="V390" s="39">
        <f t="shared" si="217"/>
        <v>3369046.6470704</v>
      </c>
      <c r="AI390" t="str">
        <f t="array" ref="AI390">IFERROR(INDEX($L$2:$L$789,SMALL(IF(ISNUMBER(FIND($AH$2,$C$2:$C$789)),ROW($2:$789)-1,4^8),ROW(A389)))&amp;"","")</f>
        <v/>
      </c>
      <c r="AS390" t="str">
        <f t="shared" si="232"/>
        <v>-text 487755.6695,3369054.7093 10 0 IP202</v>
      </c>
      <c r="AT390" t="str">
        <f t="shared" si="218"/>
        <v>487755.6695,3369054.7093</v>
      </c>
      <c r="AV390">
        <f t="shared" si="204"/>
        <v>452.087</v>
      </c>
      <c r="AX390" t="str">
        <f t="shared" si="219"/>
        <v>pl 33638.3926786053,279 33638.3926786053,400 </v>
      </c>
      <c r="AY390" t="str">
        <f t="shared" si="220"/>
        <v>33638.3926786053,446.687</v>
      </c>
      <c r="AZ390" t="str">
        <f t="shared" si="221"/>
        <v>33638.3926786053,450.602</v>
      </c>
      <c r="BA390" t="str">
        <f t="shared" si="222"/>
        <v>33638.3926786053,452.087</v>
      </c>
      <c r="BB390" t="str">
        <f t="shared" si="223"/>
        <v>-text 33637.3926786053,337 3.5 90 446.687 </v>
      </c>
      <c r="BC390" t="str">
        <f t="shared" si="224"/>
        <v>-text 33637.3926786053,320 3.5 90 452.087 </v>
      </c>
      <c r="BD390" t="str">
        <f t="shared" si="225"/>
        <v>-text 33637.3926786053,306 3.5 90 450.602 </v>
      </c>
      <c r="BE390" t="str">
        <f t="shared" si="226"/>
        <v>-text 33637.3926786053,352 3.5 90 ZG67+276.785 </v>
      </c>
      <c r="BF390" t="str">
        <f t="shared" si="227"/>
        <v>-text 33637.3926786053,280 3.5 90 IP202 </v>
      </c>
      <c r="BG390" t="str">
        <f t="shared" si="228"/>
        <v>-TEXT 33639.3926786053,300 3.5 0 R=80</v>
      </c>
      <c r="BH390" t="str">
        <f t="shared" si="229"/>
        <v>-TEXT 33639.3926786053,295 3.5 0 α=12.08° </v>
      </c>
      <c r="BI390" t="str">
        <f t="shared" si="230"/>
        <v>-TEXT 33639.3926786053,290 3.5 0 T=8.47 </v>
      </c>
      <c r="BJ390" t="str">
        <f t="shared" si="231"/>
        <v>-TEXT 33639.3926786053,285 3.5 0 S=16.87 </v>
      </c>
    </row>
    <row r="391" spans="1:62">
      <c r="A391">
        <v>0</v>
      </c>
      <c r="B391">
        <v>390</v>
      </c>
      <c r="C391" t="s">
        <v>384</v>
      </c>
      <c r="D391">
        <v>487793.3087</v>
      </c>
      <c r="E391">
        <v>3368937.3806</v>
      </c>
      <c r="F391">
        <v>80</v>
      </c>
      <c r="G391">
        <f t="shared" si="205"/>
        <v>31.645</v>
      </c>
      <c r="H391">
        <f t="shared" si="206"/>
        <v>22.6716534401734</v>
      </c>
      <c r="I391">
        <f t="shared" si="207"/>
        <v>44.1847553434884</v>
      </c>
      <c r="J391">
        <f t="shared" si="208"/>
        <v>123.218234123148</v>
      </c>
      <c r="K391" s="40">
        <f t="shared" si="209"/>
        <v>67377.3005348994</v>
      </c>
      <c r="L391" s="40">
        <f t="shared" si="210"/>
        <v>67399.3929125711</v>
      </c>
      <c r="M391" s="40">
        <f t="shared" si="211"/>
        <v>67421.4852902429</v>
      </c>
      <c r="N391">
        <v>450.579</v>
      </c>
      <c r="O391">
        <v>446.664</v>
      </c>
      <c r="P391">
        <v>0.001</v>
      </c>
      <c r="Q391" s="39">
        <f t="shared" si="212"/>
        <v>487786.383240434</v>
      </c>
      <c r="R391" s="39">
        <f t="shared" si="213"/>
        <v>3368958.96860314</v>
      </c>
      <c r="S391" s="39">
        <f t="shared" si="214"/>
        <v>487790.160066722</v>
      </c>
      <c r="T391" s="39">
        <f t="shared" si="215"/>
        <v>3368937.27263696</v>
      </c>
      <c r="U391" s="39">
        <f t="shared" si="216"/>
        <v>487787.878223616</v>
      </c>
      <c r="V391" s="39">
        <f t="shared" si="217"/>
        <v>3368915.36892592</v>
      </c>
      <c r="AI391" t="str">
        <f t="array" ref="AI391">IFERROR(INDEX($L$2:$L$789,SMALL(IF(ISNUMBER(FIND($AH$2,$C$2:$C$789)),ROW($2:$789)-1,4^8),ROW(A390)))&amp;"","")</f>
        <v/>
      </c>
      <c r="AS391" t="str">
        <f t="shared" si="232"/>
        <v>-text 487793.3087,3368937.3806 10 0 IP203</v>
      </c>
      <c r="AT391" t="str">
        <f t="shared" si="218"/>
        <v>487793.3087,3368937.3806</v>
      </c>
      <c r="AV391">
        <f t="shared" si="204"/>
        <v>452.064</v>
      </c>
      <c r="AX391" t="str">
        <f t="shared" si="219"/>
        <v>pl 33699.6964562856,279 33699.6964562856,400 </v>
      </c>
      <c r="AY391" t="str">
        <f t="shared" si="220"/>
        <v>33699.6964562856,446.664</v>
      </c>
      <c r="AZ391" t="str">
        <f t="shared" si="221"/>
        <v>33699.6964562856,450.579</v>
      </c>
      <c r="BA391" t="str">
        <f t="shared" si="222"/>
        <v>33699.6964562856,452.064</v>
      </c>
      <c r="BB391" t="str">
        <f t="shared" si="223"/>
        <v>-text 33698.6964562856,337 3.5 90 446.664 </v>
      </c>
      <c r="BC391" t="str">
        <f t="shared" si="224"/>
        <v>-text 33698.6964562856,320 3.5 90 452.064 </v>
      </c>
      <c r="BD391" t="str">
        <f t="shared" si="225"/>
        <v>-text 33698.6964562856,306 3.5 90 450.579 </v>
      </c>
      <c r="BE391" t="str">
        <f t="shared" si="226"/>
        <v>-text 33698.6964562856,352 3.5 90 ZG67+399.393 </v>
      </c>
      <c r="BF391" t="str">
        <f t="shared" si="227"/>
        <v>-text 33698.6964562856,280 3.5 90 IP203 </v>
      </c>
      <c r="BG391" t="str">
        <f t="shared" si="228"/>
        <v>-TEXT 33700.6964562856,300 3.5 0 R=80</v>
      </c>
      <c r="BH391" t="str">
        <f t="shared" si="229"/>
        <v>-TEXT 33700.6964562856,295 3.5 0 α=31.65° </v>
      </c>
      <c r="BI391" t="str">
        <f t="shared" si="230"/>
        <v>-TEXT 33700.6964562856,290 3.5 0 T=22.67 </v>
      </c>
      <c r="BJ391" t="str">
        <f t="shared" si="231"/>
        <v>-TEXT 33700.6964562856,285 3.5 0 S=44.18 </v>
      </c>
    </row>
    <row r="392" spans="1:62">
      <c r="A392">
        <v>0</v>
      </c>
      <c r="B392">
        <v>391</v>
      </c>
      <c r="C392" t="s">
        <v>385</v>
      </c>
      <c r="D392">
        <v>487768.5222</v>
      </c>
      <c r="E392">
        <v>3368836.912</v>
      </c>
      <c r="F392">
        <v>80</v>
      </c>
      <c r="G392">
        <f t="shared" si="205"/>
        <v>28.954</v>
      </c>
      <c r="H392">
        <f t="shared" si="206"/>
        <v>20.6551483586335</v>
      </c>
      <c r="I392">
        <f t="shared" si="207"/>
        <v>40.4274105297951</v>
      </c>
      <c r="J392">
        <f t="shared" si="208"/>
        <v>103.480965245629</v>
      </c>
      <c r="K392" s="40">
        <f t="shared" si="209"/>
        <v>67481.6394536897</v>
      </c>
      <c r="L392" s="40">
        <f t="shared" si="210"/>
        <v>67501.8531589546</v>
      </c>
      <c r="M392" s="40">
        <f t="shared" si="211"/>
        <v>67522.0668642195</v>
      </c>
      <c r="N392">
        <v>450.558</v>
      </c>
      <c r="O392">
        <v>446.643</v>
      </c>
      <c r="P392">
        <v>0.001</v>
      </c>
      <c r="Q392" s="39">
        <f t="shared" si="212"/>
        <v>487773.469668683</v>
      </c>
      <c r="R392" s="39">
        <f t="shared" si="213"/>
        <v>3368856.96587013</v>
      </c>
      <c r="S392" s="39">
        <f t="shared" si="214"/>
        <v>487771.145506377</v>
      </c>
      <c r="T392" s="39">
        <f t="shared" si="215"/>
        <v>3368836.94031454</v>
      </c>
      <c r="U392" s="39">
        <f t="shared" si="216"/>
        <v>487773.901366753</v>
      </c>
      <c r="V392" s="39">
        <f t="shared" si="217"/>
        <v>3368816.96958995</v>
      </c>
      <c r="AI392" t="str">
        <f t="array" ref="AI392">IFERROR(INDEX($L$2:$L$789,SMALL(IF(ISNUMBER(FIND($AH$2,$C$2:$C$789)),ROW($2:$789)-1,4^8),ROW(A391)))&amp;"","")</f>
        <v/>
      </c>
      <c r="AS392" t="str">
        <f t="shared" si="232"/>
        <v>-text 487768.5222,3368836.912 10 0 IP204</v>
      </c>
      <c r="AT392" t="str">
        <f t="shared" si="218"/>
        <v>487768.5222,3368836.912</v>
      </c>
      <c r="AV392">
        <f t="shared" si="204"/>
        <v>452.043</v>
      </c>
      <c r="AX392" t="str">
        <f t="shared" si="219"/>
        <v>pl 33750.9265794773,279 33750.9265794773,400 </v>
      </c>
      <c r="AY392" t="str">
        <f t="shared" si="220"/>
        <v>33750.9265794773,446.643</v>
      </c>
      <c r="AZ392" t="str">
        <f t="shared" si="221"/>
        <v>33750.9265794773,450.558</v>
      </c>
      <c r="BA392" t="str">
        <f t="shared" si="222"/>
        <v>33750.9265794773,452.043</v>
      </c>
      <c r="BB392" t="str">
        <f t="shared" si="223"/>
        <v>-text 33749.9265794773,337 3.5 90 446.643 </v>
      </c>
      <c r="BC392" t="str">
        <f t="shared" si="224"/>
        <v>-text 33749.9265794773,320 3.5 90 452.043 </v>
      </c>
      <c r="BD392" t="str">
        <f t="shared" si="225"/>
        <v>-text 33749.9265794773,306 3.5 90 450.558 </v>
      </c>
      <c r="BE392" t="str">
        <f t="shared" si="226"/>
        <v>-text 33749.9265794773,352 3.5 90 ZG67+501.853 </v>
      </c>
      <c r="BF392" t="str">
        <f t="shared" si="227"/>
        <v>-text 33749.9265794773,280 3.5 90 IP204 </v>
      </c>
      <c r="BG392" t="str">
        <f t="shared" si="228"/>
        <v>-TEXT 33751.9265794773,300 3.5 0 R=80</v>
      </c>
      <c r="BH392" t="str">
        <f t="shared" si="229"/>
        <v>-TEXT 33751.9265794773,295 3.5 0 α=28.95° </v>
      </c>
      <c r="BI392" t="str">
        <f t="shared" si="230"/>
        <v>-TEXT 33751.9265794773,290 3.5 0 T=20.66 </v>
      </c>
      <c r="BJ392" t="str">
        <f t="shared" si="231"/>
        <v>-TEXT 33751.9265794773,285 3.5 0 S=40.43 </v>
      </c>
    </row>
    <row r="393" spans="1:62">
      <c r="A393">
        <v>0</v>
      </c>
      <c r="B393">
        <v>392</v>
      </c>
      <c r="C393" t="s">
        <v>386</v>
      </c>
      <c r="D393">
        <v>487797.4563</v>
      </c>
      <c r="E393">
        <v>3368729.6434</v>
      </c>
      <c r="F393">
        <v>60</v>
      </c>
      <c r="G393">
        <f t="shared" si="205"/>
        <v>35.932</v>
      </c>
      <c r="H393">
        <f t="shared" si="206"/>
        <v>19.4558257509373</v>
      </c>
      <c r="I393">
        <f t="shared" si="207"/>
        <v>37.6279024095962</v>
      </c>
      <c r="J393">
        <f t="shared" si="208"/>
        <v>111.102361310575</v>
      </c>
      <c r="K393" s="40">
        <f t="shared" si="209"/>
        <v>67593.0582514205</v>
      </c>
      <c r="L393" s="40">
        <f t="shared" si="210"/>
        <v>67611.8722026253</v>
      </c>
      <c r="M393" s="40">
        <f t="shared" si="211"/>
        <v>67630.6861538301</v>
      </c>
      <c r="N393">
        <v>450.536</v>
      </c>
      <c r="O393">
        <v>446.621</v>
      </c>
      <c r="P393">
        <v>0.001</v>
      </c>
      <c r="Q393" s="39">
        <f t="shared" si="212"/>
        <v>487792.389469725</v>
      </c>
      <c r="R393" s="39">
        <f t="shared" si="213"/>
        <v>3368748.42787195</v>
      </c>
      <c r="S393" s="39">
        <f t="shared" si="214"/>
        <v>487800.033908267</v>
      </c>
      <c r="T393" s="39">
        <f t="shared" si="215"/>
        <v>3368731.32125261</v>
      </c>
      <c r="U393" s="39">
        <f t="shared" si="216"/>
        <v>487812.582193557</v>
      </c>
      <c r="V393" s="39">
        <f t="shared" si="217"/>
        <v>3368717.40671337</v>
      </c>
      <c r="AI393" t="str">
        <f t="array" ref="AI393">IFERROR(INDEX($L$2:$L$789,SMALL(IF(ISNUMBER(FIND($AH$2,$C$2:$C$789)),ROW($2:$789)-1,4^8),ROW(A392)))&amp;"","")</f>
        <v/>
      </c>
      <c r="AS393" t="str">
        <f t="shared" si="232"/>
        <v>-text 487797.4563,3368729.6434 10 0 IP205</v>
      </c>
      <c r="AT393" t="str">
        <f t="shared" si="218"/>
        <v>487797.4563,3368729.6434</v>
      </c>
      <c r="AV393">
        <f t="shared" si="204"/>
        <v>452.021</v>
      </c>
      <c r="AX393" t="str">
        <f t="shared" si="219"/>
        <v>pl 33805.9361013126,279 33805.9361013126,400 </v>
      </c>
      <c r="AY393" t="str">
        <f t="shared" si="220"/>
        <v>33805.9361013126,446.621</v>
      </c>
      <c r="AZ393" t="str">
        <f t="shared" si="221"/>
        <v>33805.9361013126,450.536</v>
      </c>
      <c r="BA393" t="str">
        <f t="shared" si="222"/>
        <v>33805.9361013126,452.021</v>
      </c>
      <c r="BB393" t="str">
        <f t="shared" si="223"/>
        <v>-text 33804.9361013126,337 3.5 90 446.621 </v>
      </c>
      <c r="BC393" t="str">
        <f t="shared" si="224"/>
        <v>-text 33804.9361013126,320 3.5 90 452.021 </v>
      </c>
      <c r="BD393" t="str">
        <f t="shared" si="225"/>
        <v>-text 33804.9361013126,306 3.5 90 450.536 </v>
      </c>
      <c r="BE393" t="str">
        <f t="shared" si="226"/>
        <v>-text 33804.9361013126,352 3.5 90 ZG67+611.872 </v>
      </c>
      <c r="BF393" t="str">
        <f t="shared" si="227"/>
        <v>-text 33804.9361013126,280 3.5 90 IP205 </v>
      </c>
      <c r="BG393" t="str">
        <f t="shared" si="228"/>
        <v>-TEXT 33806.9361013126,300 3.5 0 R=60</v>
      </c>
      <c r="BH393" t="str">
        <f t="shared" si="229"/>
        <v>-TEXT 33806.9361013126,295 3.5 0 α=35.93° </v>
      </c>
      <c r="BI393" t="str">
        <f t="shared" si="230"/>
        <v>-TEXT 33806.9361013126,290 3.5 0 T=19.46 </v>
      </c>
      <c r="BJ393" t="str">
        <f t="shared" si="231"/>
        <v>-TEXT 33806.9361013126,285 3.5 0 S=37.63 </v>
      </c>
    </row>
    <row r="394" spans="1:62">
      <c r="A394">
        <v>0</v>
      </c>
      <c r="B394">
        <v>393</v>
      </c>
      <c r="C394" t="s">
        <v>387</v>
      </c>
      <c r="D394">
        <v>487844.3474</v>
      </c>
      <c r="E394">
        <v>3368691.709</v>
      </c>
      <c r="F394">
        <v>40</v>
      </c>
      <c r="G394">
        <f t="shared" si="205"/>
        <v>77.646</v>
      </c>
      <c r="H394">
        <f t="shared" si="206"/>
        <v>32.1872713233915</v>
      </c>
      <c r="I394">
        <f t="shared" si="207"/>
        <v>54.2071340401407</v>
      </c>
      <c r="J394">
        <f t="shared" si="208"/>
        <v>60.3141273880478</v>
      </c>
      <c r="K394" s="40">
        <f t="shared" si="209"/>
        <v>67639.3571841438</v>
      </c>
      <c r="L394" s="40">
        <f t="shared" si="210"/>
        <v>67666.4607511638</v>
      </c>
      <c r="M394" s="40">
        <f t="shared" si="211"/>
        <v>67693.5643181839</v>
      </c>
      <c r="N394">
        <v>450.524</v>
      </c>
      <c r="O394">
        <v>446.609</v>
      </c>
      <c r="P394">
        <v>0.002</v>
      </c>
      <c r="Q394" s="39">
        <f t="shared" si="212"/>
        <v>487819.323469062</v>
      </c>
      <c r="R394" s="39">
        <f t="shared" si="213"/>
        <v>3368711.95309335</v>
      </c>
      <c r="S394" s="39">
        <f t="shared" si="214"/>
        <v>487833.26153145</v>
      </c>
      <c r="T394" s="39">
        <f t="shared" si="215"/>
        <v>3368689.31125184</v>
      </c>
      <c r="U394" s="39">
        <f t="shared" si="216"/>
        <v>487829.925895727</v>
      </c>
      <c r="V394" s="39">
        <f t="shared" si="217"/>
        <v>3368662.93330453</v>
      </c>
      <c r="AI394" t="str">
        <f t="array" ref="AI394">IFERROR(INDEX($L$2:$L$789,SMALL(IF(ISNUMBER(FIND($AH$2,$C$2:$C$789)),ROW($2:$789)-1,4^8),ROW(A393)))&amp;"","")</f>
        <v/>
      </c>
      <c r="AS394" t="str">
        <f t="shared" si="232"/>
        <v>-text 487844.3474,3368691.709 10 0 IP206</v>
      </c>
      <c r="AT394" t="str">
        <f t="shared" si="218"/>
        <v>487844.3474,3368691.709</v>
      </c>
      <c r="AV394">
        <f t="shared" si="204"/>
        <v>452.009</v>
      </c>
      <c r="AX394" t="str">
        <f t="shared" si="219"/>
        <v>pl 33833.2303755819,279 33833.2303755819,400 </v>
      </c>
      <c r="AY394" t="str">
        <f t="shared" si="220"/>
        <v>33833.2303755819,446.609</v>
      </c>
      <c r="AZ394" t="str">
        <f t="shared" si="221"/>
        <v>33833.2303755819,450.524</v>
      </c>
      <c r="BA394" t="str">
        <f t="shared" si="222"/>
        <v>33833.2303755819,452.009</v>
      </c>
      <c r="BB394" t="str">
        <f t="shared" si="223"/>
        <v>-text 33832.2303755819,337 3.5 90 446.609 </v>
      </c>
      <c r="BC394" t="str">
        <f t="shared" si="224"/>
        <v>-text 33832.2303755819,320 3.5 90 452.009 </v>
      </c>
      <c r="BD394" t="str">
        <f t="shared" si="225"/>
        <v>-text 33832.2303755819,306 3.5 90 450.524 </v>
      </c>
      <c r="BE394" t="str">
        <f t="shared" si="226"/>
        <v>-text 33832.2303755819,352 3.5 90 ZG67+666.461 </v>
      </c>
      <c r="BF394" t="str">
        <f t="shared" si="227"/>
        <v>-text 33832.2303755819,280 3.5 90 IP206 </v>
      </c>
      <c r="BG394" t="str">
        <f t="shared" si="228"/>
        <v>-TEXT 33834.2303755819,300 3.5 0 R=40</v>
      </c>
      <c r="BH394" t="str">
        <f t="shared" si="229"/>
        <v>-TEXT 33834.2303755819,295 3.5 0 α=77.65° </v>
      </c>
      <c r="BI394" t="str">
        <f t="shared" si="230"/>
        <v>-TEXT 33834.2303755819,290 3.5 0 T=32.19 </v>
      </c>
      <c r="BJ394" t="str">
        <f t="shared" si="231"/>
        <v>-TEXT 33834.2303755819,285 3.5 0 S=54.21 </v>
      </c>
    </row>
    <row r="395" spans="1:62">
      <c r="A395">
        <v>0</v>
      </c>
      <c r="B395">
        <v>394</v>
      </c>
      <c r="C395" t="s">
        <v>388</v>
      </c>
      <c r="D395">
        <v>487789.5649</v>
      </c>
      <c r="E395">
        <v>3368582.3997</v>
      </c>
      <c r="F395">
        <v>80</v>
      </c>
      <c r="G395">
        <f t="shared" si="205"/>
        <v>27.463</v>
      </c>
      <c r="H395">
        <f t="shared" si="206"/>
        <v>19.5485000637091</v>
      </c>
      <c r="I395">
        <f t="shared" si="207"/>
        <v>38.3455817980162</v>
      </c>
      <c r="J395">
        <f t="shared" si="208"/>
        <v>122.268742418944</v>
      </c>
      <c r="K395" s="40">
        <f t="shared" si="209"/>
        <v>67764.0972892157</v>
      </c>
      <c r="L395" s="40">
        <f t="shared" si="210"/>
        <v>67783.2700801148</v>
      </c>
      <c r="M395" s="40">
        <f t="shared" si="211"/>
        <v>67802.4428710138</v>
      </c>
      <c r="N395">
        <v>450.501</v>
      </c>
      <c r="O395">
        <v>446.586</v>
      </c>
      <c r="P395">
        <v>0.001</v>
      </c>
      <c r="Q395" s="39">
        <f t="shared" si="212"/>
        <v>487798.323603848</v>
      </c>
      <c r="R395" s="39">
        <f t="shared" si="213"/>
        <v>3368599.87622602</v>
      </c>
      <c r="S395" s="39">
        <f t="shared" si="214"/>
        <v>487791.859372677</v>
      </c>
      <c r="T395" s="39">
        <f t="shared" si="215"/>
        <v>3368581.87473492</v>
      </c>
      <c r="U395" s="39">
        <f t="shared" si="216"/>
        <v>487789.852929133</v>
      </c>
      <c r="V395" s="39">
        <f t="shared" si="217"/>
        <v>3368562.85332197</v>
      </c>
      <c r="AI395" t="str">
        <f t="array" ref="AI395">IFERROR(INDEX($L$2:$L$789,SMALL(IF(ISNUMBER(FIND($AH$2,$C$2:$C$789)),ROW($2:$789)-1,4^8),ROW(A394)))&amp;"","")</f>
        <v/>
      </c>
      <c r="AS395" t="str">
        <f t="shared" si="232"/>
        <v>-text 487789.5649,3368582.3997 10 0 IP207</v>
      </c>
      <c r="AT395" t="str">
        <f t="shared" si="218"/>
        <v>487789.5649,3368582.3997</v>
      </c>
      <c r="AV395">
        <f t="shared" si="204"/>
        <v>451.986</v>
      </c>
      <c r="AX395" t="str">
        <f t="shared" si="219"/>
        <v>pl 33891.6350400574,279 33891.6350400574,400 </v>
      </c>
      <c r="AY395" t="str">
        <f t="shared" si="220"/>
        <v>33891.6350400574,446.586</v>
      </c>
      <c r="AZ395" t="str">
        <f t="shared" si="221"/>
        <v>33891.6350400574,450.501</v>
      </c>
      <c r="BA395" t="str">
        <f t="shared" si="222"/>
        <v>33891.6350400574,451.986</v>
      </c>
      <c r="BB395" t="str">
        <f t="shared" si="223"/>
        <v>-text 33890.6350400574,337 3.5 90 446.586 </v>
      </c>
      <c r="BC395" t="str">
        <f t="shared" si="224"/>
        <v>-text 33890.6350400574,320 3.5 90 451.986 </v>
      </c>
      <c r="BD395" t="str">
        <f t="shared" si="225"/>
        <v>-text 33890.6350400574,306 3.5 90 450.501 </v>
      </c>
      <c r="BE395" t="str">
        <f t="shared" si="226"/>
        <v>-text 33890.6350400574,352 3.5 90 ZG67+783.270 </v>
      </c>
      <c r="BF395" t="str">
        <f t="shared" si="227"/>
        <v>-text 33890.6350400574,280 3.5 90 IP207 </v>
      </c>
      <c r="BG395" t="str">
        <f t="shared" si="228"/>
        <v>-TEXT 33892.6350400574,300 3.5 0 R=80</v>
      </c>
      <c r="BH395" t="str">
        <f t="shared" si="229"/>
        <v>-TEXT 33892.6350400574,295 3.5 0 α=27.46° </v>
      </c>
      <c r="BI395" t="str">
        <f t="shared" si="230"/>
        <v>-TEXT 33892.6350400574,290 3.5 0 T=19.55 </v>
      </c>
      <c r="BJ395" t="str">
        <f t="shared" si="231"/>
        <v>-TEXT 33892.6350400574,285 3.5 0 S=38.35 </v>
      </c>
    </row>
    <row r="396" spans="1:62">
      <c r="A396">
        <v>0</v>
      </c>
      <c r="B396">
        <v>395</v>
      </c>
      <c r="C396" t="s">
        <v>389</v>
      </c>
      <c r="D396">
        <v>487791.3744</v>
      </c>
      <c r="E396">
        <v>3368459.6025</v>
      </c>
      <c r="F396">
        <v>80</v>
      </c>
      <c r="G396">
        <f t="shared" si="205"/>
        <v>12.415</v>
      </c>
      <c r="H396">
        <f t="shared" si="206"/>
        <v>8.70137685991947</v>
      </c>
      <c r="I396">
        <f t="shared" si="207"/>
        <v>17.3346101308077</v>
      </c>
      <c r="J396">
        <f t="shared" si="208"/>
        <v>122.810531380939</v>
      </c>
      <c r="K396" s="40">
        <f t="shared" si="209"/>
        <v>67897.0035254711</v>
      </c>
      <c r="L396" s="40">
        <f t="shared" si="210"/>
        <v>67905.6708305365</v>
      </c>
      <c r="M396" s="40">
        <f t="shared" si="211"/>
        <v>67914.3381356019</v>
      </c>
      <c r="N396">
        <v>450.477</v>
      </c>
      <c r="O396">
        <v>446.562</v>
      </c>
      <c r="P396">
        <v>0.001</v>
      </c>
      <c r="Q396" s="39">
        <f t="shared" si="212"/>
        <v>487791.246193231</v>
      </c>
      <c r="R396" s="39">
        <f t="shared" si="213"/>
        <v>3368468.3029323</v>
      </c>
      <c r="S396" s="39">
        <f t="shared" si="214"/>
        <v>487791.842653922</v>
      </c>
      <c r="T396" s="39">
        <f t="shared" si="215"/>
        <v>3368459.66042377</v>
      </c>
      <c r="U396" s="39">
        <f t="shared" si="216"/>
        <v>487793.370131541</v>
      </c>
      <c r="V396" s="39">
        <f t="shared" si="217"/>
        <v>3368451.13308356</v>
      </c>
      <c r="AI396" t="str">
        <f t="array" ref="AI396">IFERROR(INDEX($L$2:$L$789,SMALL(IF(ISNUMBER(FIND($AH$2,$C$2:$C$789)),ROW($2:$789)-1,4^8),ROW(A395)))&amp;"","")</f>
        <v/>
      </c>
      <c r="AS396" t="str">
        <f t="shared" si="232"/>
        <v>-text 487791.3744,3368459.6025 10 0 IP208</v>
      </c>
      <c r="AT396" t="str">
        <f t="shared" si="218"/>
        <v>487791.3744,3368459.6025</v>
      </c>
      <c r="AV396">
        <f t="shared" si="204"/>
        <v>451.962</v>
      </c>
      <c r="AX396" t="str">
        <f t="shared" si="219"/>
        <v>pl 33952.8354152682,279 33952.8354152682,400 </v>
      </c>
      <c r="AY396" t="str">
        <f t="shared" si="220"/>
        <v>33952.8354152682,446.562</v>
      </c>
      <c r="AZ396" t="str">
        <f t="shared" si="221"/>
        <v>33952.8354152682,450.477</v>
      </c>
      <c r="BA396" t="str">
        <f t="shared" si="222"/>
        <v>33952.8354152682,451.962</v>
      </c>
      <c r="BB396" t="str">
        <f t="shared" si="223"/>
        <v>-text 33951.8354152682,337 3.5 90 446.562 </v>
      </c>
      <c r="BC396" t="str">
        <f t="shared" si="224"/>
        <v>-text 33951.8354152682,320 3.5 90 451.962 </v>
      </c>
      <c r="BD396" t="str">
        <f t="shared" si="225"/>
        <v>-text 33951.8354152682,306 3.5 90 450.477 </v>
      </c>
      <c r="BE396" t="str">
        <f t="shared" si="226"/>
        <v>-text 33951.8354152682,352 3.5 90 ZG67+905.671 </v>
      </c>
      <c r="BF396" t="str">
        <f t="shared" si="227"/>
        <v>-text 33951.8354152682,280 3.5 90 IP208 </v>
      </c>
      <c r="BG396" t="str">
        <f t="shared" si="228"/>
        <v>-TEXT 33953.8354152682,300 3.5 0 R=80</v>
      </c>
      <c r="BH396" t="str">
        <f t="shared" si="229"/>
        <v>-TEXT 33953.8354152682,295 3.5 0 α=12.42° </v>
      </c>
      <c r="BI396" t="str">
        <f t="shared" si="230"/>
        <v>-TEXT 33953.8354152682,290 3.5 0 T=8.70 </v>
      </c>
      <c r="BJ396" t="str">
        <f t="shared" si="231"/>
        <v>-TEXT 33953.8354152682,285 3.5 0 S=17.33 </v>
      </c>
    </row>
    <row r="397" spans="1:62">
      <c r="A397">
        <v>1</v>
      </c>
      <c r="B397">
        <v>396</v>
      </c>
      <c r="C397" t="str">
        <f>Sheet1!C370</f>
        <v>轿顶坡隧进</v>
      </c>
      <c r="D397">
        <v>487813.14</v>
      </c>
      <c r="E397">
        <v>3368367.2344</v>
      </c>
      <c r="G397">
        <f t="shared" si="205"/>
        <v>0</v>
      </c>
      <c r="H397">
        <f t="shared" si="206"/>
        <v>0</v>
      </c>
      <c r="I397">
        <f t="shared" si="207"/>
        <v>0</v>
      </c>
      <c r="J397">
        <f t="shared" si="208"/>
        <v>94.8978779582904</v>
      </c>
      <c r="K397" s="40">
        <f t="shared" si="209"/>
        <v>68000.5346367003</v>
      </c>
      <c r="L397" s="40">
        <f t="shared" si="210"/>
        <v>68000.5346367003</v>
      </c>
      <c r="M397" s="40">
        <f t="shared" si="211"/>
        <v>68000.5346367003</v>
      </c>
      <c r="N397">
        <v>450.456</v>
      </c>
      <c r="O397">
        <v>446.567</v>
      </c>
      <c r="P397">
        <v>0</v>
      </c>
      <c r="Q397" s="39">
        <f t="shared" si="212"/>
        <v>487813.14</v>
      </c>
      <c r="R397" s="39">
        <f t="shared" si="213"/>
        <v>3368367.2344</v>
      </c>
      <c r="S397" s="39" t="str">
        <f t="shared" si="214"/>
        <v> </v>
      </c>
      <c r="T397" s="39" t="str">
        <f t="shared" si="215"/>
        <v> </v>
      </c>
      <c r="U397" s="39" t="str">
        <f t="shared" si="216"/>
        <v> </v>
      </c>
      <c r="V397" s="39" t="str">
        <f t="shared" si="217"/>
        <v> </v>
      </c>
      <c r="AI397" t="str">
        <f t="array" ref="AI397">IFERROR(INDEX($L$2:$L$789,SMALL(IF(ISNUMBER(FIND($AH$2,$C$2:$C$789)),ROW($2:$789)-1,4^8),ROW(A396)))&amp;"","")</f>
        <v/>
      </c>
      <c r="AT397" t="str">
        <f t="shared" si="218"/>
        <v>487813.14,3368367.2344</v>
      </c>
      <c r="AV397">
        <f t="shared" si="204"/>
        <v>451.667</v>
      </c>
      <c r="AX397" t="str">
        <f t="shared" si="219"/>
        <v>pl 34000.2673183501,279 34000.2673183501,400 </v>
      </c>
      <c r="AY397" t="str">
        <f t="shared" si="220"/>
        <v>34000.2673183501,446.567</v>
      </c>
      <c r="AZ397" t="str">
        <f t="shared" si="221"/>
        <v>34000.2673183501,450.456</v>
      </c>
      <c r="BA397" t="str">
        <f t="shared" si="222"/>
        <v>34000.2673183501,451.667</v>
      </c>
      <c r="BB397" t="str">
        <f t="shared" si="223"/>
        <v>-text 33999.2673183501,337 3.5 90 446.567 </v>
      </c>
      <c r="BC397" t="str">
        <f t="shared" si="224"/>
        <v>-text 33999.2673183501,320 3.5 90 451.667 </v>
      </c>
      <c r="BD397" t="str">
        <f t="shared" si="225"/>
        <v>-text 33999.2673183501,306 3.5 90 450.456 </v>
      </c>
      <c r="BE397" t="str">
        <f t="shared" si="226"/>
        <v>-text 33999.2673183501,352 3.5 90 ZG68+000.535 </v>
      </c>
      <c r="BF397" t="str">
        <f t="shared" si="227"/>
        <v>-text 33999.2673183501,280 3.5 90 轿顶坡隧进 </v>
      </c>
      <c r="BG397" t="str">
        <f t="shared" si="228"/>
        <v/>
      </c>
      <c r="BH397" t="str">
        <f t="shared" si="229"/>
        <v> </v>
      </c>
      <c r="BI397" t="str">
        <f t="shared" si="230"/>
        <v> </v>
      </c>
      <c r="BJ397" t="str">
        <f t="shared" si="231"/>
        <v> </v>
      </c>
    </row>
    <row r="398" spans="1:62">
      <c r="A398">
        <v>1</v>
      </c>
      <c r="B398">
        <v>397</v>
      </c>
      <c r="C398" t="s">
        <v>391</v>
      </c>
      <c r="D398">
        <v>488020.1828</v>
      </c>
      <c r="E398">
        <v>3367488.5913</v>
      </c>
      <c r="F398">
        <v>80</v>
      </c>
      <c r="G398">
        <f t="shared" si="205"/>
        <v>23.222</v>
      </c>
      <c r="H398">
        <f t="shared" si="206"/>
        <v>16.4376483137138</v>
      </c>
      <c r="I398">
        <f t="shared" si="207"/>
        <v>32.4240287118499</v>
      </c>
      <c r="J398">
        <f t="shared" si="208"/>
        <v>902.707271605488</v>
      </c>
      <c r="K398" s="40">
        <f t="shared" si="209"/>
        <v>68886.804259992</v>
      </c>
      <c r="L398" s="40">
        <f t="shared" si="210"/>
        <v>68903.016274348</v>
      </c>
      <c r="M398" s="40">
        <f t="shared" si="211"/>
        <v>68919.2282887039</v>
      </c>
      <c r="N398">
        <v>450.291</v>
      </c>
      <c r="O398">
        <v>446.402</v>
      </c>
      <c r="P398">
        <v>0.001</v>
      </c>
      <c r="Q398" s="39">
        <f t="shared" si="212"/>
        <v>488016.412699947</v>
      </c>
      <c r="R398" s="39">
        <f t="shared" si="213"/>
        <v>3367504.59075711</v>
      </c>
      <c r="S398" s="39">
        <f t="shared" si="214"/>
        <v>488018.512218873</v>
      </c>
      <c r="T398" s="39">
        <f t="shared" si="215"/>
        <v>3367488.54322893</v>
      </c>
      <c r="U398" s="39">
        <f t="shared" si="216"/>
        <v>488017.338946994</v>
      </c>
      <c r="V398" s="39">
        <f t="shared" si="217"/>
        <v>3367472.401526</v>
      </c>
      <c r="AI398" t="str">
        <f t="array" ref="AI398">IFERROR(INDEX($L$2:$L$789,SMALL(IF(ISNUMBER(FIND($AH$2,$C$2:$C$789)),ROW($2:$789)-1,4^8),ROW(A397)))&amp;"","")</f>
        <v/>
      </c>
      <c r="AS398" t="str">
        <f>"-text"&amp;" "&amp;D398&amp;","&amp;E398&amp;" "&amp;"10"&amp;" "&amp;"0"&amp;" "&amp;C398</f>
        <v>-text 488020.1828,3367488.5913 10 0 IP209</v>
      </c>
      <c r="AT398" t="str">
        <f t="shared" si="218"/>
        <v>488020.1828,3367488.5913</v>
      </c>
      <c r="AV398">
        <f t="shared" si="204"/>
        <v>451.502</v>
      </c>
      <c r="AX398" t="str">
        <f t="shared" si="219"/>
        <v>pl 34451.508137174,279 34451.508137174,400 </v>
      </c>
      <c r="AY398" t="str">
        <f t="shared" si="220"/>
        <v>34451.508137174,446.402</v>
      </c>
      <c r="AZ398" t="str">
        <f t="shared" si="221"/>
        <v>34451.508137174,450.291</v>
      </c>
      <c r="BA398" t="str">
        <f t="shared" si="222"/>
        <v>34451.508137174,451.502</v>
      </c>
      <c r="BB398" t="str">
        <f t="shared" si="223"/>
        <v>-text 34450.508137174,337 3.5 90 446.402 </v>
      </c>
      <c r="BC398" t="str">
        <f t="shared" si="224"/>
        <v>-text 34450.508137174,320 3.5 90 451.502 </v>
      </c>
      <c r="BD398" t="str">
        <f t="shared" si="225"/>
        <v>-text 34450.508137174,306 3.5 90 450.291 </v>
      </c>
      <c r="BE398" t="str">
        <f t="shared" si="226"/>
        <v>-text 34450.508137174,352 3.5 90 ZG68+903.016 </v>
      </c>
      <c r="BF398" t="str">
        <f t="shared" si="227"/>
        <v>-text 34450.508137174,280 3.5 90 IP209 </v>
      </c>
      <c r="BG398" t="str">
        <f t="shared" si="228"/>
        <v>-TEXT 34452.508137174,300 3.5 0 R=80</v>
      </c>
      <c r="BH398" t="str">
        <f t="shared" si="229"/>
        <v>-TEXT 34452.508137174,295 3.5 0 α=23.22° </v>
      </c>
      <c r="BI398" t="str">
        <f t="shared" si="230"/>
        <v>-TEXT 34452.508137174,290 3.5 0 T=16.44 </v>
      </c>
      <c r="BJ398" t="str">
        <f t="shared" si="231"/>
        <v>-TEXT 34452.508137174,285 3.5 0 S=32.42 </v>
      </c>
    </row>
    <row r="399" spans="1:62">
      <c r="A399">
        <v>1</v>
      </c>
      <c r="B399">
        <v>398</v>
      </c>
      <c r="C399" t="str">
        <f>Sheet1!C372</f>
        <v>轿顶坡隧出</v>
      </c>
      <c r="D399">
        <v>487982.2683</v>
      </c>
      <c r="E399">
        <v>3367272.7478</v>
      </c>
      <c r="G399">
        <f t="shared" si="205"/>
        <v>0</v>
      </c>
      <c r="H399">
        <f t="shared" si="206"/>
        <v>0</v>
      </c>
      <c r="I399">
        <f t="shared" si="207"/>
        <v>0</v>
      </c>
      <c r="J399">
        <f t="shared" si="208"/>
        <v>219.148182293359</v>
      </c>
      <c r="K399" s="40">
        <f t="shared" si="209"/>
        <v>69121.9388226835</v>
      </c>
      <c r="L399" s="40">
        <f t="shared" si="210"/>
        <v>69121.9388226835</v>
      </c>
      <c r="M399" s="40">
        <f t="shared" si="211"/>
        <v>69121.9388226835</v>
      </c>
      <c r="N399">
        <v>450.251</v>
      </c>
      <c r="O399">
        <v>446.362</v>
      </c>
      <c r="P399">
        <v>0</v>
      </c>
      <c r="Q399" s="39">
        <f t="shared" si="212"/>
        <v>487982.2683</v>
      </c>
      <c r="R399" s="39">
        <f t="shared" si="213"/>
        <v>3367272.7478</v>
      </c>
      <c r="S399" s="39" t="str">
        <f t="shared" si="214"/>
        <v> </v>
      </c>
      <c r="T399" s="39" t="str">
        <f t="shared" si="215"/>
        <v> </v>
      </c>
      <c r="U399" s="39" t="str">
        <f t="shared" si="216"/>
        <v> </v>
      </c>
      <c r="V399" s="39" t="str">
        <f t="shared" si="217"/>
        <v> </v>
      </c>
      <c r="AI399" t="str">
        <f t="array" ref="AI399">IFERROR(INDEX($L$2:$L$789,SMALL(IF(ISNUMBER(FIND($AH$2,$C$2:$C$789)),ROW($2:$789)-1,4^8),ROW(A398)))&amp;"","")</f>
        <v/>
      </c>
      <c r="AT399" t="str">
        <f t="shared" si="218"/>
        <v>487982.2683,3367272.7478</v>
      </c>
      <c r="AV399">
        <f t="shared" si="204"/>
        <v>451.462</v>
      </c>
      <c r="AX399" t="str">
        <f t="shared" si="219"/>
        <v>pl 34560.9694113418,279 34560.9694113418,400 </v>
      </c>
      <c r="AY399" t="str">
        <f t="shared" si="220"/>
        <v>34560.9694113418,446.362</v>
      </c>
      <c r="AZ399" t="str">
        <f t="shared" si="221"/>
        <v>34560.9694113418,450.251</v>
      </c>
      <c r="BA399" t="str">
        <f t="shared" si="222"/>
        <v>34560.9694113418,451.462</v>
      </c>
      <c r="BB399" t="str">
        <f t="shared" si="223"/>
        <v>-text 34559.9694113418,337 3.5 90 446.362 </v>
      </c>
      <c r="BC399" t="str">
        <f t="shared" si="224"/>
        <v>-text 34559.9694113418,320 3.5 90 451.462 </v>
      </c>
      <c r="BD399" t="str">
        <f t="shared" si="225"/>
        <v>-text 34559.9694113418,306 3.5 90 450.251 </v>
      </c>
      <c r="BE399" t="str">
        <f t="shared" si="226"/>
        <v>-text 34559.9694113418,352 3.5 90 ZG69+121.939 </v>
      </c>
      <c r="BF399" t="str">
        <f t="shared" si="227"/>
        <v>-text 34559.9694113418,280 3.5 90 轿顶坡隧出 </v>
      </c>
      <c r="BG399" t="str">
        <f t="shared" si="228"/>
        <v/>
      </c>
      <c r="BH399" t="str">
        <f t="shared" si="229"/>
        <v> </v>
      </c>
      <c r="BI399" t="str">
        <f t="shared" si="230"/>
        <v> </v>
      </c>
      <c r="BJ399" t="str">
        <f t="shared" si="231"/>
        <v> </v>
      </c>
    </row>
    <row r="400" spans="1:62">
      <c r="A400">
        <v>0</v>
      </c>
      <c r="B400">
        <v>399</v>
      </c>
      <c r="C400" t="s">
        <v>393</v>
      </c>
      <c r="D400">
        <v>487973.9878</v>
      </c>
      <c r="E400">
        <v>3367225.6079</v>
      </c>
      <c r="F400">
        <v>80</v>
      </c>
      <c r="G400">
        <f t="shared" si="205"/>
        <v>31.051</v>
      </c>
      <c r="H400">
        <f t="shared" si="206"/>
        <v>22.2243112968599</v>
      </c>
      <c r="I400">
        <f t="shared" si="207"/>
        <v>43.3553748829407</v>
      </c>
      <c r="J400">
        <f t="shared" si="208"/>
        <v>47.861642807621</v>
      </c>
      <c r="K400" s="40">
        <f t="shared" si="209"/>
        <v>69147.5761541943</v>
      </c>
      <c r="L400" s="40">
        <f t="shared" si="210"/>
        <v>69169.2538416358</v>
      </c>
      <c r="M400" s="40">
        <f t="shared" si="211"/>
        <v>69190.9315290773</v>
      </c>
      <c r="N400">
        <v>450.244</v>
      </c>
      <c r="O400">
        <v>446.329</v>
      </c>
      <c r="P400">
        <v>0.001</v>
      </c>
      <c r="Q400" s="39">
        <f t="shared" si="212"/>
        <v>487977.832808213</v>
      </c>
      <c r="R400" s="39">
        <f t="shared" si="213"/>
        <v>3367247.49707368</v>
      </c>
      <c r="S400" s="39">
        <f t="shared" si="214"/>
        <v>487977.003164952</v>
      </c>
      <c r="T400" s="39">
        <f t="shared" si="215"/>
        <v>3367225.90157591</v>
      </c>
      <c r="U400" s="39">
        <f t="shared" si="216"/>
        <v>487981.984198829</v>
      </c>
      <c r="V400" s="39">
        <f t="shared" si="217"/>
        <v>3367204.87199832</v>
      </c>
      <c r="AI400" t="str">
        <f t="array" ref="AI400">IFERROR(INDEX($L$2:$L$789,SMALL(IF(ISNUMBER(FIND($AH$2,$C$2:$C$789)),ROW($2:$789)-1,4^8),ROW(A399)))&amp;"","")</f>
        <v/>
      </c>
      <c r="AS400" t="str">
        <f>"-text"&amp;" "&amp;D400&amp;","&amp;E400&amp;" "&amp;"10"&amp;" "&amp;"0"&amp;" "&amp;C400</f>
        <v>-text 487973.9878,3367225.6079 10 0 IP210</v>
      </c>
      <c r="AT400" t="str">
        <f t="shared" si="218"/>
        <v>487973.9878,3367225.6079</v>
      </c>
      <c r="AV400">
        <f t="shared" si="204"/>
        <v>451.729</v>
      </c>
      <c r="AX400" t="str">
        <f t="shared" si="219"/>
        <v>pl 34584.6269208179,279 34584.6269208179,400 </v>
      </c>
      <c r="AY400" t="str">
        <f t="shared" si="220"/>
        <v>34584.6269208179,446.329</v>
      </c>
      <c r="AZ400" t="str">
        <f t="shared" si="221"/>
        <v>34584.6269208179,450.244</v>
      </c>
      <c r="BA400" t="str">
        <f t="shared" si="222"/>
        <v>34584.6269208179,451.729</v>
      </c>
      <c r="BB400" t="str">
        <f t="shared" si="223"/>
        <v>-text 34583.6269208179,337 3.5 90 446.329 </v>
      </c>
      <c r="BC400" t="str">
        <f t="shared" si="224"/>
        <v>-text 34583.6269208179,320 3.5 90 451.729 </v>
      </c>
      <c r="BD400" t="str">
        <f t="shared" si="225"/>
        <v>-text 34583.6269208179,306 3.5 90 450.244 </v>
      </c>
      <c r="BE400" t="str">
        <f t="shared" si="226"/>
        <v>-text 34583.6269208179,352 3.5 90 ZG69+169.254 </v>
      </c>
      <c r="BF400" t="str">
        <f t="shared" si="227"/>
        <v>-text 34583.6269208179,280 3.5 90 IP210 </v>
      </c>
      <c r="BG400" t="str">
        <f t="shared" si="228"/>
        <v>-TEXT 34585.6269208179,300 3.5 0 R=80</v>
      </c>
      <c r="BH400" t="str">
        <f t="shared" si="229"/>
        <v>-TEXT 34585.6269208179,295 3.5 0 α=31.05° </v>
      </c>
      <c r="BI400" t="str">
        <f t="shared" si="230"/>
        <v>-TEXT 34585.6269208179,290 3.5 0 T=22.22 </v>
      </c>
      <c r="BJ400" t="str">
        <f t="shared" si="231"/>
        <v>-TEXT 34585.6269208179,285 3.5 0 S=43.36 </v>
      </c>
    </row>
    <row r="401" spans="1:62">
      <c r="A401">
        <v>2</v>
      </c>
      <c r="B401">
        <v>400</v>
      </c>
      <c r="C401" t="str">
        <f>Sheet1!C374</f>
        <v>老院子渡槽进</v>
      </c>
      <c r="D401">
        <v>487986.0258</v>
      </c>
      <c r="E401">
        <v>3367194.3915</v>
      </c>
      <c r="G401">
        <f t="shared" si="205"/>
        <v>0</v>
      </c>
      <c r="H401">
        <f t="shared" si="206"/>
        <v>0</v>
      </c>
      <c r="I401">
        <f t="shared" si="207"/>
        <v>0</v>
      </c>
      <c r="J401">
        <f t="shared" si="208"/>
        <v>33.4570930144366</v>
      </c>
      <c r="K401" s="40">
        <f t="shared" si="209"/>
        <v>69202.1643107948</v>
      </c>
      <c r="L401" s="40">
        <f t="shared" si="210"/>
        <v>69202.1643107948</v>
      </c>
      <c r="M401" s="40">
        <f t="shared" si="211"/>
        <v>69202.1643107948</v>
      </c>
      <c r="N401">
        <v>450.194</v>
      </c>
      <c r="O401">
        <v>446.647</v>
      </c>
      <c r="P401">
        <v>0</v>
      </c>
      <c r="Q401" s="39">
        <f t="shared" si="212"/>
        <v>487986.0258</v>
      </c>
      <c r="R401" s="39">
        <f t="shared" si="213"/>
        <v>3367194.3915</v>
      </c>
      <c r="S401" s="39" t="str">
        <f t="shared" si="214"/>
        <v> </v>
      </c>
      <c r="T401" s="39" t="str">
        <f t="shared" si="215"/>
        <v> </v>
      </c>
      <c r="U401" s="39" t="str">
        <f t="shared" si="216"/>
        <v> </v>
      </c>
      <c r="V401" s="39" t="str">
        <f t="shared" si="217"/>
        <v> </v>
      </c>
      <c r="AI401" t="str">
        <f t="array" ref="AI401">IFERROR(INDEX($L$2:$L$789,SMALL(IF(ISNUMBER(FIND($AH$2,$C$2:$C$789)),ROW($2:$789)-1,4^8),ROW(A400)))&amp;"","")</f>
        <v/>
      </c>
      <c r="AT401" t="str">
        <f t="shared" si="218"/>
        <v>487986.0258,3367194.3915</v>
      </c>
      <c r="AV401">
        <f t="shared" si="204"/>
        <v>450.897</v>
      </c>
      <c r="AX401" t="str">
        <f t="shared" si="219"/>
        <v>pl 34601.0821553974,279 34601.0821553974,400 </v>
      </c>
      <c r="AY401" t="str">
        <f t="shared" si="220"/>
        <v>34601.0821553974,446.647</v>
      </c>
      <c r="AZ401" t="str">
        <f t="shared" si="221"/>
        <v>34601.0821553974,450.194</v>
      </c>
      <c r="BA401" t="str">
        <f t="shared" si="222"/>
        <v>34601.0821553974,450.897</v>
      </c>
      <c r="BB401" t="str">
        <f t="shared" si="223"/>
        <v>-text 34600.0821553974,337 3.5 90 446.647 </v>
      </c>
      <c r="BC401" t="str">
        <f t="shared" si="224"/>
        <v>-text 34600.0821553974,320 3.5 90 450.897 </v>
      </c>
      <c r="BD401" t="str">
        <f t="shared" si="225"/>
        <v>-text 34600.0821553974,306 3.5 90 450.194 </v>
      </c>
      <c r="BE401" t="str">
        <f t="shared" si="226"/>
        <v>-text 34600.0821553974,352 3.5 90 ZG69+202.164 </v>
      </c>
      <c r="BF401" t="str">
        <f t="shared" si="227"/>
        <v>-text 34600.0821553974,280 3.5 90 老院子渡槽进 </v>
      </c>
      <c r="BG401" t="str">
        <f t="shared" si="228"/>
        <v/>
      </c>
      <c r="BH401" t="str">
        <f t="shared" si="229"/>
        <v> </v>
      </c>
      <c r="BI401" t="str">
        <f t="shared" si="230"/>
        <v> </v>
      </c>
      <c r="BJ401" t="str">
        <f t="shared" si="231"/>
        <v> </v>
      </c>
    </row>
    <row r="402" spans="1:62">
      <c r="A402">
        <v>2</v>
      </c>
      <c r="B402">
        <v>401</v>
      </c>
      <c r="C402" t="str">
        <f>Sheet1!C375</f>
        <v>老院子渡槽出</v>
      </c>
      <c r="D402">
        <v>488029.488</v>
      </c>
      <c r="E402">
        <v>3367081.6873</v>
      </c>
      <c r="G402">
        <f t="shared" si="205"/>
        <v>0</v>
      </c>
      <c r="H402">
        <f t="shared" si="206"/>
        <v>0</v>
      </c>
      <c r="I402">
        <f t="shared" si="207"/>
        <v>0</v>
      </c>
      <c r="J402">
        <f t="shared" si="208"/>
        <v>120.794037628059</v>
      </c>
      <c r="K402" s="40">
        <f t="shared" si="209"/>
        <v>69322.9583484229</v>
      </c>
      <c r="L402" s="40">
        <f t="shared" si="210"/>
        <v>69322.9583484229</v>
      </c>
      <c r="M402" s="40">
        <f t="shared" si="211"/>
        <v>69322.9583484229</v>
      </c>
      <c r="N402">
        <v>450.16</v>
      </c>
      <c r="O402">
        <v>446.613</v>
      </c>
      <c r="P402">
        <v>0</v>
      </c>
      <c r="Q402" s="39">
        <f t="shared" si="212"/>
        <v>488029.488</v>
      </c>
      <c r="R402" s="39">
        <f t="shared" si="213"/>
        <v>3367081.6873</v>
      </c>
      <c r="S402" s="39" t="str">
        <f t="shared" si="214"/>
        <v> </v>
      </c>
      <c r="T402" s="39" t="str">
        <f t="shared" si="215"/>
        <v> </v>
      </c>
      <c r="U402" s="39" t="str">
        <f t="shared" si="216"/>
        <v> </v>
      </c>
      <c r="V402" s="39" t="str">
        <f t="shared" si="217"/>
        <v> </v>
      </c>
      <c r="AI402" t="str">
        <f t="array" ref="AI402">IFERROR(INDEX($L$2:$L$789,SMALL(IF(ISNUMBER(FIND($AH$2,$C$2:$C$789)),ROW($2:$789)-1,4^8),ROW(A401)))&amp;"","")</f>
        <v/>
      </c>
      <c r="AT402" t="str">
        <f t="shared" si="218"/>
        <v>488029.488,3367081.6873</v>
      </c>
      <c r="AV402">
        <f t="shared" si="204"/>
        <v>450.863</v>
      </c>
      <c r="AX402" t="str">
        <f t="shared" si="219"/>
        <v>pl 34661.4791742114,279 34661.4791742114,400 </v>
      </c>
      <c r="AY402" t="str">
        <f t="shared" si="220"/>
        <v>34661.4791742114,446.613</v>
      </c>
      <c r="AZ402" t="str">
        <f t="shared" si="221"/>
        <v>34661.4791742114,450.16</v>
      </c>
      <c r="BA402" t="str">
        <f t="shared" si="222"/>
        <v>34661.4791742114,450.863</v>
      </c>
      <c r="BB402" t="str">
        <f t="shared" si="223"/>
        <v>-text 34660.4791742114,337 3.5 90 446.613 </v>
      </c>
      <c r="BC402" t="str">
        <f t="shared" si="224"/>
        <v>-text 34660.4791742114,320 3.5 90 450.863 </v>
      </c>
      <c r="BD402" t="str">
        <f t="shared" si="225"/>
        <v>-text 34660.4791742114,306 3.5 90 450.160 </v>
      </c>
      <c r="BE402" t="str">
        <f t="shared" si="226"/>
        <v>-text 34660.4791742114,352 3.5 90 ZG69+322.958 </v>
      </c>
      <c r="BF402" t="str">
        <f t="shared" si="227"/>
        <v>-text 34660.4791742114,280 3.5 90 老院子渡槽出 </v>
      </c>
      <c r="BG402" t="str">
        <f t="shared" si="228"/>
        <v/>
      </c>
      <c r="BH402" t="str">
        <f t="shared" si="229"/>
        <v> </v>
      </c>
      <c r="BI402" t="str">
        <f t="shared" si="230"/>
        <v> </v>
      </c>
      <c r="BJ402" t="str">
        <f t="shared" si="231"/>
        <v> </v>
      </c>
    </row>
    <row r="403" spans="1:62">
      <c r="A403">
        <v>0</v>
      </c>
      <c r="B403">
        <v>402</v>
      </c>
      <c r="C403" t="s">
        <v>396</v>
      </c>
      <c r="D403">
        <v>488044.3202</v>
      </c>
      <c r="E403">
        <v>3367043.2251</v>
      </c>
      <c r="F403">
        <v>60</v>
      </c>
      <c r="G403">
        <f t="shared" si="205"/>
        <v>16.838</v>
      </c>
      <c r="H403">
        <f t="shared" si="206"/>
        <v>8.88036076670355</v>
      </c>
      <c r="I403">
        <f t="shared" si="207"/>
        <v>17.6327123670483</v>
      </c>
      <c r="J403">
        <f t="shared" si="208"/>
        <v>41.222990984114</v>
      </c>
      <c r="K403" s="40">
        <f t="shared" si="209"/>
        <v>69355.3009786403</v>
      </c>
      <c r="L403" s="40">
        <f t="shared" si="210"/>
        <v>69364.1173348238</v>
      </c>
      <c r="M403" s="40">
        <f t="shared" si="211"/>
        <v>69372.9336910073</v>
      </c>
      <c r="N403">
        <v>450.176</v>
      </c>
      <c r="O403">
        <v>446.261</v>
      </c>
      <c r="P403">
        <v>0.001</v>
      </c>
      <c r="Q403" s="39">
        <f t="shared" si="212"/>
        <v>488041.125010039</v>
      </c>
      <c r="R403" s="39">
        <f t="shared" si="213"/>
        <v>3367051.5107242</v>
      </c>
      <c r="S403" s="39">
        <f t="shared" si="214"/>
        <v>488043.682490647</v>
      </c>
      <c r="T403" s="39">
        <f t="shared" si="215"/>
        <v>3367043.08174805</v>
      </c>
      <c r="U403" s="39">
        <f t="shared" si="216"/>
        <v>488044.978296672</v>
      </c>
      <c r="V403" s="39">
        <f t="shared" si="217"/>
        <v>3367034.36915758</v>
      </c>
      <c r="AI403" t="str">
        <f t="array" ref="AI403">IFERROR(INDEX($L$2:$L$789,SMALL(IF(ISNUMBER(FIND($AH$2,$C$2:$C$789)),ROW($2:$789)-1,4^8),ROW(A402)))&amp;"","")</f>
        <v/>
      </c>
      <c r="AS403" t="str">
        <f>"-text"&amp;" "&amp;D403&amp;","&amp;E403&amp;" "&amp;"10"&amp;" "&amp;"0"&amp;" "&amp;C403</f>
        <v>-text 488044.3202,3367043.2251 10 0 IP211</v>
      </c>
      <c r="AT403" t="str">
        <f t="shared" si="218"/>
        <v>488044.3202,3367043.2251</v>
      </c>
      <c r="AV403">
        <f t="shared" si="204"/>
        <v>451.661</v>
      </c>
      <c r="AX403" t="str">
        <f t="shared" si="219"/>
        <v>pl 34682.0586674119,279 34682.0586674119,400 </v>
      </c>
      <c r="AY403" t="str">
        <f t="shared" si="220"/>
        <v>34682.0586674119,446.261</v>
      </c>
      <c r="AZ403" t="str">
        <f t="shared" si="221"/>
        <v>34682.0586674119,450.176</v>
      </c>
      <c r="BA403" t="str">
        <f t="shared" si="222"/>
        <v>34682.0586674119,451.661</v>
      </c>
      <c r="BB403" t="str">
        <f t="shared" si="223"/>
        <v>-text 34681.0586674119,337 3.5 90 446.261 </v>
      </c>
      <c r="BC403" t="str">
        <f t="shared" si="224"/>
        <v>-text 34681.0586674119,320 3.5 90 451.661 </v>
      </c>
      <c r="BD403" t="str">
        <f t="shared" si="225"/>
        <v>-text 34681.0586674119,306 3.5 90 450.176 </v>
      </c>
      <c r="BE403" t="str">
        <f t="shared" si="226"/>
        <v>-text 34681.0586674119,352 3.5 90 ZG69+364.117 </v>
      </c>
      <c r="BF403" t="str">
        <f t="shared" si="227"/>
        <v>-text 34681.0586674119,280 3.5 90 IP211 </v>
      </c>
      <c r="BG403" t="str">
        <f t="shared" si="228"/>
        <v>-TEXT 34683.0586674119,300 3.5 0 R=60</v>
      </c>
      <c r="BH403" t="str">
        <f t="shared" si="229"/>
        <v>-TEXT 34683.0586674119,295 3.5 0 α=16.84° </v>
      </c>
      <c r="BI403" t="str">
        <f t="shared" si="230"/>
        <v>-TEXT 34683.0586674119,290 3.5 0 T=8.88 </v>
      </c>
      <c r="BJ403" t="str">
        <f t="shared" si="231"/>
        <v>-TEXT 34683.0586674119,285 3.5 0 S=17.63 </v>
      </c>
    </row>
    <row r="404" spans="1:62">
      <c r="A404">
        <v>0</v>
      </c>
      <c r="B404">
        <v>403</v>
      </c>
      <c r="C404" t="s">
        <v>397</v>
      </c>
      <c r="D404">
        <v>488051.9122</v>
      </c>
      <c r="E404">
        <v>3366941.0603</v>
      </c>
      <c r="F404">
        <v>60</v>
      </c>
      <c r="G404">
        <f t="shared" si="205"/>
        <v>19.713</v>
      </c>
      <c r="H404">
        <f t="shared" si="206"/>
        <v>10.4247419029104</v>
      </c>
      <c r="I404">
        <f t="shared" si="207"/>
        <v>20.6434053267385</v>
      </c>
      <c r="J404">
        <f t="shared" si="208"/>
        <v>102.446497368246</v>
      </c>
      <c r="K404" s="40">
        <f t="shared" si="209"/>
        <v>69456.075085706</v>
      </c>
      <c r="L404" s="40">
        <f t="shared" si="210"/>
        <v>69466.3967883693</v>
      </c>
      <c r="M404" s="40">
        <f t="shared" si="211"/>
        <v>69476.7184910327</v>
      </c>
      <c r="N404">
        <v>450.156</v>
      </c>
      <c r="O404">
        <v>446.241</v>
      </c>
      <c r="P404">
        <v>0.001</v>
      </c>
      <c r="Q404" s="39">
        <f t="shared" si="212"/>
        <v>488051.139653914</v>
      </c>
      <c r="R404" s="39">
        <f t="shared" si="213"/>
        <v>3366951.45637697</v>
      </c>
      <c r="S404" s="39">
        <f t="shared" si="214"/>
        <v>488051.017604074</v>
      </c>
      <c r="T404" s="39">
        <f t="shared" si="215"/>
        <v>3366941.14812017</v>
      </c>
      <c r="U404" s="39">
        <f t="shared" si="216"/>
        <v>488049.132771617</v>
      </c>
      <c r="V404" s="39">
        <f t="shared" si="217"/>
        <v>3366931.0129112</v>
      </c>
      <c r="AI404" t="str">
        <f t="array" ref="AI404">IFERROR(INDEX($L$2:$L$789,SMALL(IF(ISNUMBER(FIND($AH$2,$C$2:$C$789)),ROW($2:$789)-1,4^8),ROW(A403)))&amp;"","")</f>
        <v/>
      </c>
      <c r="AS404" t="str">
        <f>"-text"&amp;" "&amp;D404&amp;","&amp;E404&amp;" "&amp;"10"&amp;" "&amp;"0"&amp;" "&amp;C404</f>
        <v>-text 488051.9122,3366941.0603 10 0 IP212</v>
      </c>
      <c r="AT404" t="str">
        <f t="shared" si="218"/>
        <v>488051.9122,3366941.0603</v>
      </c>
      <c r="AV404">
        <f t="shared" si="204"/>
        <v>451.641</v>
      </c>
      <c r="AX404" t="str">
        <f t="shared" si="219"/>
        <v>pl 34733.1983941847,279 34733.1983941847,400 </v>
      </c>
      <c r="AY404" t="str">
        <f t="shared" si="220"/>
        <v>34733.1983941847,446.241</v>
      </c>
      <c r="AZ404" t="str">
        <f t="shared" si="221"/>
        <v>34733.1983941847,450.156</v>
      </c>
      <c r="BA404" t="str">
        <f t="shared" si="222"/>
        <v>34733.1983941847,451.641</v>
      </c>
      <c r="BB404" t="str">
        <f t="shared" si="223"/>
        <v>-text 34732.1983941847,337 3.5 90 446.241 </v>
      </c>
      <c r="BC404" t="str">
        <f t="shared" si="224"/>
        <v>-text 34732.1983941847,320 3.5 90 451.641 </v>
      </c>
      <c r="BD404" t="str">
        <f t="shared" si="225"/>
        <v>-text 34732.1983941847,306 3.5 90 450.156 </v>
      </c>
      <c r="BE404" t="str">
        <f t="shared" si="226"/>
        <v>-text 34732.1983941847,352 3.5 90 ZG69+466.397 </v>
      </c>
      <c r="BF404" t="str">
        <f t="shared" si="227"/>
        <v>-text 34732.1983941847,280 3.5 90 IP212 </v>
      </c>
      <c r="BG404" t="str">
        <f t="shared" si="228"/>
        <v>-TEXT 34734.1983941847,300 3.5 0 R=60</v>
      </c>
      <c r="BH404" t="str">
        <f t="shared" si="229"/>
        <v>-TEXT 34734.1983941847,295 3.5 0 α=19.71° </v>
      </c>
      <c r="BI404" t="str">
        <f t="shared" si="230"/>
        <v>-TEXT 34734.1983941847,290 3.5 0 T=10.42 </v>
      </c>
      <c r="BJ404" t="str">
        <f t="shared" si="231"/>
        <v>-TEXT 34734.1983941847,285 3.5 0 S=20.64 </v>
      </c>
    </row>
    <row r="405" spans="1:62">
      <c r="A405">
        <v>0</v>
      </c>
      <c r="B405">
        <v>404</v>
      </c>
      <c r="C405" t="s">
        <v>398</v>
      </c>
      <c r="D405">
        <v>488041.4159</v>
      </c>
      <c r="E405">
        <v>3366903.1171</v>
      </c>
      <c r="F405">
        <v>60</v>
      </c>
      <c r="G405">
        <f t="shared" si="205"/>
        <v>43.429</v>
      </c>
      <c r="H405">
        <f t="shared" si="206"/>
        <v>23.8944907105793</v>
      </c>
      <c r="I405">
        <f t="shared" si="207"/>
        <v>45.478742450917</v>
      </c>
      <c r="J405">
        <f t="shared" si="208"/>
        <v>39.3682453245921</v>
      </c>
      <c r="K405" s="40">
        <f t="shared" si="209"/>
        <v>69481.7675037438</v>
      </c>
      <c r="L405" s="40">
        <f t="shared" si="210"/>
        <v>69504.5068749692</v>
      </c>
      <c r="M405" s="40">
        <f t="shared" si="211"/>
        <v>69527.2462461947</v>
      </c>
      <c r="N405">
        <v>450.147</v>
      </c>
      <c r="O405">
        <v>446.232</v>
      </c>
      <c r="P405">
        <v>0.002</v>
      </c>
      <c r="Q405" s="39">
        <f t="shared" si="212"/>
        <v>488047.786611744</v>
      </c>
      <c r="R405" s="39">
        <f t="shared" si="213"/>
        <v>3366926.14666183</v>
      </c>
      <c r="S405" s="39">
        <f t="shared" si="214"/>
        <v>488045.97149495</v>
      </c>
      <c r="T405" s="39">
        <f t="shared" si="215"/>
        <v>3366903.61611914</v>
      </c>
      <c r="U405" s="39">
        <f t="shared" si="216"/>
        <v>488052.621028626</v>
      </c>
      <c r="V405" s="39">
        <f t="shared" si="217"/>
        <v>3366882.01279289</v>
      </c>
      <c r="AI405" t="str">
        <f t="array" ref="AI405">IFERROR(INDEX($L$2:$L$789,SMALL(IF(ISNUMBER(FIND($AH$2,$C$2:$C$789)),ROW($2:$789)-1,4^8),ROW(A404)))&amp;"","")</f>
        <v/>
      </c>
      <c r="AS405" t="str">
        <f>"-text"&amp;" "&amp;D405&amp;","&amp;E405&amp;" "&amp;"10"&amp;" "&amp;"0"&amp;" "&amp;C405</f>
        <v>-text 488041.4159,3366903.1171 10 0 IP213</v>
      </c>
      <c r="AT405" t="str">
        <f t="shared" si="218"/>
        <v>488041.4159,3366903.1171</v>
      </c>
      <c r="AV405">
        <f t="shared" si="204"/>
        <v>451.632</v>
      </c>
      <c r="AX405" t="str">
        <f t="shared" si="219"/>
        <v>pl 34752.2534374846,279 34752.2534374846,400 </v>
      </c>
      <c r="AY405" t="str">
        <f t="shared" si="220"/>
        <v>34752.2534374846,446.232</v>
      </c>
      <c r="AZ405" t="str">
        <f t="shared" si="221"/>
        <v>34752.2534374846,450.147</v>
      </c>
      <c r="BA405" t="str">
        <f t="shared" si="222"/>
        <v>34752.2534374846,451.632</v>
      </c>
      <c r="BB405" t="str">
        <f t="shared" si="223"/>
        <v>-text 34751.2534374846,337 3.5 90 446.232 </v>
      </c>
      <c r="BC405" t="str">
        <f t="shared" si="224"/>
        <v>-text 34751.2534374846,320 3.5 90 451.632 </v>
      </c>
      <c r="BD405" t="str">
        <f t="shared" si="225"/>
        <v>-text 34751.2534374846,306 3.5 90 450.147 </v>
      </c>
      <c r="BE405" t="str">
        <f t="shared" si="226"/>
        <v>-text 34751.2534374846,352 3.5 90 ZG69+504.507 </v>
      </c>
      <c r="BF405" t="str">
        <f t="shared" si="227"/>
        <v>-text 34751.2534374846,280 3.5 90 IP213 </v>
      </c>
      <c r="BG405" t="str">
        <f t="shared" si="228"/>
        <v>-TEXT 34753.2534374846,300 3.5 0 R=60</v>
      </c>
      <c r="BH405" t="str">
        <f t="shared" si="229"/>
        <v>-TEXT 34753.2534374846,295 3.5 0 α=43.43° </v>
      </c>
      <c r="BI405" t="str">
        <f t="shared" si="230"/>
        <v>-TEXT 34753.2534374846,290 3.5 0 T=23.89 </v>
      </c>
      <c r="BJ405" t="str">
        <f t="shared" si="231"/>
        <v>-TEXT 34753.2534374846,285 3.5 0 S=45.48 </v>
      </c>
    </row>
    <row r="406" spans="1:62">
      <c r="A406">
        <v>0</v>
      </c>
      <c r="B406">
        <v>405</v>
      </c>
      <c r="C406" t="s">
        <v>399</v>
      </c>
      <c r="D406">
        <v>488067.507</v>
      </c>
      <c r="E406">
        <v>3366853.9758</v>
      </c>
      <c r="F406">
        <v>60</v>
      </c>
      <c r="G406">
        <f t="shared" si="205"/>
        <v>23.074</v>
      </c>
      <c r="H406">
        <f t="shared" si="206"/>
        <v>12.2474934021884</v>
      </c>
      <c r="I406">
        <f t="shared" si="207"/>
        <v>24.1630362963103</v>
      </c>
      <c r="J406">
        <f t="shared" si="208"/>
        <v>55.6382320430549</v>
      </c>
      <c r="K406" s="40">
        <f t="shared" si="209"/>
        <v>69546.742494125</v>
      </c>
      <c r="L406" s="40">
        <f t="shared" si="210"/>
        <v>69558.8240122732</v>
      </c>
      <c r="M406" s="40">
        <f t="shared" si="211"/>
        <v>69570.9055304213</v>
      </c>
      <c r="N406">
        <v>450.136</v>
      </c>
      <c r="O406">
        <v>446.221</v>
      </c>
      <c r="P406">
        <v>0.001</v>
      </c>
      <c r="Q406" s="39">
        <f t="shared" si="212"/>
        <v>488061.763636788</v>
      </c>
      <c r="R406" s="39">
        <f t="shared" si="213"/>
        <v>3366864.79314134</v>
      </c>
      <c r="S406" s="39">
        <f t="shared" si="214"/>
        <v>488066.320234955</v>
      </c>
      <c r="T406" s="39">
        <f t="shared" si="215"/>
        <v>3366853.6258769</v>
      </c>
      <c r="U406" s="39">
        <f t="shared" si="216"/>
        <v>488068.551258419</v>
      </c>
      <c r="V406" s="39">
        <f t="shared" si="217"/>
        <v>3366841.77290612</v>
      </c>
      <c r="AI406" t="str">
        <f t="array" ref="AI406">IFERROR(INDEX($L$2:$L$789,SMALL(IF(ISNUMBER(FIND($AH$2,$C$2:$C$789)),ROW($2:$789)-1,4^8),ROW(A405)))&amp;"","")</f>
        <v/>
      </c>
      <c r="AS406" t="str">
        <f>"-text"&amp;" "&amp;D406&amp;","&amp;E406&amp;" "&amp;"10"&amp;" "&amp;"0"&amp;" "&amp;C406</f>
        <v>-text 488067.507,3366853.9758 10 0 IP214</v>
      </c>
      <c r="AT406" t="str">
        <f t="shared" si="218"/>
        <v>488067.507,3366853.9758</v>
      </c>
      <c r="AV406">
        <f t="shared" si="204"/>
        <v>451.621</v>
      </c>
      <c r="AX406" t="str">
        <f t="shared" si="219"/>
        <v>pl 34779.4120061366,279 34779.4120061366,400 </v>
      </c>
      <c r="AY406" t="str">
        <f t="shared" si="220"/>
        <v>34779.4120061366,446.221</v>
      </c>
      <c r="AZ406" t="str">
        <f t="shared" si="221"/>
        <v>34779.4120061366,450.136</v>
      </c>
      <c r="BA406" t="str">
        <f t="shared" si="222"/>
        <v>34779.4120061366,451.621</v>
      </c>
      <c r="BB406" t="str">
        <f t="shared" si="223"/>
        <v>-text 34778.4120061366,337 3.5 90 446.221 </v>
      </c>
      <c r="BC406" t="str">
        <f t="shared" si="224"/>
        <v>-text 34778.4120061366,320 3.5 90 451.621 </v>
      </c>
      <c r="BD406" t="str">
        <f t="shared" si="225"/>
        <v>-text 34778.4120061366,306 3.5 90 450.136 </v>
      </c>
      <c r="BE406" t="str">
        <f t="shared" si="226"/>
        <v>-text 34778.4120061366,352 3.5 90 ZG69+558.824 </v>
      </c>
      <c r="BF406" t="str">
        <f t="shared" si="227"/>
        <v>-text 34778.4120061366,280 3.5 90 IP214 </v>
      </c>
      <c r="BG406" t="str">
        <f t="shared" si="228"/>
        <v>-TEXT 34780.4120061366,300 3.5 0 R=60</v>
      </c>
      <c r="BH406" t="str">
        <f t="shared" si="229"/>
        <v>-TEXT 34780.4120061366,295 3.5 0 α=23.07° </v>
      </c>
      <c r="BI406" t="str">
        <f t="shared" si="230"/>
        <v>-TEXT 34780.4120061366,290 3.5 0 T=12.25 </v>
      </c>
      <c r="BJ406" t="str">
        <f t="shared" si="231"/>
        <v>-TEXT 34780.4120061366,285 3.5 0 S=24.16 </v>
      </c>
    </row>
    <row r="407" spans="1:62">
      <c r="A407">
        <v>1</v>
      </c>
      <c r="B407">
        <v>406</v>
      </c>
      <c r="C407" t="str">
        <f>Sheet1!C380</f>
        <v>倒中庙隧进</v>
      </c>
      <c r="D407">
        <v>488079.5523</v>
      </c>
      <c r="E407">
        <v>3366713.218</v>
      </c>
      <c r="G407">
        <f t="shared" si="205"/>
        <v>0</v>
      </c>
      <c r="H407">
        <f t="shared" si="206"/>
        <v>0</v>
      </c>
      <c r="I407">
        <f t="shared" si="207"/>
        <v>0</v>
      </c>
      <c r="J407">
        <f t="shared" si="208"/>
        <v>141.272246081817</v>
      </c>
      <c r="K407" s="40">
        <f t="shared" si="209"/>
        <v>69699.9302831009</v>
      </c>
      <c r="L407" s="40">
        <f t="shared" si="210"/>
        <v>69699.9302831009</v>
      </c>
      <c r="M407" s="40">
        <f t="shared" si="211"/>
        <v>69699.9302831009</v>
      </c>
      <c r="N407">
        <v>450.106</v>
      </c>
      <c r="O407">
        <v>446.217</v>
      </c>
      <c r="P407">
        <v>0</v>
      </c>
      <c r="Q407" s="39">
        <f t="shared" si="212"/>
        <v>488079.5523</v>
      </c>
      <c r="R407" s="39">
        <f t="shared" si="213"/>
        <v>3366713.218</v>
      </c>
      <c r="S407" s="39" t="str">
        <f t="shared" si="214"/>
        <v> </v>
      </c>
      <c r="T407" s="39" t="str">
        <f t="shared" si="215"/>
        <v> </v>
      </c>
      <c r="U407" s="39" t="str">
        <f t="shared" si="216"/>
        <v> </v>
      </c>
      <c r="V407" s="39" t="str">
        <f t="shared" si="217"/>
        <v> </v>
      </c>
      <c r="AI407" t="str">
        <f t="array" ref="AI407">IFERROR(INDEX($L$2:$L$789,SMALL(IF(ISNUMBER(FIND($AH$2,$C$2:$C$789)),ROW($2:$789)-1,4^8),ROW(A406)))&amp;"","")</f>
        <v/>
      </c>
      <c r="AT407" t="str">
        <f t="shared" si="218"/>
        <v>488079.5523,3366713.218</v>
      </c>
      <c r="AV407">
        <f t="shared" si="204"/>
        <v>451.317</v>
      </c>
      <c r="AX407" t="str">
        <f t="shared" si="219"/>
        <v>pl 34849.9651415505,279 34849.9651415505,400 </v>
      </c>
      <c r="AY407" t="str">
        <f t="shared" si="220"/>
        <v>34849.9651415505,446.217</v>
      </c>
      <c r="AZ407" t="str">
        <f t="shared" si="221"/>
        <v>34849.9651415505,450.106</v>
      </c>
      <c r="BA407" t="str">
        <f t="shared" si="222"/>
        <v>34849.9651415505,451.317</v>
      </c>
      <c r="BB407" t="str">
        <f t="shared" si="223"/>
        <v>-text 34848.9651415505,337 3.5 90 446.217 </v>
      </c>
      <c r="BC407" t="str">
        <f t="shared" si="224"/>
        <v>-text 34848.9651415505,320 3.5 90 451.317 </v>
      </c>
      <c r="BD407" t="str">
        <f t="shared" si="225"/>
        <v>-text 34848.9651415505,306 3.5 90 450.106 </v>
      </c>
      <c r="BE407" t="str">
        <f t="shared" si="226"/>
        <v>-text 34848.9651415505,352 3.5 90 ZG69+699.930 </v>
      </c>
      <c r="BF407" t="str">
        <f t="shared" si="227"/>
        <v>-text 34848.9651415505,280 3.5 90 倒中庙隧进 </v>
      </c>
      <c r="BG407" t="str">
        <f t="shared" si="228"/>
        <v/>
      </c>
      <c r="BH407" t="str">
        <f t="shared" si="229"/>
        <v> </v>
      </c>
      <c r="BI407" t="str">
        <f t="shared" si="230"/>
        <v> </v>
      </c>
      <c r="BJ407" t="str">
        <f t="shared" si="231"/>
        <v> </v>
      </c>
    </row>
    <row r="408" spans="1:62">
      <c r="A408">
        <v>1</v>
      </c>
      <c r="B408">
        <v>407</v>
      </c>
      <c r="C408" t="s">
        <v>401</v>
      </c>
      <c r="D408" s="54">
        <v>488106.189</v>
      </c>
      <c r="E408" s="54">
        <v>3366401.9499</v>
      </c>
      <c r="F408" s="54">
        <v>80</v>
      </c>
      <c r="G408" s="54">
        <f t="shared" si="205"/>
        <v>12.005</v>
      </c>
      <c r="H408" s="54">
        <f t="shared" si="206"/>
        <v>8.41186805690193</v>
      </c>
      <c r="I408" s="54">
        <f t="shared" si="207"/>
        <v>16.7621421361535</v>
      </c>
      <c r="J408" s="54">
        <f t="shared" si="208"/>
        <v>312.405735966056</v>
      </c>
      <c r="K408" s="55">
        <f t="shared" si="209"/>
        <v>70003.9241510101</v>
      </c>
      <c r="L408" s="55">
        <f t="shared" si="210"/>
        <v>70012.3052220782</v>
      </c>
      <c r="M408" s="55">
        <f t="shared" si="211"/>
        <v>70020.6862931462</v>
      </c>
      <c r="N408" s="54">
        <v>450.049</v>
      </c>
      <c r="O408" s="54">
        <v>446.16</v>
      </c>
      <c r="P408" s="54">
        <v>0.001</v>
      </c>
      <c r="Q408" s="39">
        <f t="shared" si="212"/>
        <v>488105.471777555</v>
      </c>
      <c r="R408" s="39">
        <f t="shared" si="213"/>
        <v>3366410.33113596</v>
      </c>
      <c r="S408" s="39">
        <f t="shared" si="214"/>
        <v>488105.748033554</v>
      </c>
      <c r="T408" s="39">
        <f t="shared" si="215"/>
        <v>3366401.95845622</v>
      </c>
      <c r="U408" s="39">
        <f t="shared" si="216"/>
        <v>488105.147192004</v>
      </c>
      <c r="V408" s="39">
        <f t="shared" si="217"/>
        <v>3366393.60279509</v>
      </c>
      <c r="AI408" t="str">
        <f t="array" ref="AI408">IFERROR(INDEX($L$2:$L$789,SMALL(IF(ISNUMBER(FIND($AH$2,$C$2:$C$789)),ROW($2:$789)-1,4^8),ROW(A407)))&amp;"","")</f>
        <v/>
      </c>
      <c r="AS408" t="str">
        <f>"-text"&amp;" "&amp;D408&amp;","&amp;E408&amp;" "&amp;"10"&amp;" "&amp;"0"&amp;" "&amp;C408</f>
        <v>-text 488106.189,3366401.9499 10 0 IP215</v>
      </c>
      <c r="AT408" t="str">
        <f t="shared" si="218"/>
        <v>488106.189,3366401.9499</v>
      </c>
      <c r="AV408">
        <f t="shared" si="204"/>
        <v>451.26</v>
      </c>
      <c r="AX408" t="str">
        <f t="shared" si="219"/>
        <v>pl 35006.1526110391,279 35006.1526110391,400 </v>
      </c>
      <c r="AY408" t="str">
        <f t="shared" si="220"/>
        <v>35006.1526110391,446.16</v>
      </c>
      <c r="AZ408" t="str">
        <f t="shared" si="221"/>
        <v>35006.1526110391,450.049</v>
      </c>
      <c r="BA408" t="str">
        <f t="shared" si="222"/>
        <v>35006.1526110391,451.26</v>
      </c>
      <c r="BB408" t="str">
        <f t="shared" si="223"/>
        <v>-text 35005.1526110391,337 3.5 90 446.160 </v>
      </c>
      <c r="BC408" t="str">
        <f t="shared" si="224"/>
        <v>-text 35005.1526110391,320 3.5 90 451.260 </v>
      </c>
      <c r="BD408" t="str">
        <f t="shared" si="225"/>
        <v>-text 35005.1526110391,306 3.5 90 450.049 </v>
      </c>
      <c r="BE408" t="str">
        <f t="shared" si="226"/>
        <v>-text 35005.1526110391,352 3.5 90 ZG70+012.305 </v>
      </c>
      <c r="BF408" t="str">
        <f t="shared" si="227"/>
        <v>-text 35005.1526110391,280 3.5 90 IP215 </v>
      </c>
      <c r="BG408" t="str">
        <f t="shared" si="228"/>
        <v>-TEXT 35007.1526110391,300 3.5 0 R=80</v>
      </c>
      <c r="BH408" t="str">
        <f t="shared" si="229"/>
        <v>-TEXT 35007.1526110391,295 3.5 0 α=12.01° </v>
      </c>
      <c r="BI408" t="str">
        <f t="shared" si="230"/>
        <v>-TEXT 35007.1526110391,290 3.5 0 T=8.41 </v>
      </c>
      <c r="BJ408" t="str">
        <f t="shared" si="231"/>
        <v>-TEXT 35007.1526110391,285 3.5 0 S=16.76 </v>
      </c>
    </row>
    <row r="409" spans="1:62">
      <c r="A409">
        <v>1</v>
      </c>
      <c r="B409">
        <v>408</v>
      </c>
      <c r="C409" t="str">
        <f>Sheet1!C382</f>
        <v>倒中庙隧出</v>
      </c>
      <c r="D409" s="54">
        <v>488101.8045</v>
      </c>
      <c r="E409" s="54">
        <v>3366366.8207</v>
      </c>
      <c r="F409" s="54"/>
      <c r="G409" s="54">
        <f t="shared" si="205"/>
        <v>0</v>
      </c>
      <c r="H409" s="54">
        <f t="shared" si="206"/>
        <v>0</v>
      </c>
      <c r="I409" s="54">
        <f t="shared" si="207"/>
        <v>0</v>
      </c>
      <c r="J409" s="54">
        <f t="shared" si="208"/>
        <v>35.4017588952774</v>
      </c>
      <c r="K409" s="55">
        <f t="shared" si="209"/>
        <v>70047.6761839846</v>
      </c>
      <c r="L409" s="55">
        <f t="shared" si="210"/>
        <v>70047.6761839846</v>
      </c>
      <c r="M409" s="55">
        <f t="shared" si="211"/>
        <v>70047.6761839846</v>
      </c>
      <c r="N409" s="54">
        <v>450.042</v>
      </c>
      <c r="O409" s="54">
        <v>446.153</v>
      </c>
      <c r="P409" s="54">
        <v>0</v>
      </c>
      <c r="Q409" s="39">
        <f t="shared" si="212"/>
        <v>488101.8045</v>
      </c>
      <c r="R409" s="39">
        <f t="shared" si="213"/>
        <v>3366366.8207</v>
      </c>
      <c r="S409" s="39" t="str">
        <f t="shared" si="214"/>
        <v> </v>
      </c>
      <c r="T409" s="39" t="str">
        <f t="shared" si="215"/>
        <v> </v>
      </c>
      <c r="U409" s="39" t="str">
        <f t="shared" si="216"/>
        <v> </v>
      </c>
      <c r="V409" s="39" t="str">
        <f t="shared" si="217"/>
        <v> </v>
      </c>
      <c r="AI409" t="str">
        <f t="array" ref="AI409">IFERROR(INDEX($L$2:$L$789,SMALL(IF(ISNUMBER(FIND($AH$2,$C$2:$C$789)),ROW($2:$789)-1,4^8),ROW(A408)))&amp;"","")</f>
        <v/>
      </c>
      <c r="AT409" t="str">
        <f t="shared" si="218"/>
        <v>488101.8045,3366366.8207</v>
      </c>
      <c r="AV409">
        <f t="shared" si="204"/>
        <v>451.253</v>
      </c>
      <c r="AX409" t="str">
        <f t="shared" si="219"/>
        <v>pl 35023.8380919923,279 35023.8380919923,400 </v>
      </c>
      <c r="AY409" t="str">
        <f t="shared" si="220"/>
        <v>35023.8380919923,446.153</v>
      </c>
      <c r="AZ409" t="str">
        <f t="shared" si="221"/>
        <v>35023.8380919923,450.042</v>
      </c>
      <c r="BA409" t="str">
        <f t="shared" si="222"/>
        <v>35023.8380919923,451.253</v>
      </c>
      <c r="BB409" t="str">
        <f t="shared" si="223"/>
        <v>-text 35022.8380919923,337 3.5 90 446.153 </v>
      </c>
      <c r="BC409" t="str">
        <f t="shared" si="224"/>
        <v>-text 35022.8380919923,320 3.5 90 451.253 </v>
      </c>
      <c r="BD409" t="str">
        <f t="shared" si="225"/>
        <v>-text 35022.8380919923,306 3.5 90 450.042 </v>
      </c>
      <c r="BE409" t="str">
        <f t="shared" si="226"/>
        <v>-text 35022.8380919923,352 3.5 90 ZG70+047.676 </v>
      </c>
      <c r="BF409" t="str">
        <f t="shared" si="227"/>
        <v>-text 35022.8380919923,280 3.5 90 倒中庙隧出 </v>
      </c>
      <c r="BG409" t="str">
        <f t="shared" si="228"/>
        <v/>
      </c>
      <c r="BH409" t="str">
        <f t="shared" si="229"/>
        <v> </v>
      </c>
      <c r="BI409" t="str">
        <f t="shared" si="230"/>
        <v> </v>
      </c>
      <c r="BJ409" t="str">
        <f t="shared" si="231"/>
        <v> </v>
      </c>
    </row>
    <row r="410" spans="1:62">
      <c r="A410">
        <v>1</v>
      </c>
      <c r="B410">
        <v>409</v>
      </c>
      <c r="C410" t="str">
        <f>Sheet1!C383</f>
        <v>马家院子隧进</v>
      </c>
      <c r="D410" s="54">
        <v>488097.2338</v>
      </c>
      <c r="E410" s="54">
        <v>3366330.1991</v>
      </c>
      <c r="F410" s="54"/>
      <c r="G410" s="54">
        <f t="shared" si="205"/>
        <v>0</v>
      </c>
      <c r="H410" s="54">
        <f t="shared" si="206"/>
        <v>0</v>
      </c>
      <c r="I410" s="54">
        <f t="shared" si="207"/>
        <v>0</v>
      </c>
      <c r="J410" s="54">
        <f t="shared" si="208"/>
        <v>36.9057297050759</v>
      </c>
      <c r="K410" s="55">
        <f t="shared" si="209"/>
        <v>70084.5819136897</v>
      </c>
      <c r="L410" s="55">
        <f t="shared" si="210"/>
        <v>70084.5819136897</v>
      </c>
      <c r="M410" s="55">
        <f t="shared" si="211"/>
        <v>70084.5819136897</v>
      </c>
      <c r="N410" s="54">
        <v>450.035</v>
      </c>
      <c r="O410" s="54">
        <v>446.146</v>
      </c>
      <c r="P410" s="54">
        <v>0</v>
      </c>
      <c r="Q410" s="39">
        <f t="shared" si="212"/>
        <v>488097.2338</v>
      </c>
      <c r="R410" s="39">
        <f t="shared" si="213"/>
        <v>3366330.1991</v>
      </c>
      <c r="S410" s="39" t="str">
        <f t="shared" si="214"/>
        <v> </v>
      </c>
      <c r="T410" s="39" t="str">
        <f t="shared" si="215"/>
        <v> </v>
      </c>
      <c r="U410" s="39" t="str">
        <f t="shared" si="216"/>
        <v> </v>
      </c>
      <c r="V410" s="39" t="str">
        <f t="shared" si="217"/>
        <v> </v>
      </c>
      <c r="AI410" t="str">
        <f t="array" ref="AI410">IFERROR(INDEX($L$2:$L$789,SMALL(IF(ISNUMBER(FIND($AH$2,$C$2:$C$789)),ROW($2:$789)-1,4^8),ROW(A409)))&amp;"","")</f>
        <v/>
      </c>
      <c r="AT410" t="str">
        <f t="shared" si="218"/>
        <v>488097.2338,3366330.1991</v>
      </c>
      <c r="AV410">
        <f t="shared" si="204"/>
        <v>451.246</v>
      </c>
      <c r="AX410" t="str">
        <f t="shared" si="219"/>
        <v>pl 35042.2909568448,279 35042.2909568448,400 </v>
      </c>
      <c r="AY410" t="str">
        <f t="shared" si="220"/>
        <v>35042.2909568448,446.146</v>
      </c>
      <c r="AZ410" t="str">
        <f t="shared" si="221"/>
        <v>35042.2909568448,450.035</v>
      </c>
      <c r="BA410" t="str">
        <f t="shared" si="222"/>
        <v>35042.2909568448,451.246</v>
      </c>
      <c r="BB410" t="str">
        <f t="shared" si="223"/>
        <v>-text 35041.2909568448,337 3.5 90 446.146 </v>
      </c>
      <c r="BC410" t="str">
        <f t="shared" si="224"/>
        <v>-text 35041.2909568448,320 3.5 90 451.246 </v>
      </c>
      <c r="BD410" t="str">
        <f t="shared" si="225"/>
        <v>-text 35041.2909568448,306 3.5 90 450.035 </v>
      </c>
      <c r="BE410" t="str">
        <f t="shared" si="226"/>
        <v>-text 35041.2909568448,352 3.5 90 ZG70+084.582 </v>
      </c>
      <c r="BF410" t="str">
        <f t="shared" si="227"/>
        <v>-text 35041.2909568448,280 3.5 90 马家院子隧进 </v>
      </c>
      <c r="BG410" t="str">
        <f t="shared" si="228"/>
        <v/>
      </c>
      <c r="BH410" t="str">
        <f t="shared" si="229"/>
        <v> </v>
      </c>
      <c r="BI410" t="str">
        <f t="shared" si="230"/>
        <v> </v>
      </c>
      <c r="BJ410" t="str">
        <f t="shared" si="231"/>
        <v> </v>
      </c>
    </row>
    <row r="411" spans="1:62">
      <c r="A411">
        <v>1</v>
      </c>
      <c r="B411">
        <v>410</v>
      </c>
      <c r="C411" t="s">
        <v>404</v>
      </c>
      <c r="D411" s="54">
        <v>488082.3606</v>
      </c>
      <c r="E411" s="54">
        <v>3366211.0322</v>
      </c>
      <c r="F411" s="54">
        <v>80</v>
      </c>
      <c r="G411" s="54">
        <f t="shared" si="205"/>
        <v>18.869</v>
      </c>
      <c r="H411" s="54">
        <f t="shared" si="206"/>
        <v>13.2934103434389</v>
      </c>
      <c r="I411" s="54">
        <f t="shared" si="207"/>
        <v>26.3460941247048</v>
      </c>
      <c r="J411" s="54">
        <f t="shared" si="208"/>
        <v>120.091474026534</v>
      </c>
      <c r="K411" s="55">
        <f t="shared" si="209"/>
        <v>70191.3799773728</v>
      </c>
      <c r="L411" s="55">
        <f t="shared" si="210"/>
        <v>70204.5530244351</v>
      </c>
      <c r="M411" s="55">
        <f t="shared" si="211"/>
        <v>70217.7260714975</v>
      </c>
      <c r="N411" s="54">
        <v>450.013</v>
      </c>
      <c r="O411" s="54">
        <v>446.124</v>
      </c>
      <c r="P411" s="54">
        <v>0.001</v>
      </c>
      <c r="Q411" s="39">
        <f t="shared" si="212"/>
        <v>488084.006974585</v>
      </c>
      <c r="R411" s="39">
        <f t="shared" si="213"/>
        <v>3366224.22326551</v>
      </c>
      <c r="S411" s="39">
        <f t="shared" si="214"/>
        <v>488083.456666025</v>
      </c>
      <c r="T411" s="39">
        <f t="shared" si="215"/>
        <v>3366211.07661298</v>
      </c>
      <c r="U411" s="39">
        <f t="shared" si="216"/>
        <v>488085.068837941</v>
      </c>
      <c r="V411" s="39">
        <f t="shared" si="217"/>
        <v>3366198.01758491</v>
      </c>
      <c r="AI411" t="str">
        <f t="array" ref="AI411">IFERROR(INDEX($L$2:$L$789,SMALL(IF(ISNUMBER(FIND($AH$2,$C$2:$C$789)),ROW($2:$789)-1,4^8),ROW(A410)))&amp;"","")</f>
        <v/>
      </c>
      <c r="AS411" t="str">
        <f>"-text"&amp;" "&amp;D411&amp;","&amp;E411&amp;" "&amp;"10"&amp;" "&amp;"0"&amp;" "&amp;C411</f>
        <v>-text 488082.3606,3366211.0322 10 0 IP216</v>
      </c>
      <c r="AT411" t="str">
        <f t="shared" si="218"/>
        <v>488082.3606,3366211.0322</v>
      </c>
      <c r="AV411">
        <f t="shared" si="204"/>
        <v>451.224</v>
      </c>
      <c r="AX411" t="str">
        <f t="shared" si="219"/>
        <v>pl 35102.2765122176,279 35102.2765122176,400 </v>
      </c>
      <c r="AY411" t="str">
        <f t="shared" si="220"/>
        <v>35102.2765122176,446.124</v>
      </c>
      <c r="AZ411" t="str">
        <f t="shared" si="221"/>
        <v>35102.2765122176,450.013</v>
      </c>
      <c r="BA411" t="str">
        <f t="shared" si="222"/>
        <v>35102.2765122176,451.224</v>
      </c>
      <c r="BB411" t="str">
        <f t="shared" si="223"/>
        <v>-text 35101.2765122176,337 3.5 90 446.124 </v>
      </c>
      <c r="BC411" t="str">
        <f t="shared" si="224"/>
        <v>-text 35101.2765122176,320 3.5 90 451.224 </v>
      </c>
      <c r="BD411" t="str">
        <f t="shared" si="225"/>
        <v>-text 35101.2765122176,306 3.5 90 450.013 </v>
      </c>
      <c r="BE411" t="str">
        <f t="shared" si="226"/>
        <v>-text 35101.2765122176,352 3.5 90 ZG70+204.553 </v>
      </c>
      <c r="BF411" t="str">
        <f t="shared" si="227"/>
        <v>-text 35101.2765122176,280 3.5 90 IP216 </v>
      </c>
      <c r="BG411" t="str">
        <f t="shared" si="228"/>
        <v>-TEXT 35103.2765122176,300 3.5 0 R=80</v>
      </c>
      <c r="BH411" t="str">
        <f t="shared" si="229"/>
        <v>-TEXT 35103.2765122176,295 3.5 0 α=18.87° </v>
      </c>
      <c r="BI411" t="str">
        <f t="shared" si="230"/>
        <v>-TEXT 35103.2765122176,290 3.5 0 T=13.29 </v>
      </c>
      <c r="BJ411" t="str">
        <f t="shared" si="231"/>
        <v>-TEXT 35103.2765122176,285 3.5 0 S=26.35 </v>
      </c>
    </row>
    <row r="412" spans="1:62">
      <c r="A412">
        <v>1</v>
      </c>
      <c r="B412">
        <v>411</v>
      </c>
      <c r="C412" t="str">
        <f>Sheet1!C385</f>
        <v>马家院子隧出</v>
      </c>
      <c r="D412" s="54">
        <v>488103.9324</v>
      </c>
      <c r="E412" s="54">
        <v>3366107.3675</v>
      </c>
      <c r="F412" s="54"/>
      <c r="G412" s="54">
        <f t="shared" si="205"/>
        <v>0</v>
      </c>
      <c r="H412" s="54">
        <f t="shared" si="206"/>
        <v>0</v>
      </c>
      <c r="I412" s="54">
        <f t="shared" si="207"/>
        <v>0</v>
      </c>
      <c r="J412" s="54">
        <f t="shared" si="208"/>
        <v>105.885374727812</v>
      </c>
      <c r="K412" s="55">
        <f t="shared" si="209"/>
        <v>70310.3180358818</v>
      </c>
      <c r="L412" s="55">
        <f t="shared" si="210"/>
        <v>70310.3180358818</v>
      </c>
      <c r="M412" s="55">
        <f t="shared" si="211"/>
        <v>70310.3180358818</v>
      </c>
      <c r="N412" s="54">
        <v>449.993</v>
      </c>
      <c r="O412" s="54">
        <v>446.104</v>
      </c>
      <c r="P412" s="54">
        <v>0</v>
      </c>
      <c r="Q412" s="39">
        <f t="shared" si="212"/>
        <v>488103.9324</v>
      </c>
      <c r="R412" s="39">
        <f t="shared" si="213"/>
        <v>3366107.3675</v>
      </c>
      <c r="S412" s="39" t="str">
        <f t="shared" si="214"/>
        <v> </v>
      </c>
      <c r="T412" s="39" t="str">
        <f t="shared" si="215"/>
        <v> </v>
      </c>
      <c r="U412" s="39" t="str">
        <f t="shared" si="216"/>
        <v> </v>
      </c>
      <c r="V412" s="39" t="str">
        <f t="shared" si="217"/>
        <v> </v>
      </c>
      <c r="AI412" t="str">
        <f t="array" ref="AI412">IFERROR(INDEX($L$2:$L$789,SMALL(IF(ISNUMBER(FIND($AH$2,$C$2:$C$789)),ROW($2:$789)-1,4^8),ROW(A411)))&amp;"","")</f>
        <v/>
      </c>
      <c r="AT412" t="str">
        <f t="shared" si="218"/>
        <v>488103.9324,3366107.3675</v>
      </c>
      <c r="AV412">
        <f t="shared" si="204"/>
        <v>451.204</v>
      </c>
      <c r="AX412" t="str">
        <f t="shared" si="219"/>
        <v>pl 35155.1590179409,279 35155.1590179409,400 </v>
      </c>
      <c r="AY412" t="str">
        <f t="shared" si="220"/>
        <v>35155.1590179409,446.104</v>
      </c>
      <c r="AZ412" t="str">
        <f t="shared" si="221"/>
        <v>35155.1590179409,449.993</v>
      </c>
      <c r="BA412" t="str">
        <f t="shared" si="222"/>
        <v>35155.1590179409,451.204</v>
      </c>
      <c r="BB412" t="str">
        <f t="shared" si="223"/>
        <v>-text 35154.1590179409,337 3.5 90 446.104 </v>
      </c>
      <c r="BC412" t="str">
        <f t="shared" si="224"/>
        <v>-text 35154.1590179409,320 3.5 90 451.204 </v>
      </c>
      <c r="BD412" t="str">
        <f t="shared" si="225"/>
        <v>-text 35154.1590179409,306 3.5 90 449.993 </v>
      </c>
      <c r="BE412" t="str">
        <f t="shared" si="226"/>
        <v>-text 35154.1590179409,352 3.5 90 ZG70+310.318 </v>
      </c>
      <c r="BF412" t="str">
        <f t="shared" si="227"/>
        <v>-text 35154.1590179409,280 3.5 90 马家院子隧出 </v>
      </c>
      <c r="BG412" t="str">
        <f t="shared" si="228"/>
        <v/>
      </c>
      <c r="BH412" t="str">
        <f t="shared" si="229"/>
        <v> </v>
      </c>
      <c r="BI412" t="str">
        <f t="shared" si="230"/>
        <v> </v>
      </c>
      <c r="BJ412" t="str">
        <f t="shared" si="231"/>
        <v> </v>
      </c>
    </row>
    <row r="413" spans="1:62">
      <c r="A413">
        <v>2</v>
      </c>
      <c r="B413">
        <v>412</v>
      </c>
      <c r="C413" t="str">
        <f>Sheet1!C386</f>
        <v>黄龙湾渡槽进</v>
      </c>
      <c r="D413" s="54">
        <v>488110.1258</v>
      </c>
      <c r="E413" s="54">
        <v>3366077.6048</v>
      </c>
      <c r="F413" s="54"/>
      <c r="G413" s="54">
        <f t="shared" si="205"/>
        <v>0</v>
      </c>
      <c r="H413" s="54">
        <f t="shared" si="206"/>
        <v>0</v>
      </c>
      <c r="I413" s="54">
        <f t="shared" si="207"/>
        <v>0</v>
      </c>
      <c r="J413" s="54">
        <f t="shared" si="208"/>
        <v>30.4002716249123</v>
      </c>
      <c r="K413" s="55">
        <f t="shared" si="209"/>
        <v>70340.7183075068</v>
      </c>
      <c r="L413" s="55">
        <f t="shared" si="210"/>
        <v>70340.7183075068</v>
      </c>
      <c r="M413" s="55">
        <f t="shared" si="211"/>
        <v>70340.7183075068</v>
      </c>
      <c r="N413" s="54">
        <v>449.947</v>
      </c>
      <c r="O413" s="54">
        <v>446.4</v>
      </c>
      <c r="P413" s="54">
        <v>0</v>
      </c>
      <c r="Q413" s="39">
        <f t="shared" si="212"/>
        <v>488110.1258</v>
      </c>
      <c r="R413" s="39">
        <f t="shared" si="213"/>
        <v>3366077.6048</v>
      </c>
      <c r="S413" s="39" t="str">
        <f t="shared" si="214"/>
        <v> </v>
      </c>
      <c r="T413" s="39" t="str">
        <f t="shared" si="215"/>
        <v> </v>
      </c>
      <c r="U413" s="39" t="str">
        <f t="shared" si="216"/>
        <v> </v>
      </c>
      <c r="V413" s="39" t="str">
        <f t="shared" si="217"/>
        <v> </v>
      </c>
      <c r="AI413" t="str">
        <f t="array" ref="AI413">IFERROR(INDEX($L$2:$L$789,SMALL(IF(ISNUMBER(FIND($AH$2,$C$2:$C$789)),ROW($2:$789)-1,4^8),ROW(A412)))&amp;"","")</f>
        <v/>
      </c>
      <c r="AT413" t="str">
        <f t="shared" si="218"/>
        <v>488110.1258,3366077.6048</v>
      </c>
      <c r="AV413">
        <f t="shared" si="204"/>
        <v>450.65</v>
      </c>
      <c r="AX413" t="str">
        <f t="shared" si="219"/>
        <v>pl 35170.3591537534,279 35170.3591537534,400 </v>
      </c>
      <c r="AY413" t="str">
        <f t="shared" si="220"/>
        <v>35170.3591537534,446.4</v>
      </c>
      <c r="AZ413" t="str">
        <f t="shared" si="221"/>
        <v>35170.3591537534,449.947</v>
      </c>
      <c r="BA413" t="str">
        <f t="shared" si="222"/>
        <v>35170.3591537534,450.65</v>
      </c>
      <c r="BB413" t="str">
        <f t="shared" si="223"/>
        <v>-text 35169.3591537534,337 3.5 90 446.400 </v>
      </c>
      <c r="BC413" t="str">
        <f t="shared" si="224"/>
        <v>-text 35169.3591537534,320 3.5 90 450.650 </v>
      </c>
      <c r="BD413" t="str">
        <f t="shared" si="225"/>
        <v>-text 35169.3591537534,306 3.5 90 449.947 </v>
      </c>
      <c r="BE413" t="str">
        <f t="shared" si="226"/>
        <v>-text 35169.3591537534,352 3.5 90 ZG70+340.718 </v>
      </c>
      <c r="BF413" t="str">
        <f t="shared" si="227"/>
        <v>-text 35169.3591537534,280 3.5 90 黄龙湾渡槽进 </v>
      </c>
      <c r="BG413" t="str">
        <f t="shared" si="228"/>
        <v/>
      </c>
      <c r="BH413" t="str">
        <f t="shared" si="229"/>
        <v> </v>
      </c>
      <c r="BI413" t="str">
        <f t="shared" si="230"/>
        <v> </v>
      </c>
      <c r="BJ413" t="str">
        <f t="shared" si="231"/>
        <v> </v>
      </c>
    </row>
    <row r="414" spans="1:62">
      <c r="A414">
        <v>2</v>
      </c>
      <c r="B414">
        <v>413</v>
      </c>
      <c r="C414" t="str">
        <f>Sheet1!C387</f>
        <v>黄龙湾渡槽出</v>
      </c>
      <c r="D414" s="54">
        <v>488118.1679</v>
      </c>
      <c r="E414" s="54">
        <v>3366038.9581</v>
      </c>
      <c r="F414" s="54"/>
      <c r="G414" s="54">
        <f t="shared" si="205"/>
        <v>0</v>
      </c>
      <c r="H414" s="54">
        <f t="shared" si="206"/>
        <v>0</v>
      </c>
      <c r="I414" s="54">
        <f t="shared" si="207"/>
        <v>0</v>
      </c>
      <c r="J414" s="54">
        <f t="shared" si="208"/>
        <v>39.4745841434019</v>
      </c>
      <c r="K414" s="55">
        <f t="shared" si="209"/>
        <v>70380.1928916502</v>
      </c>
      <c r="L414" s="55">
        <f t="shared" si="210"/>
        <v>70380.1928916502</v>
      </c>
      <c r="M414" s="55">
        <f t="shared" si="211"/>
        <v>70380.1928916502</v>
      </c>
      <c r="N414" s="54">
        <v>449.936</v>
      </c>
      <c r="O414" s="54">
        <v>446.389</v>
      </c>
      <c r="P414" s="54">
        <v>0</v>
      </c>
      <c r="Q414" s="39">
        <f t="shared" si="212"/>
        <v>488118.1679</v>
      </c>
      <c r="R414" s="39">
        <f t="shared" si="213"/>
        <v>3366038.9581</v>
      </c>
      <c r="S414" s="39" t="str">
        <f t="shared" si="214"/>
        <v> </v>
      </c>
      <c r="T414" s="39" t="str">
        <f t="shared" si="215"/>
        <v> </v>
      </c>
      <c r="U414" s="39" t="str">
        <f t="shared" si="216"/>
        <v> </v>
      </c>
      <c r="V414" s="39" t="str">
        <f t="shared" si="217"/>
        <v> </v>
      </c>
      <c r="AI414" t="str">
        <f t="array" ref="AI414">IFERROR(INDEX($L$2:$L$789,SMALL(IF(ISNUMBER(FIND($AH$2,$C$2:$C$789)),ROW($2:$789)-1,4^8),ROW(A413)))&amp;"","")</f>
        <v/>
      </c>
      <c r="AT414" t="str">
        <f t="shared" si="218"/>
        <v>488118.1679,3366038.9581</v>
      </c>
      <c r="AV414">
        <f t="shared" si="204"/>
        <v>450.639</v>
      </c>
      <c r="AX414" t="str">
        <f t="shared" si="219"/>
        <v>pl 35190.0964458251,279 35190.0964458251,400 </v>
      </c>
      <c r="AY414" t="str">
        <f t="shared" si="220"/>
        <v>35190.0964458251,446.389</v>
      </c>
      <c r="AZ414" t="str">
        <f t="shared" si="221"/>
        <v>35190.0964458251,449.936</v>
      </c>
      <c r="BA414" t="str">
        <f t="shared" si="222"/>
        <v>35190.0964458251,450.639</v>
      </c>
      <c r="BB414" t="str">
        <f t="shared" si="223"/>
        <v>-text 35189.0964458251,337 3.5 90 446.389 </v>
      </c>
      <c r="BC414" t="str">
        <f t="shared" si="224"/>
        <v>-text 35189.0964458251,320 3.5 90 450.639 </v>
      </c>
      <c r="BD414" t="str">
        <f t="shared" si="225"/>
        <v>-text 35189.0964458251,306 3.5 90 449.936 </v>
      </c>
      <c r="BE414" t="str">
        <f t="shared" si="226"/>
        <v>-text 35189.0964458251,352 3.5 90 ZG70+380.193 </v>
      </c>
      <c r="BF414" t="str">
        <f t="shared" si="227"/>
        <v>-text 35189.0964458251,280 3.5 90 黄龙湾渡槽出 </v>
      </c>
      <c r="BG414" t="str">
        <f t="shared" si="228"/>
        <v/>
      </c>
      <c r="BH414" t="str">
        <f t="shared" si="229"/>
        <v> </v>
      </c>
      <c r="BI414" t="str">
        <f t="shared" si="230"/>
        <v> </v>
      </c>
      <c r="BJ414" t="str">
        <f t="shared" si="231"/>
        <v> </v>
      </c>
    </row>
    <row r="415" spans="1:62">
      <c r="A415">
        <v>1</v>
      </c>
      <c r="B415">
        <v>414</v>
      </c>
      <c r="C415" t="str">
        <f>Sheet1!C388</f>
        <v>三元寨隧进</v>
      </c>
      <c r="D415" s="54">
        <v>488122.1878</v>
      </c>
      <c r="E415" s="54">
        <v>3366019.6403</v>
      </c>
      <c r="F415" s="54"/>
      <c r="G415" s="54">
        <f t="shared" si="205"/>
        <v>0</v>
      </c>
      <c r="H415" s="54">
        <f t="shared" si="206"/>
        <v>0</v>
      </c>
      <c r="I415" s="54">
        <f t="shared" si="207"/>
        <v>0</v>
      </c>
      <c r="J415" s="54">
        <f t="shared" si="208"/>
        <v>19.7316241816049</v>
      </c>
      <c r="K415" s="55">
        <f t="shared" si="209"/>
        <v>70399.9245158318</v>
      </c>
      <c r="L415" s="55">
        <f t="shared" si="210"/>
        <v>70399.9245158318</v>
      </c>
      <c r="M415" s="55">
        <f t="shared" si="211"/>
        <v>70399.9245158318</v>
      </c>
      <c r="N415" s="54">
        <v>449.953</v>
      </c>
      <c r="O415" s="54">
        <v>446.064</v>
      </c>
      <c r="P415" s="54">
        <v>0</v>
      </c>
      <c r="Q415" s="39">
        <f t="shared" si="212"/>
        <v>488122.1878</v>
      </c>
      <c r="R415" s="39">
        <f t="shared" si="213"/>
        <v>3366019.6403</v>
      </c>
      <c r="S415" s="39" t="str">
        <f t="shared" si="214"/>
        <v> </v>
      </c>
      <c r="T415" s="39" t="str">
        <f t="shared" si="215"/>
        <v> </v>
      </c>
      <c r="U415" s="39" t="str">
        <f t="shared" si="216"/>
        <v> </v>
      </c>
      <c r="V415" s="39" t="str">
        <f t="shared" si="217"/>
        <v> </v>
      </c>
      <c r="AI415" t="str">
        <f t="array" ref="AI415">IFERROR(INDEX($L$2:$L$789,SMALL(IF(ISNUMBER(FIND($AH$2,$C$2:$C$789)),ROW($2:$789)-1,4^8),ROW(A414)))&amp;"","")</f>
        <v/>
      </c>
      <c r="AT415" t="str">
        <f t="shared" si="218"/>
        <v>488122.1878,3366019.6403</v>
      </c>
      <c r="AV415">
        <f t="shared" si="204"/>
        <v>451.164</v>
      </c>
      <c r="AX415" t="str">
        <f t="shared" si="219"/>
        <v>pl 35199.9622579159,279 35199.9622579159,400 </v>
      </c>
      <c r="AY415" t="str">
        <f t="shared" si="220"/>
        <v>35199.9622579159,446.064</v>
      </c>
      <c r="AZ415" t="str">
        <f t="shared" si="221"/>
        <v>35199.9622579159,449.953</v>
      </c>
      <c r="BA415" t="str">
        <f t="shared" si="222"/>
        <v>35199.9622579159,451.164</v>
      </c>
      <c r="BB415" t="str">
        <f t="shared" si="223"/>
        <v>-text 35198.9622579159,337 3.5 90 446.064 </v>
      </c>
      <c r="BC415" t="str">
        <f t="shared" si="224"/>
        <v>-text 35198.9622579159,320 3.5 90 451.164 </v>
      </c>
      <c r="BD415" t="str">
        <f t="shared" si="225"/>
        <v>-text 35198.9622579159,306 3.5 90 449.953 </v>
      </c>
      <c r="BE415" t="str">
        <f t="shared" si="226"/>
        <v>-text 35198.9622579159,352 3.5 90 ZG70+399.925 </v>
      </c>
      <c r="BF415" t="str">
        <f t="shared" si="227"/>
        <v>-text 35198.9622579159,280 3.5 90 三元寨隧进 </v>
      </c>
      <c r="BG415" t="str">
        <f t="shared" si="228"/>
        <v/>
      </c>
      <c r="BH415" t="str">
        <f t="shared" si="229"/>
        <v> </v>
      </c>
      <c r="BI415" t="str">
        <f t="shared" si="230"/>
        <v> </v>
      </c>
      <c r="BJ415" t="str">
        <f t="shared" si="231"/>
        <v> </v>
      </c>
    </row>
    <row r="416" spans="1:62">
      <c r="A416">
        <v>1</v>
      </c>
      <c r="B416">
        <v>415</v>
      </c>
      <c r="C416" t="s">
        <v>409</v>
      </c>
      <c r="D416" s="54">
        <v>488157.53</v>
      </c>
      <c r="E416" s="54">
        <v>3365849.8009</v>
      </c>
      <c r="F416" s="54">
        <v>80</v>
      </c>
      <c r="G416" s="54">
        <f t="shared" si="205"/>
        <v>58.265</v>
      </c>
      <c r="H416" s="54">
        <f t="shared" si="206"/>
        <v>44.5868842000685</v>
      </c>
      <c r="I416" s="54">
        <f t="shared" si="207"/>
        <v>81.3532870939597</v>
      </c>
      <c r="J416" s="54">
        <f t="shared" si="208"/>
        <v>173.477643784956</v>
      </c>
      <c r="K416" s="55">
        <f t="shared" si="209"/>
        <v>70528.8152754167</v>
      </c>
      <c r="L416" s="55">
        <f t="shared" si="210"/>
        <v>70569.4919189636</v>
      </c>
      <c r="M416" s="55">
        <f t="shared" si="211"/>
        <v>70610.1685625106</v>
      </c>
      <c r="N416" s="54">
        <v>449.921</v>
      </c>
      <c r="O416" s="54">
        <v>446.032</v>
      </c>
      <c r="P416" s="54">
        <v>0.003</v>
      </c>
      <c r="Q416" s="39">
        <f t="shared" si="212"/>
        <v>488148.446416984</v>
      </c>
      <c r="R416" s="39">
        <f t="shared" si="213"/>
        <v>3365893.45268991</v>
      </c>
      <c r="S416" s="39">
        <f t="shared" si="214"/>
        <v>488166.288954247</v>
      </c>
      <c r="T416" s="39">
        <f t="shared" si="215"/>
        <v>3365857.38481993</v>
      </c>
      <c r="U416" s="39">
        <f t="shared" si="216"/>
        <v>488199.433318317</v>
      </c>
      <c r="V416" s="39">
        <f t="shared" si="217"/>
        <v>3365834.5660007</v>
      </c>
      <c r="AI416" t="str">
        <f t="array" ref="AI416">IFERROR(INDEX($L$2:$L$789,SMALL(IF(ISNUMBER(FIND($AH$2,$C$2:$C$789)),ROW($2:$789)-1,4^8),ROW(A415)))&amp;"","")</f>
        <v/>
      </c>
      <c r="AS416" t="str">
        <f>"-text"&amp;" "&amp;D416&amp;","&amp;E416&amp;" "&amp;"10"&amp;" "&amp;"0"&amp;" "&amp;C416</f>
        <v>-text 488157.53,3365849.8009 10 0 IP217</v>
      </c>
      <c r="AT416" t="str">
        <f t="shared" si="218"/>
        <v>488157.53,3365849.8009</v>
      </c>
      <c r="AV416">
        <f t="shared" si="204"/>
        <v>451.132</v>
      </c>
      <c r="AX416" t="str">
        <f t="shared" si="219"/>
        <v>pl 35284.7459594818,279 35284.7459594818,400 </v>
      </c>
      <c r="AY416" t="str">
        <f t="shared" si="220"/>
        <v>35284.7459594818,446.032</v>
      </c>
      <c r="AZ416" t="str">
        <f t="shared" si="221"/>
        <v>35284.7459594818,449.921</v>
      </c>
      <c r="BA416" t="str">
        <f t="shared" si="222"/>
        <v>35284.7459594818,451.132</v>
      </c>
      <c r="BB416" t="str">
        <f t="shared" si="223"/>
        <v>-text 35283.7459594818,337 3.5 90 446.032 </v>
      </c>
      <c r="BC416" t="str">
        <f t="shared" si="224"/>
        <v>-text 35283.7459594818,320 3.5 90 451.132 </v>
      </c>
      <c r="BD416" t="str">
        <f t="shared" si="225"/>
        <v>-text 35283.7459594818,306 3.5 90 449.921 </v>
      </c>
      <c r="BE416" t="str">
        <f t="shared" si="226"/>
        <v>-text 35283.7459594818,352 3.5 90 ZG70+569.492 </v>
      </c>
      <c r="BF416" t="str">
        <f t="shared" si="227"/>
        <v>-text 35283.7459594818,280 3.5 90 IP217 </v>
      </c>
      <c r="BG416" t="str">
        <f t="shared" si="228"/>
        <v>-TEXT 35285.7459594818,300 3.5 0 R=80</v>
      </c>
      <c r="BH416" t="str">
        <f t="shared" si="229"/>
        <v>-TEXT 35285.7459594818,295 3.5 0 α=58.27° </v>
      </c>
      <c r="BI416" t="str">
        <f t="shared" si="230"/>
        <v>-TEXT 35285.7459594818,290 3.5 0 T=44.59 </v>
      </c>
      <c r="BJ416" t="str">
        <f t="shared" si="231"/>
        <v>-TEXT 35285.7459594818,285 3.5 0 S=81.35 </v>
      </c>
    </row>
    <row r="417" spans="1:62">
      <c r="A417">
        <v>1</v>
      </c>
      <c r="B417">
        <v>416</v>
      </c>
      <c r="C417" s="42" t="str">
        <f>Sheet1!C390</f>
        <v>三元寨隧出</v>
      </c>
      <c r="D417" s="56">
        <v>488320.1176</v>
      </c>
      <c r="E417" s="56">
        <v>3365790.6885</v>
      </c>
      <c r="F417" s="54"/>
      <c r="G417" s="54">
        <f t="shared" si="205"/>
        <v>0</v>
      </c>
      <c r="H417" s="54">
        <f t="shared" si="206"/>
        <v>0</v>
      </c>
      <c r="I417" s="54">
        <f t="shared" si="207"/>
        <v>0</v>
      </c>
      <c r="J417" s="54">
        <f t="shared" si="208"/>
        <v>173.000010137307</v>
      </c>
      <c r="K417" s="55">
        <f t="shared" si="209"/>
        <v>70738.5816884478</v>
      </c>
      <c r="L417" s="55">
        <f t="shared" si="210"/>
        <v>70738.5816884478</v>
      </c>
      <c r="M417" s="55">
        <f t="shared" si="211"/>
        <v>70738.5816884478</v>
      </c>
      <c r="N417" s="54">
        <v>449.889</v>
      </c>
      <c r="O417" s="54">
        <v>446</v>
      </c>
      <c r="P417" s="54">
        <v>0</v>
      </c>
      <c r="Q417" s="39">
        <f t="shared" si="212"/>
        <v>488320.1176</v>
      </c>
      <c r="R417" s="39">
        <f t="shared" si="213"/>
        <v>3365790.6885</v>
      </c>
      <c r="S417" s="39" t="str">
        <f t="shared" si="214"/>
        <v> </v>
      </c>
      <c r="T417" s="39" t="str">
        <f t="shared" si="215"/>
        <v> </v>
      </c>
      <c r="U417" s="39" t="str">
        <f t="shared" si="216"/>
        <v> </v>
      </c>
      <c r="V417" s="39" t="str">
        <f t="shared" si="217"/>
        <v> </v>
      </c>
      <c r="AI417" t="str">
        <f t="array" ref="AI417">IFERROR(INDEX($L$2:$L$789,SMALL(IF(ISNUMBER(FIND($AH$2,$C$2:$C$789)),ROW($2:$789)-1,4^8),ROW(A416)))&amp;"","")</f>
        <v/>
      </c>
      <c r="AT417" t="str">
        <f t="shared" si="218"/>
        <v>488320.1176,3365790.6885</v>
      </c>
      <c r="AV417">
        <f t="shared" si="204"/>
        <v>451.1</v>
      </c>
      <c r="AX417" t="str">
        <f t="shared" si="219"/>
        <v>pl 35369.2908442239,279 35369.2908442239,400 </v>
      </c>
      <c r="AY417" t="str">
        <f t="shared" si="220"/>
        <v>35369.2908442239,446</v>
      </c>
      <c r="AZ417" t="str">
        <f t="shared" si="221"/>
        <v>35369.2908442239,449.889</v>
      </c>
      <c r="BA417" t="str">
        <f t="shared" si="222"/>
        <v>35369.2908442239,451.1</v>
      </c>
      <c r="BB417" t="str">
        <f t="shared" si="223"/>
        <v>-text 35368.2908442239,337 3.5 90 446.000 </v>
      </c>
      <c r="BC417" t="str">
        <f t="shared" si="224"/>
        <v>-text 35368.2908442239,320 3.5 90 451.100 </v>
      </c>
      <c r="BD417" t="str">
        <f t="shared" si="225"/>
        <v>-text 35368.2908442239,306 3.5 90 449.889 </v>
      </c>
      <c r="BE417" t="str">
        <f t="shared" si="226"/>
        <v>-text 35368.2908442239,352 3.5 90 ZG70+738.582 </v>
      </c>
      <c r="BF417" t="str">
        <f t="shared" si="227"/>
        <v>-text 35368.2908442239,280 3.5 90 三元寨隧出 </v>
      </c>
      <c r="BG417" t="str">
        <f t="shared" si="228"/>
        <v/>
      </c>
      <c r="BH417" t="str">
        <f t="shared" si="229"/>
        <v> </v>
      </c>
      <c r="BI417" t="str">
        <f t="shared" si="230"/>
        <v> </v>
      </c>
      <c r="BJ417" t="str">
        <f t="shared" si="231"/>
        <v> </v>
      </c>
    </row>
    <row r="418" spans="1:62">
      <c r="A418">
        <v>0</v>
      </c>
      <c r="B418">
        <v>417</v>
      </c>
      <c r="C418" s="47" t="str">
        <f>Sheet1!C391</f>
        <v>宋家沟倒虹管进</v>
      </c>
      <c r="D418" s="47">
        <v>488320.1176</v>
      </c>
      <c r="E418" s="47">
        <v>3365790.6885</v>
      </c>
      <c r="F418" s="54"/>
      <c r="G418" s="54">
        <f t="shared" si="205"/>
        <v>0</v>
      </c>
      <c r="H418" s="54">
        <f t="shared" si="206"/>
        <v>0</v>
      </c>
      <c r="I418" s="54">
        <f t="shared" si="207"/>
        <v>0</v>
      </c>
      <c r="J418" s="54">
        <f t="shared" si="208"/>
        <v>0</v>
      </c>
      <c r="K418" s="55">
        <f t="shared" si="209"/>
        <v>70738.5816884478</v>
      </c>
      <c r="L418" s="55">
        <f t="shared" si="210"/>
        <v>70738.5816884478</v>
      </c>
      <c r="M418" s="55">
        <f t="shared" si="211"/>
        <v>70738.5816884478</v>
      </c>
      <c r="N418" s="47">
        <v>449.889</v>
      </c>
      <c r="O418" s="47">
        <v>446.281</v>
      </c>
      <c r="P418" s="47">
        <v>0</v>
      </c>
      <c r="Q418" s="39">
        <f t="shared" si="212"/>
        <v>488320.1176</v>
      </c>
      <c r="R418" s="39">
        <f t="shared" si="213"/>
        <v>3365790.6885</v>
      </c>
      <c r="S418" s="39" t="str">
        <f t="shared" si="214"/>
        <v> </v>
      </c>
      <c r="T418" s="39" t="str">
        <f t="shared" si="215"/>
        <v> </v>
      </c>
      <c r="U418" s="39" t="str">
        <f t="shared" si="216"/>
        <v> </v>
      </c>
      <c r="V418" s="39" t="str">
        <f t="shared" si="217"/>
        <v> </v>
      </c>
      <c r="AI418" t="str">
        <f t="array" ref="AI418">IFERROR(INDEX($L$2:$L$789,SMALL(IF(ISNUMBER(FIND($AH$2,$C$2:$C$789)),ROW($2:$789)-1,4^8),ROW(A417)))&amp;"","")</f>
        <v/>
      </c>
      <c r="AT418" t="str">
        <f t="shared" si="218"/>
        <v>488320.1176,3365790.6885</v>
      </c>
      <c r="AV418">
        <f t="shared" si="204"/>
        <v>451.681</v>
      </c>
      <c r="AX418" t="str">
        <f t="shared" si="219"/>
        <v>pl 35369.2908442239,279 35369.2908442239,400 </v>
      </c>
      <c r="AY418" t="str">
        <f t="shared" si="220"/>
        <v>35369.2908442239,446.281</v>
      </c>
      <c r="AZ418" t="str">
        <f t="shared" si="221"/>
        <v>35369.2908442239,449.889</v>
      </c>
      <c r="BA418" t="str">
        <f t="shared" si="222"/>
        <v>35369.2908442239,451.681</v>
      </c>
      <c r="BB418" t="str">
        <f t="shared" si="223"/>
        <v>-text 35368.2908442239,337 3.5 90 446.281 </v>
      </c>
      <c r="BC418" t="str">
        <f t="shared" si="224"/>
        <v>-text 35368.2908442239,320 3.5 90 451.681 </v>
      </c>
      <c r="BD418" t="str">
        <f t="shared" si="225"/>
        <v>-text 35368.2908442239,306 3.5 90 449.889 </v>
      </c>
      <c r="BE418" t="str">
        <f t="shared" si="226"/>
        <v>-text 35368.2908442239,352 3.5 90 ZG70+738.582 </v>
      </c>
      <c r="BF418" t="str">
        <f t="shared" si="227"/>
        <v>-text 35368.2908442239,280 3.5 90 宋家沟倒虹管进 </v>
      </c>
      <c r="BG418" t="str">
        <f t="shared" si="228"/>
        <v/>
      </c>
      <c r="BH418" t="str">
        <f t="shared" si="229"/>
        <v> </v>
      </c>
      <c r="BI418" t="str">
        <f t="shared" si="230"/>
        <v> </v>
      </c>
      <c r="BJ418" t="str">
        <f t="shared" si="231"/>
        <v> </v>
      </c>
    </row>
    <row r="419" spans="1:62">
      <c r="A419">
        <v>0</v>
      </c>
      <c r="B419">
        <v>418</v>
      </c>
      <c r="C419" t="s">
        <v>839</v>
      </c>
      <c r="D419" s="47">
        <v>488459.7276</v>
      </c>
      <c r="E419" s="47">
        <v>3365739.9301</v>
      </c>
      <c r="F419" s="54">
        <v>12</v>
      </c>
      <c r="G419" s="54">
        <f t="shared" si="205"/>
        <v>37.656</v>
      </c>
      <c r="H419" s="54">
        <f t="shared" si="206"/>
        <v>4.09167823909444</v>
      </c>
      <c r="I419" s="54">
        <f t="shared" si="207"/>
        <v>7.88665419757182</v>
      </c>
      <c r="J419" s="54">
        <f t="shared" si="208"/>
        <v>148.550891180676</v>
      </c>
      <c r="K419" s="55">
        <f t="shared" si="209"/>
        <v>70883.0409013894</v>
      </c>
      <c r="L419" s="55">
        <f t="shared" si="210"/>
        <v>70886.9842284882</v>
      </c>
      <c r="M419" s="55">
        <f t="shared" si="211"/>
        <v>70890.927555587</v>
      </c>
      <c r="N419" s="47"/>
      <c r="O419" s="47">
        <v>446.281</v>
      </c>
      <c r="P419" s="47">
        <v>0</v>
      </c>
      <c r="Q419" s="39">
        <f t="shared" si="212"/>
        <v>488455.882189216</v>
      </c>
      <c r="R419" s="39">
        <f t="shared" si="213"/>
        <v>3365741.3281868</v>
      </c>
      <c r="S419" s="39">
        <f t="shared" si="214"/>
        <v>488459.302443895</v>
      </c>
      <c r="T419" s="39">
        <f t="shared" si="215"/>
        <v>3365739.4014586</v>
      </c>
      <c r="U419" s="39">
        <f t="shared" si="216"/>
        <v>488461.91788516</v>
      </c>
      <c r="V419" s="39">
        <f t="shared" si="217"/>
        <v>3365736.47402105</v>
      </c>
      <c r="AI419" t="str">
        <f t="array" ref="AI419">IFERROR(INDEX($L$2:$L$789,SMALL(IF(ISNUMBER(FIND($AH$2,$C$2:$C$789)),ROW($2:$789)-1,4^8),ROW(A418)))&amp;"","")</f>
        <v/>
      </c>
      <c r="AS419" t="str">
        <f t="shared" ref="AS419:AS431" si="233">"-text"&amp;" "&amp;D419&amp;","&amp;E419&amp;" "&amp;"10"&amp;" "&amp;"0"&amp;" "&amp;C419</f>
        <v>-text 488459.7276,3365739.9301 10 0 IP218</v>
      </c>
      <c r="AT419" t="str">
        <f t="shared" si="218"/>
        <v>488459.7276,3365739.9301</v>
      </c>
      <c r="AV419">
        <f t="shared" si="204"/>
        <v>451.681</v>
      </c>
      <c r="AX419" t="str">
        <f t="shared" si="219"/>
        <v>pl 35443.4921142441,279 35443.4921142441,400 </v>
      </c>
      <c r="AY419" t="str">
        <f t="shared" si="220"/>
        <v>35443.4921142441,446.281</v>
      </c>
      <c r="AZ419" t="str">
        <f t="shared" si="221"/>
        <v>35443.4921142441,</v>
      </c>
      <c r="BA419" t="str">
        <f t="shared" si="222"/>
        <v>35443.4921142441,451.681</v>
      </c>
      <c r="BB419" t="str">
        <f t="shared" si="223"/>
        <v>-text 35442.4921142441,337 3.5 90 446.281 </v>
      </c>
      <c r="BC419" t="str">
        <f t="shared" si="224"/>
        <v>-text 35442.4921142441,320 3.5 90 451.681 </v>
      </c>
      <c r="BD419" t="str">
        <f t="shared" si="225"/>
        <v>-text 35442.4921142441,306 3.5 90 0.000 </v>
      </c>
      <c r="BE419" t="str">
        <f t="shared" si="226"/>
        <v>-text 35442.4921142441,352 3.5 90 ZG70+886.984 </v>
      </c>
      <c r="BF419" t="str">
        <f t="shared" si="227"/>
        <v>-text 35442.4921142441,280 3.5 90 IP218 </v>
      </c>
      <c r="BG419" t="str">
        <f t="shared" si="228"/>
        <v>-TEXT 35444.4921142441,300 3.5 0 R=12</v>
      </c>
      <c r="BH419" t="str">
        <f t="shared" si="229"/>
        <v>-TEXT 35444.4921142441,295 3.5 0 α=37.66° </v>
      </c>
      <c r="BI419" t="str">
        <f t="shared" si="230"/>
        <v>-TEXT 35444.4921142441,290 3.5 0 T=4.09 </v>
      </c>
      <c r="BJ419" t="str">
        <f t="shared" si="231"/>
        <v>-TEXT 35444.4921142441,285 3.5 0 S=7.89 </v>
      </c>
    </row>
    <row r="420" spans="1:62">
      <c r="A420">
        <v>0</v>
      </c>
      <c r="B420">
        <v>419</v>
      </c>
      <c r="C420" t="s">
        <v>840</v>
      </c>
      <c r="D420" s="47">
        <v>488584.9901</v>
      </c>
      <c r="E420" s="47">
        <v>3365542.2768</v>
      </c>
      <c r="F420" s="54">
        <v>12</v>
      </c>
      <c r="G420" s="54">
        <f t="shared" si="205"/>
        <v>16.409</v>
      </c>
      <c r="H420" s="54">
        <f t="shared" si="206"/>
        <v>1.73018847570872</v>
      </c>
      <c r="I420" s="54">
        <f t="shared" si="207"/>
        <v>3.43669292351699</v>
      </c>
      <c r="J420" s="54">
        <f t="shared" si="208"/>
        <v>234.003249778927</v>
      </c>
      <c r="K420" s="55">
        <f t="shared" si="209"/>
        <v>71119.1089386511</v>
      </c>
      <c r="L420" s="55">
        <f t="shared" si="210"/>
        <v>71120.8272851129</v>
      </c>
      <c r="M420" s="55">
        <f t="shared" si="211"/>
        <v>71122.5456315746</v>
      </c>
      <c r="N420" s="47"/>
      <c r="O420" s="47">
        <v>446.281</v>
      </c>
      <c r="P420" s="47">
        <v>0</v>
      </c>
      <c r="Q420" s="39">
        <f t="shared" si="212"/>
        <v>488584.063925965</v>
      </c>
      <c r="R420" s="39">
        <f t="shared" si="213"/>
        <v>3365543.73822185</v>
      </c>
      <c r="S420" s="39">
        <f t="shared" si="214"/>
        <v>488584.876881537</v>
      </c>
      <c r="T420" s="39">
        <f t="shared" si="215"/>
        <v>3365542.22601247</v>
      </c>
      <c r="U420" s="39">
        <f t="shared" si="216"/>
        <v>488585.46571776</v>
      </c>
      <c r="V420" s="39">
        <f t="shared" si="217"/>
        <v>3365540.61326764</v>
      </c>
      <c r="AI420" t="str">
        <f t="array" ref="AI420">IFERROR(INDEX($L$2:$L$789,SMALL(IF(ISNUMBER(FIND($AH$2,$C$2:$C$789)),ROW($2:$789)-1,4^8),ROW(A419)))&amp;"","")</f>
        <v/>
      </c>
      <c r="AS420" t="str">
        <f t="shared" si="233"/>
        <v>-text 488584.9901,3365542.2768 10 0 IP219</v>
      </c>
      <c r="AT420" t="str">
        <f t="shared" si="218"/>
        <v>488584.9901,3365542.2768</v>
      </c>
      <c r="AV420">
        <f t="shared" si="204"/>
        <v>451.681</v>
      </c>
      <c r="AX420" t="str">
        <f t="shared" si="219"/>
        <v>pl 35560.4136425564,279 35560.4136425564,400 </v>
      </c>
      <c r="AY420" t="str">
        <f t="shared" si="220"/>
        <v>35560.4136425564,446.281</v>
      </c>
      <c r="AZ420" t="str">
        <f t="shared" si="221"/>
        <v>35560.4136425564,</v>
      </c>
      <c r="BA420" t="str">
        <f t="shared" si="222"/>
        <v>35560.4136425564,451.681</v>
      </c>
      <c r="BB420" t="str">
        <f t="shared" si="223"/>
        <v>-text 35559.4136425564,337 3.5 90 446.281 </v>
      </c>
      <c r="BC420" t="str">
        <f t="shared" si="224"/>
        <v>-text 35559.4136425564,320 3.5 90 451.681 </v>
      </c>
      <c r="BD420" t="str">
        <f t="shared" si="225"/>
        <v>-text 35559.4136425564,306 3.5 90 0.000 </v>
      </c>
      <c r="BE420" t="str">
        <f t="shared" si="226"/>
        <v>-text 35559.4136425564,352 3.5 90 ZG71+120.827 </v>
      </c>
      <c r="BF420" t="str">
        <f t="shared" si="227"/>
        <v>-text 35559.4136425564,280 3.5 90 IP219 </v>
      </c>
      <c r="BG420" t="str">
        <f t="shared" si="228"/>
        <v>-TEXT 35561.4136425564,300 3.5 0 R=12</v>
      </c>
      <c r="BH420" t="str">
        <f t="shared" si="229"/>
        <v>-TEXT 35561.4136425564,295 3.5 0 α=16.41° </v>
      </c>
      <c r="BI420" t="str">
        <f t="shared" si="230"/>
        <v>-TEXT 35561.4136425564,290 3.5 0 T=1.73 </v>
      </c>
      <c r="BJ420" t="str">
        <f t="shared" si="231"/>
        <v>-TEXT 35561.4136425564,285 3.5 0 S=3.44 </v>
      </c>
    </row>
    <row r="421" spans="1:62">
      <c r="A421">
        <v>0</v>
      </c>
      <c r="B421">
        <v>420</v>
      </c>
      <c r="C421" t="s">
        <v>841</v>
      </c>
      <c r="D421" s="47">
        <v>488704.9679</v>
      </c>
      <c r="E421" s="47">
        <v>3365122.6395</v>
      </c>
      <c r="F421" s="54">
        <v>12</v>
      </c>
      <c r="G421" s="54">
        <f t="shared" si="205"/>
        <v>21.762</v>
      </c>
      <c r="H421" s="54">
        <f t="shared" si="206"/>
        <v>2.30670911401783</v>
      </c>
      <c r="I421" s="54">
        <f t="shared" si="207"/>
        <v>4.55782262182807</v>
      </c>
      <c r="J421" s="54">
        <f t="shared" si="208"/>
        <v>436.451756834795</v>
      </c>
      <c r="K421" s="55">
        <f t="shared" si="209"/>
        <v>71554.9604908197</v>
      </c>
      <c r="L421" s="55">
        <f t="shared" si="210"/>
        <v>71557.2394021306</v>
      </c>
      <c r="M421" s="55">
        <f t="shared" si="211"/>
        <v>71559.5183134415</v>
      </c>
      <c r="N421" s="47"/>
      <c r="O421" s="47">
        <v>446.281</v>
      </c>
      <c r="P421" s="47">
        <v>0</v>
      </c>
      <c r="Q421" s="39">
        <f t="shared" si="212"/>
        <v>488704.333800399</v>
      </c>
      <c r="R421" s="39">
        <f t="shared" si="213"/>
        <v>3365124.85734234</v>
      </c>
      <c r="S421" s="39">
        <f t="shared" si="214"/>
        <v>488705.163929365</v>
      </c>
      <c r="T421" s="39">
        <f t="shared" si="215"/>
        <v>3365122.73867846</v>
      </c>
      <c r="U421" s="39">
        <f t="shared" si="216"/>
        <v>488706.379068381</v>
      </c>
      <c r="V421" s="39">
        <f t="shared" si="217"/>
        <v>3365120.8148053</v>
      </c>
      <c r="AI421" t="str">
        <f t="array" ref="AI421">IFERROR(INDEX($L$2:$L$789,SMALL(IF(ISNUMBER(FIND($AH$2,$C$2:$C$789)),ROW($2:$789)-1,4^8),ROW(A420)))&amp;"","")</f>
        <v/>
      </c>
      <c r="AS421" t="str">
        <f t="shared" si="233"/>
        <v>-text 488704.9679,3365122.6395 10 0 IP220</v>
      </c>
      <c r="AT421" t="str">
        <f t="shared" si="218"/>
        <v>488704.9679,3365122.6395</v>
      </c>
      <c r="AV421">
        <f t="shared" si="204"/>
        <v>451.681</v>
      </c>
      <c r="AX421" t="str">
        <f t="shared" si="219"/>
        <v>pl 35778.6197010653,279 35778.6197010653,400 </v>
      </c>
      <c r="AY421" t="str">
        <f t="shared" si="220"/>
        <v>35778.6197010653,446.281</v>
      </c>
      <c r="AZ421" t="str">
        <f t="shared" si="221"/>
        <v>35778.6197010653,</v>
      </c>
      <c r="BA421" t="str">
        <f t="shared" si="222"/>
        <v>35778.6197010653,451.681</v>
      </c>
      <c r="BB421" t="str">
        <f t="shared" si="223"/>
        <v>-text 35777.6197010653,337 3.5 90 446.281 </v>
      </c>
      <c r="BC421" t="str">
        <f t="shared" si="224"/>
        <v>-text 35777.6197010653,320 3.5 90 451.681 </v>
      </c>
      <c r="BD421" t="str">
        <f t="shared" si="225"/>
        <v>-text 35777.6197010653,306 3.5 90 0.000 </v>
      </c>
      <c r="BE421" t="str">
        <f t="shared" si="226"/>
        <v>-text 35777.6197010653,352 3.5 90 ZG71+557.239 </v>
      </c>
      <c r="BF421" t="str">
        <f t="shared" si="227"/>
        <v>-text 35777.6197010653,280 3.5 90 IP220 </v>
      </c>
      <c r="BG421" t="str">
        <f t="shared" si="228"/>
        <v>-TEXT 35779.6197010653,300 3.5 0 R=12</v>
      </c>
      <c r="BH421" t="str">
        <f t="shared" si="229"/>
        <v>-TEXT 35779.6197010653,295 3.5 0 α=21.76° </v>
      </c>
      <c r="BI421" t="str">
        <f t="shared" si="230"/>
        <v>-TEXT 35779.6197010653,290 3.5 0 T=2.31 </v>
      </c>
      <c r="BJ421" t="str">
        <f t="shared" si="231"/>
        <v>-TEXT 35779.6197010653,285 3.5 0 S=4.56 </v>
      </c>
    </row>
    <row r="422" spans="1:62">
      <c r="A422">
        <v>0</v>
      </c>
      <c r="B422">
        <v>421</v>
      </c>
      <c r="C422" t="s">
        <v>842</v>
      </c>
      <c r="D422" s="47">
        <v>489014.3026</v>
      </c>
      <c r="E422" s="47">
        <v>3364722.6579</v>
      </c>
      <c r="F422" s="54">
        <v>12</v>
      </c>
      <c r="G422" s="54">
        <f t="shared" si="205"/>
        <v>19.185</v>
      </c>
      <c r="H422" s="54">
        <f t="shared" si="206"/>
        <v>2.02803237999814</v>
      </c>
      <c r="I422" s="54">
        <f t="shared" si="207"/>
        <v>4.01809700394135</v>
      </c>
      <c r="J422" s="54">
        <f t="shared" si="208"/>
        <v>505.641411439668</v>
      </c>
      <c r="K422" s="55">
        <f t="shared" si="209"/>
        <v>72060.8249833872</v>
      </c>
      <c r="L422" s="55">
        <f t="shared" si="210"/>
        <v>72062.8340318892</v>
      </c>
      <c r="M422" s="55">
        <f t="shared" si="211"/>
        <v>72064.8430803911</v>
      </c>
      <c r="N422" s="47"/>
      <c r="O422" s="47">
        <v>446.281</v>
      </c>
      <c r="P422" s="47">
        <v>0</v>
      </c>
      <c r="Q422" s="39">
        <f t="shared" si="212"/>
        <v>489013.061916833</v>
      </c>
      <c r="R422" s="39">
        <f t="shared" si="213"/>
        <v>3364724.26215079</v>
      </c>
      <c r="S422" s="39">
        <f t="shared" si="214"/>
        <v>489014.417975577</v>
      </c>
      <c r="T422" s="39">
        <f t="shared" si="215"/>
        <v>3364722.78297371</v>
      </c>
      <c r="U422" s="39">
        <f t="shared" si="216"/>
        <v>489016.001559079</v>
      </c>
      <c r="V422" s="39">
        <f t="shared" si="217"/>
        <v>3364721.55044644</v>
      </c>
      <c r="AI422" t="str">
        <f t="array" ref="AI422">IFERROR(INDEX($L$2:$L$789,SMALL(IF(ISNUMBER(FIND($AH$2,$C$2:$C$789)),ROW($2:$789)-1,4^8),ROW(A421)))&amp;"","")</f>
        <v/>
      </c>
      <c r="AS422" t="str">
        <f t="shared" si="233"/>
        <v>-text 489014.3026,3364722.6579 10 0 IP221</v>
      </c>
      <c r="AT422" t="str">
        <f t="shared" si="218"/>
        <v>489014.3026,3364722.6579</v>
      </c>
      <c r="AV422">
        <f t="shared" si="204"/>
        <v>451.681</v>
      </c>
      <c r="AX422" t="str">
        <f t="shared" si="219"/>
        <v>pl 36031.4170159446,279 36031.4170159446,400 </v>
      </c>
      <c r="AY422" t="str">
        <f t="shared" si="220"/>
        <v>36031.4170159446,446.281</v>
      </c>
      <c r="AZ422" t="str">
        <f t="shared" si="221"/>
        <v>36031.4170159446,</v>
      </c>
      <c r="BA422" t="str">
        <f t="shared" si="222"/>
        <v>36031.4170159446,451.681</v>
      </c>
      <c r="BB422" t="str">
        <f t="shared" si="223"/>
        <v>-text 36030.4170159446,337 3.5 90 446.281 </v>
      </c>
      <c r="BC422" t="str">
        <f t="shared" si="224"/>
        <v>-text 36030.4170159446,320 3.5 90 451.681 </v>
      </c>
      <c r="BD422" t="str">
        <f t="shared" si="225"/>
        <v>-text 36030.4170159446,306 3.5 90 0.000 </v>
      </c>
      <c r="BE422" t="str">
        <f t="shared" si="226"/>
        <v>-text 36030.4170159446,352 3.5 90 ZG72+062.834 </v>
      </c>
      <c r="BF422" t="str">
        <f t="shared" si="227"/>
        <v>-text 36030.4170159446,280 3.5 90 IP221 </v>
      </c>
      <c r="BG422" t="str">
        <f t="shared" si="228"/>
        <v>-TEXT 36032.4170159446,300 3.5 0 R=12</v>
      </c>
      <c r="BH422" t="str">
        <f t="shared" si="229"/>
        <v>-TEXT 36032.4170159446,295 3.5 0 α=19.19° </v>
      </c>
      <c r="BI422" t="str">
        <f t="shared" si="230"/>
        <v>-TEXT 36032.4170159446,290 3.5 0 T=2.03 </v>
      </c>
      <c r="BJ422" t="str">
        <f t="shared" si="231"/>
        <v>-TEXT 36032.4170159446,285 3.5 0 S=4.02 </v>
      </c>
    </row>
    <row r="423" spans="1:62">
      <c r="A423">
        <v>0</v>
      </c>
      <c r="B423">
        <v>422</v>
      </c>
      <c r="C423" t="s">
        <v>843</v>
      </c>
      <c r="D423" s="47">
        <v>489320.2221</v>
      </c>
      <c r="E423" s="47">
        <v>3364523.2466</v>
      </c>
      <c r="F423">
        <v>12</v>
      </c>
      <c r="G423">
        <f t="shared" si="205"/>
        <v>52.94</v>
      </c>
      <c r="H423">
        <f t="shared" si="206"/>
        <v>5.97513626114628</v>
      </c>
      <c r="I423">
        <f t="shared" si="207"/>
        <v>11.0877276720696</v>
      </c>
      <c r="J423">
        <f t="shared" si="208"/>
        <v>365.173393126981</v>
      </c>
      <c r="K423" s="40">
        <f t="shared" si="209"/>
        <v>72422.013304877</v>
      </c>
      <c r="L423" s="40">
        <f t="shared" si="210"/>
        <v>72427.557168713</v>
      </c>
      <c r="M423" s="40">
        <f t="shared" si="211"/>
        <v>72433.101032549</v>
      </c>
      <c r="N423" s="47"/>
      <c r="O423" s="47">
        <v>446.281</v>
      </c>
      <c r="P423" s="47">
        <v>0</v>
      </c>
      <c r="Q423" s="39">
        <f t="shared" si="212"/>
        <v>489315.216503393</v>
      </c>
      <c r="R423" s="39">
        <f t="shared" si="213"/>
        <v>3364526.50946009</v>
      </c>
      <c r="S423" s="39">
        <f t="shared" si="214"/>
        <v>489319.01039011</v>
      </c>
      <c r="T423" s="39">
        <f t="shared" si="215"/>
        <v>3364522.53478995</v>
      </c>
      <c r="U423" s="39">
        <f t="shared" si="216"/>
        <v>489320.634909312</v>
      </c>
      <c r="V423" s="39">
        <f t="shared" si="217"/>
        <v>3364517.28574085</v>
      </c>
      <c r="AI423" t="str">
        <f t="array" ref="AI423">IFERROR(INDEX($L$2:$L$789,SMALL(IF(ISNUMBER(FIND($AH$2,$C$2:$C$789)),ROW($2:$789)-1,4^8),ROW(A422)))&amp;"","")</f>
        <v/>
      </c>
      <c r="AS423" t="str">
        <f t="shared" si="233"/>
        <v>-text 489320.2221,3364523.2466 10 0 IP222</v>
      </c>
      <c r="AT423" t="str">
        <f t="shared" si="218"/>
        <v>489320.2221,3364523.2466</v>
      </c>
      <c r="AV423">
        <f t="shared" si="204"/>
        <v>451.681</v>
      </c>
      <c r="AX423" t="str">
        <f t="shared" si="219"/>
        <v>pl 36213.7785843565,279 36213.7785843565,400 </v>
      </c>
      <c r="AY423" t="str">
        <f t="shared" si="220"/>
        <v>36213.7785843565,446.281</v>
      </c>
      <c r="AZ423" t="str">
        <f t="shared" si="221"/>
        <v>36213.7785843565,</v>
      </c>
      <c r="BA423" t="str">
        <f t="shared" si="222"/>
        <v>36213.7785843565,451.681</v>
      </c>
      <c r="BB423" t="str">
        <f t="shared" si="223"/>
        <v>-text 36212.7785843565,337 3.5 90 446.281 </v>
      </c>
      <c r="BC423" t="str">
        <f t="shared" si="224"/>
        <v>-text 36212.7785843565,320 3.5 90 451.681 </v>
      </c>
      <c r="BD423" t="str">
        <f t="shared" si="225"/>
        <v>-text 36212.7785843565,306 3.5 90 0.000 </v>
      </c>
      <c r="BE423" t="str">
        <f t="shared" si="226"/>
        <v>-text 36212.7785843565,352 3.5 90 ZG72+427.557 </v>
      </c>
      <c r="BF423" t="str">
        <f t="shared" si="227"/>
        <v>-text 36212.7785843565,280 3.5 90 IP222 </v>
      </c>
      <c r="BG423" t="str">
        <f t="shared" si="228"/>
        <v>-TEXT 36214.7785843565,300 3.5 0 R=12</v>
      </c>
      <c r="BH423" t="str">
        <f t="shared" si="229"/>
        <v>-TEXT 36214.7785843565,295 3.5 0 α=52.94° </v>
      </c>
      <c r="BI423" t="str">
        <f t="shared" si="230"/>
        <v>-TEXT 36214.7785843565,290 3.5 0 T=5.98 </v>
      </c>
      <c r="BJ423" t="str">
        <f t="shared" si="231"/>
        <v>-TEXT 36214.7785843565,285 3.5 0 S=11.09 </v>
      </c>
    </row>
    <row r="424" spans="1:62">
      <c r="A424">
        <v>0</v>
      </c>
      <c r="B424">
        <v>423</v>
      </c>
      <c r="C424" t="s">
        <v>844</v>
      </c>
      <c r="D424" s="47">
        <v>489342.2724</v>
      </c>
      <c r="E424" s="47">
        <v>3364204.846</v>
      </c>
      <c r="F424">
        <v>12</v>
      </c>
      <c r="G424">
        <f t="shared" si="205"/>
        <v>18.199</v>
      </c>
      <c r="H424">
        <f t="shared" si="206"/>
        <v>1.92198117916559</v>
      </c>
      <c r="I424">
        <f t="shared" si="207"/>
        <v>3.81158964684538</v>
      </c>
      <c r="J424">
        <f t="shared" si="208"/>
        <v>319.163215002342</v>
      </c>
      <c r="K424" s="40">
        <f t="shared" si="209"/>
        <v>72744.3671301111</v>
      </c>
      <c r="L424" s="40">
        <f t="shared" si="210"/>
        <v>72746.2729249345</v>
      </c>
      <c r="M424" s="40">
        <f t="shared" si="211"/>
        <v>72748.1787197579</v>
      </c>
      <c r="N424" s="47"/>
      <c r="O424" s="47">
        <v>446.281</v>
      </c>
      <c r="P424" s="47">
        <v>0</v>
      </c>
      <c r="Q424" s="39">
        <f t="shared" si="212"/>
        <v>489342.139614455</v>
      </c>
      <c r="R424" s="39">
        <f t="shared" si="213"/>
        <v>3364206.76338876</v>
      </c>
      <c r="S424" s="39">
        <f t="shared" si="214"/>
        <v>489342.421384652</v>
      </c>
      <c r="T424" s="39">
        <f t="shared" si="215"/>
        <v>3364204.88056299</v>
      </c>
      <c r="U424" s="39">
        <f t="shared" si="216"/>
        <v>489342.997374264</v>
      </c>
      <c r="V424" s="39">
        <f t="shared" si="217"/>
        <v>3364203.06599327</v>
      </c>
      <c r="AI424" t="str">
        <f t="array" ref="AI424">IFERROR(INDEX($L$2:$L$789,SMALL(IF(ISNUMBER(FIND($AH$2,$C$2:$C$789)),ROW($2:$789)-1,4^8),ROW(A423)))&amp;"","")</f>
        <v/>
      </c>
      <c r="AS424" t="str">
        <f t="shared" si="233"/>
        <v>-text 489342.2724,3364204.846 10 0 IP223</v>
      </c>
      <c r="AT424" t="str">
        <f t="shared" si="218"/>
        <v>489342.2724,3364204.846</v>
      </c>
      <c r="AV424">
        <f t="shared" si="204"/>
        <v>451.681</v>
      </c>
      <c r="AX424" t="str">
        <f t="shared" si="219"/>
        <v>pl 36373.1364624672,279 36373.1364624672,400 </v>
      </c>
      <c r="AY424" t="str">
        <f t="shared" si="220"/>
        <v>36373.1364624672,446.281</v>
      </c>
      <c r="AZ424" t="str">
        <f t="shared" si="221"/>
        <v>36373.1364624672,</v>
      </c>
      <c r="BA424" t="str">
        <f t="shared" si="222"/>
        <v>36373.1364624672,451.681</v>
      </c>
      <c r="BB424" t="str">
        <f t="shared" si="223"/>
        <v>-text 36372.1364624672,337 3.5 90 446.281 </v>
      </c>
      <c r="BC424" t="str">
        <f t="shared" si="224"/>
        <v>-text 36372.1364624672,320 3.5 90 451.681 </v>
      </c>
      <c r="BD424" t="str">
        <f t="shared" si="225"/>
        <v>-text 36372.1364624672,306 3.5 90 0.000 </v>
      </c>
      <c r="BE424" t="str">
        <f t="shared" si="226"/>
        <v>-text 36372.1364624672,352 3.5 90 ZG72+746.273 </v>
      </c>
      <c r="BF424" t="str">
        <f t="shared" si="227"/>
        <v>-text 36372.1364624672,280 3.5 90 IP223 </v>
      </c>
      <c r="BG424" t="str">
        <f t="shared" si="228"/>
        <v>-TEXT 36374.1364624672,300 3.5 0 R=12</v>
      </c>
      <c r="BH424" t="str">
        <f t="shared" si="229"/>
        <v>-TEXT 36374.1364624672,295 3.5 0 α=18.20° </v>
      </c>
      <c r="BI424" t="str">
        <f t="shared" si="230"/>
        <v>-TEXT 36374.1364624672,290 3.5 0 T=1.92 </v>
      </c>
      <c r="BJ424" t="str">
        <f t="shared" si="231"/>
        <v>-TEXT 36374.1364624672,285 3.5 0 S=3.81 </v>
      </c>
    </row>
    <row r="425" spans="1:62">
      <c r="A425">
        <v>0</v>
      </c>
      <c r="B425">
        <v>424</v>
      </c>
      <c r="C425" t="s">
        <v>845</v>
      </c>
      <c r="D425" s="47">
        <v>489408.0096</v>
      </c>
      <c r="E425" s="47">
        <v>3364043.4435</v>
      </c>
      <c r="F425">
        <v>12</v>
      </c>
      <c r="G425">
        <f t="shared" si="205"/>
        <v>15.401</v>
      </c>
      <c r="H425">
        <f t="shared" si="206"/>
        <v>1.62257028998129</v>
      </c>
      <c r="I425">
        <f t="shared" si="207"/>
        <v>3.22557789719576</v>
      </c>
      <c r="J425">
        <f t="shared" si="208"/>
        <v>174.276063961861</v>
      </c>
      <c r="K425" s="40">
        <f t="shared" si="209"/>
        <v>72918.9102322506</v>
      </c>
      <c r="L425" s="40">
        <f t="shared" si="210"/>
        <v>72920.5230211992</v>
      </c>
      <c r="M425" s="40">
        <f t="shared" si="211"/>
        <v>72922.1358101478</v>
      </c>
      <c r="N425" s="47"/>
      <c r="O425" s="47">
        <v>446.281</v>
      </c>
      <c r="P425" s="47">
        <v>0</v>
      </c>
      <c r="Q425" s="39">
        <f t="shared" si="212"/>
        <v>489407.397563985</v>
      </c>
      <c r="R425" s="39">
        <f t="shared" si="213"/>
        <v>3364044.94621297</v>
      </c>
      <c r="S425" s="39">
        <f t="shared" si="214"/>
        <v>489408.104300786</v>
      </c>
      <c r="T425" s="39">
        <f t="shared" si="215"/>
        <v>3364043.49786917</v>
      </c>
      <c r="U425" s="39">
        <f t="shared" si="216"/>
        <v>489408.998731142</v>
      </c>
      <c r="V425" s="39">
        <f t="shared" si="217"/>
        <v>3364042.15728309</v>
      </c>
      <c r="AI425" t="str">
        <f t="array" ref="AI425">IFERROR(INDEX($L$2:$L$789,SMALL(IF(ISNUMBER(FIND($AH$2,$C$2:$C$789)),ROW($2:$789)-1,4^8),ROW(A424)))&amp;"","")</f>
        <v/>
      </c>
      <c r="AS425" t="str">
        <f t="shared" si="233"/>
        <v>-text 489408.0096,3364043.4435 10 0 IP224</v>
      </c>
      <c r="AT425" t="str">
        <f t="shared" si="218"/>
        <v>489408.0096,3364043.4435</v>
      </c>
      <c r="AV425">
        <f t="shared" si="204"/>
        <v>451.681</v>
      </c>
      <c r="AX425" t="str">
        <f t="shared" si="219"/>
        <v>pl 36460.2615105996,279 36460.2615105996,400 </v>
      </c>
      <c r="AY425" t="str">
        <f t="shared" si="220"/>
        <v>36460.2615105996,446.281</v>
      </c>
      <c r="AZ425" t="str">
        <f t="shared" si="221"/>
        <v>36460.2615105996,</v>
      </c>
      <c r="BA425" t="str">
        <f t="shared" si="222"/>
        <v>36460.2615105996,451.681</v>
      </c>
      <c r="BB425" t="str">
        <f t="shared" si="223"/>
        <v>-text 36459.2615105996,337 3.5 90 446.281 </v>
      </c>
      <c r="BC425" t="str">
        <f t="shared" si="224"/>
        <v>-text 36459.2615105996,320 3.5 90 451.681 </v>
      </c>
      <c r="BD425" t="str">
        <f t="shared" si="225"/>
        <v>-text 36459.2615105996,306 3.5 90 0.000 </v>
      </c>
      <c r="BE425" t="str">
        <f t="shared" si="226"/>
        <v>-text 36459.2615105996,352 3.5 90 ZG72+920.523 </v>
      </c>
      <c r="BF425" t="str">
        <f t="shared" si="227"/>
        <v>-text 36459.2615105996,280 3.5 90 IP224 </v>
      </c>
      <c r="BG425" t="str">
        <f t="shared" si="228"/>
        <v>-TEXT 36461.2615105996,300 3.5 0 R=12</v>
      </c>
      <c r="BH425" t="str">
        <f t="shared" si="229"/>
        <v>-TEXT 36461.2615105996,295 3.5 0 α=15.40° </v>
      </c>
      <c r="BI425" t="str">
        <f t="shared" si="230"/>
        <v>-TEXT 36461.2615105996,290 3.5 0 T=1.62 </v>
      </c>
      <c r="BJ425" t="str">
        <f t="shared" si="231"/>
        <v>-TEXT 36461.2615105996,285 3.5 0 S=3.23 </v>
      </c>
    </row>
    <row r="426" spans="1:62">
      <c r="A426">
        <v>0</v>
      </c>
      <c r="B426">
        <v>425</v>
      </c>
      <c r="C426" t="s">
        <v>846</v>
      </c>
      <c r="D426" s="47">
        <v>489801.1826</v>
      </c>
      <c r="E426" s="47">
        <v>3363532.1809</v>
      </c>
      <c r="F426">
        <v>12</v>
      </c>
      <c r="G426">
        <f t="shared" si="205"/>
        <v>17.717</v>
      </c>
      <c r="H426">
        <f t="shared" si="206"/>
        <v>1.87024597971084</v>
      </c>
      <c r="I426">
        <f t="shared" si="207"/>
        <v>3.71063980291002</v>
      </c>
      <c r="J426">
        <f t="shared" si="208"/>
        <v>644.960815932088</v>
      </c>
      <c r="K426" s="40">
        <f t="shared" si="209"/>
        <v>73563.6038098102</v>
      </c>
      <c r="L426" s="40">
        <f t="shared" si="210"/>
        <v>73565.4591297117</v>
      </c>
      <c r="M426" s="40">
        <f t="shared" si="211"/>
        <v>73567.3144496131</v>
      </c>
      <c r="N426" s="47"/>
      <c r="O426" s="47">
        <v>446.281</v>
      </c>
      <c r="P426" s="47">
        <v>0</v>
      </c>
      <c r="Q426" s="39">
        <f t="shared" si="212"/>
        <v>489800.042483881</v>
      </c>
      <c r="R426" s="39">
        <f t="shared" si="213"/>
        <v>3363533.66345026</v>
      </c>
      <c r="S426" s="39">
        <f t="shared" si="214"/>
        <v>489801.28246718</v>
      </c>
      <c r="T426" s="39">
        <f t="shared" si="215"/>
        <v>3363532.28584258</v>
      </c>
      <c r="U426" s="39">
        <f t="shared" si="216"/>
        <v>489802.71980234</v>
      </c>
      <c r="V426" s="39">
        <f t="shared" si="217"/>
        <v>3363531.11561647</v>
      </c>
      <c r="AI426" t="str">
        <f t="array" ref="AI426">IFERROR(INDEX($L$2:$L$789,SMALL(IF(ISNUMBER(FIND($AH$2,$C$2:$C$789)),ROW($2:$789)-1,4^8),ROW(A425)))&amp;"","")</f>
        <v/>
      </c>
      <c r="AS426" t="str">
        <f t="shared" si="233"/>
        <v>-text 489801.1826,3363532.1809 10 0 IP225</v>
      </c>
      <c r="AT426" t="str">
        <f t="shared" si="218"/>
        <v>489801.1826,3363532.1809</v>
      </c>
      <c r="AV426">
        <f t="shared" si="204"/>
        <v>451.681</v>
      </c>
      <c r="AX426" t="str">
        <f t="shared" si="219"/>
        <v>pl 36782.7295648558,279 36782.7295648558,400 </v>
      </c>
      <c r="AY426" t="str">
        <f t="shared" si="220"/>
        <v>36782.7295648558,446.281</v>
      </c>
      <c r="AZ426" t="str">
        <f t="shared" si="221"/>
        <v>36782.7295648558,</v>
      </c>
      <c r="BA426" t="str">
        <f t="shared" si="222"/>
        <v>36782.7295648558,451.681</v>
      </c>
      <c r="BB426" t="str">
        <f t="shared" si="223"/>
        <v>-text 36781.7295648558,337 3.5 90 446.281 </v>
      </c>
      <c r="BC426" t="str">
        <f t="shared" si="224"/>
        <v>-text 36781.7295648558,320 3.5 90 451.681 </v>
      </c>
      <c r="BD426" t="str">
        <f t="shared" si="225"/>
        <v>-text 36781.7295648558,306 3.5 90 0.000 </v>
      </c>
      <c r="BE426" t="str">
        <f t="shared" si="226"/>
        <v>-text 36781.7295648558,352 3.5 90 ZG73+565.459 </v>
      </c>
      <c r="BF426" t="str">
        <f t="shared" si="227"/>
        <v>-text 36781.7295648558,280 3.5 90 IP225 </v>
      </c>
      <c r="BG426" t="str">
        <f t="shared" si="228"/>
        <v>-TEXT 36783.7295648558,300 3.5 0 R=12</v>
      </c>
      <c r="BH426" t="str">
        <f t="shared" si="229"/>
        <v>-TEXT 36783.7295648558,295 3.5 0 α=17.72° </v>
      </c>
      <c r="BI426" t="str">
        <f t="shared" si="230"/>
        <v>-TEXT 36783.7295648558,290 3.5 0 T=1.87 </v>
      </c>
      <c r="BJ426" t="str">
        <f t="shared" si="231"/>
        <v>-TEXT 36783.7295648558,285 3.5 0 S=3.71 </v>
      </c>
    </row>
    <row r="427" spans="1:62">
      <c r="A427">
        <v>0</v>
      </c>
      <c r="B427">
        <v>426</v>
      </c>
      <c r="C427" t="s">
        <v>847</v>
      </c>
      <c r="D427" s="47">
        <v>490042.7929</v>
      </c>
      <c r="E427" s="47">
        <v>3363364.7446</v>
      </c>
      <c r="F427">
        <v>12</v>
      </c>
      <c r="G427">
        <f t="shared" si="205"/>
        <v>42.089</v>
      </c>
      <c r="H427">
        <f t="shared" si="206"/>
        <v>4.61706499528268</v>
      </c>
      <c r="I427">
        <f t="shared" si="207"/>
        <v>8.81509954646272</v>
      </c>
      <c r="J427">
        <f t="shared" si="208"/>
        <v>293.956547169542</v>
      </c>
      <c r="K427" s="40">
        <f t="shared" si="209"/>
        <v>73854.7836858077</v>
      </c>
      <c r="L427" s="40">
        <f t="shared" si="210"/>
        <v>73859.1912355809</v>
      </c>
      <c r="M427" s="40">
        <f t="shared" si="211"/>
        <v>73863.5987853542</v>
      </c>
      <c r="N427" s="47"/>
      <c r="O427" s="47">
        <v>446.281</v>
      </c>
      <c r="P427" s="47">
        <v>0</v>
      </c>
      <c r="Q427" s="39">
        <f t="shared" si="212"/>
        <v>490038.998017833</v>
      </c>
      <c r="R427" s="39">
        <f t="shared" si="213"/>
        <v>3363367.37445903</v>
      </c>
      <c r="S427" s="39">
        <f t="shared" si="214"/>
        <v>490042.083886443</v>
      </c>
      <c r="T427" s="39">
        <f t="shared" si="215"/>
        <v>3363364.2621534</v>
      </c>
      <c r="U427" s="39">
        <f t="shared" si="216"/>
        <v>490043.84630778</v>
      </c>
      <c r="V427" s="39">
        <f t="shared" si="217"/>
        <v>3363360.24931122</v>
      </c>
      <c r="AI427" t="str">
        <f t="array" ref="AI427">IFERROR(INDEX($L$2:$L$789,SMALL(IF(ISNUMBER(FIND($AH$2,$C$2:$C$789)),ROW($2:$789)-1,4^8),ROW(A426)))&amp;"","")</f>
        <v/>
      </c>
      <c r="AS427" t="str">
        <f t="shared" si="233"/>
        <v>-text 490042.7929,3363364.7446 10 0 IP226</v>
      </c>
      <c r="AT427" t="str">
        <f t="shared" si="218"/>
        <v>490042.7929,3363364.7446</v>
      </c>
      <c r="AV427">
        <f t="shared" si="204"/>
        <v>451.681</v>
      </c>
      <c r="AX427" t="str">
        <f t="shared" si="219"/>
        <v>pl 36929.5956177905,279 36929.5956177905,400 </v>
      </c>
      <c r="AY427" t="str">
        <f t="shared" si="220"/>
        <v>36929.5956177905,446.281</v>
      </c>
      <c r="AZ427" t="str">
        <f t="shared" si="221"/>
        <v>36929.5956177905,</v>
      </c>
      <c r="BA427" t="str">
        <f t="shared" si="222"/>
        <v>36929.5956177905,451.681</v>
      </c>
      <c r="BB427" t="str">
        <f t="shared" si="223"/>
        <v>-text 36928.5956177905,337 3.5 90 446.281 </v>
      </c>
      <c r="BC427" t="str">
        <f t="shared" si="224"/>
        <v>-text 36928.5956177905,320 3.5 90 451.681 </v>
      </c>
      <c r="BD427" t="str">
        <f t="shared" si="225"/>
        <v>-text 36928.5956177905,306 3.5 90 0.000 </v>
      </c>
      <c r="BE427" t="str">
        <f t="shared" si="226"/>
        <v>-text 36928.5956177905,352 3.5 90 ZG73+859.191 </v>
      </c>
      <c r="BF427" t="str">
        <f t="shared" si="227"/>
        <v>-text 36928.5956177905,280 3.5 90 IP226 </v>
      </c>
      <c r="BG427" t="str">
        <f t="shared" si="228"/>
        <v>-TEXT 36930.5956177905,300 3.5 0 R=12</v>
      </c>
      <c r="BH427" t="str">
        <f t="shared" si="229"/>
        <v>-TEXT 36930.5956177905,295 3.5 0 α=42.09° </v>
      </c>
      <c r="BI427" t="str">
        <f t="shared" si="230"/>
        <v>-TEXT 36930.5956177905,290 3.5 0 T=4.62 </v>
      </c>
      <c r="BJ427" t="str">
        <f t="shared" si="231"/>
        <v>-TEXT 36930.5956177905,285 3.5 0 S=8.82 </v>
      </c>
    </row>
    <row r="428" spans="1:62">
      <c r="A428">
        <v>0</v>
      </c>
      <c r="B428">
        <v>427</v>
      </c>
      <c r="C428" t="s">
        <v>848</v>
      </c>
      <c r="D428" s="47">
        <v>490066.3764</v>
      </c>
      <c r="E428" s="47">
        <v>3363264.1049</v>
      </c>
      <c r="F428">
        <v>12</v>
      </c>
      <c r="G428">
        <f t="shared" si="205"/>
        <v>30.33</v>
      </c>
      <c r="H428">
        <f t="shared" si="206"/>
        <v>3.25245765165999</v>
      </c>
      <c r="I428">
        <f t="shared" si="207"/>
        <v>6.35230034555856</v>
      </c>
      <c r="J428">
        <f t="shared" si="208"/>
        <v>103.366003542179</v>
      </c>
      <c r="K428" s="40">
        <f t="shared" si="209"/>
        <v>73959.0952662494</v>
      </c>
      <c r="L428" s="40">
        <f t="shared" si="210"/>
        <v>73962.2714164222</v>
      </c>
      <c r="M428" s="40">
        <f t="shared" si="211"/>
        <v>73965.4475665949</v>
      </c>
      <c r="N428" s="47"/>
      <c r="O428" s="47">
        <v>446.281</v>
      </c>
      <c r="P428" s="47">
        <v>0</v>
      </c>
      <c r="Q428" s="39">
        <f t="shared" si="212"/>
        <v>490065.634334597</v>
      </c>
      <c r="R428" s="39">
        <f t="shared" si="213"/>
        <v>3363267.27157329</v>
      </c>
      <c r="S428" s="39">
        <f t="shared" si="214"/>
        <v>490066.757417873</v>
      </c>
      <c r="T428" s="39">
        <f t="shared" si="215"/>
        <v>3363264.31051551</v>
      </c>
      <c r="U428" s="39">
        <f t="shared" si="216"/>
        <v>490068.616000124</v>
      </c>
      <c r="V428" s="39">
        <f t="shared" si="217"/>
        <v>3363261.74636824</v>
      </c>
      <c r="AI428" t="str">
        <f t="array" ref="AI428">IFERROR(INDEX($L$2:$L$789,SMALL(IF(ISNUMBER(FIND($AH$2,$C$2:$C$789)),ROW($2:$789)-1,4^8),ROW(A427)))&amp;"","")</f>
        <v/>
      </c>
      <c r="AS428" t="str">
        <f t="shared" si="233"/>
        <v>-text 490066.3764,3363264.1049 10 0 IP227</v>
      </c>
      <c r="AT428" t="str">
        <f t="shared" si="218"/>
        <v>490066.3764,3363264.1049</v>
      </c>
      <c r="AV428">
        <f t="shared" si="204"/>
        <v>451.681</v>
      </c>
      <c r="AX428" t="str">
        <f t="shared" si="219"/>
        <v>pl 36981.1357082111,279 36981.1357082111,400 </v>
      </c>
      <c r="AY428" t="str">
        <f t="shared" si="220"/>
        <v>36981.1357082111,446.281</v>
      </c>
      <c r="AZ428" t="str">
        <f t="shared" si="221"/>
        <v>36981.1357082111,</v>
      </c>
      <c r="BA428" t="str">
        <f t="shared" si="222"/>
        <v>36981.1357082111,451.681</v>
      </c>
      <c r="BB428" t="str">
        <f t="shared" si="223"/>
        <v>-text 36980.1357082111,337 3.5 90 446.281 </v>
      </c>
      <c r="BC428" t="str">
        <f t="shared" si="224"/>
        <v>-text 36980.1357082111,320 3.5 90 451.681 </v>
      </c>
      <c r="BD428" t="str">
        <f t="shared" si="225"/>
        <v>-text 36980.1357082111,306 3.5 90 0.000 </v>
      </c>
      <c r="BE428" t="str">
        <f t="shared" si="226"/>
        <v>-text 36980.1357082111,352 3.5 90 ZG73+962.271 </v>
      </c>
      <c r="BF428" t="str">
        <f t="shared" si="227"/>
        <v>-text 36980.1357082111,280 3.5 90 IP227 </v>
      </c>
      <c r="BG428" t="str">
        <f t="shared" si="228"/>
        <v>-TEXT 36982.1357082111,300 3.5 0 R=12</v>
      </c>
      <c r="BH428" t="str">
        <f t="shared" si="229"/>
        <v>-TEXT 36982.1357082111,295 3.5 0 α=30.33° </v>
      </c>
      <c r="BI428" t="str">
        <f t="shared" si="230"/>
        <v>-TEXT 36982.1357082111,290 3.5 0 T=3.25 </v>
      </c>
      <c r="BJ428" t="str">
        <f t="shared" si="231"/>
        <v>-TEXT 36982.1357082111,285 3.5 0 S=6.35 </v>
      </c>
    </row>
    <row r="429" spans="1:62">
      <c r="A429">
        <v>0</v>
      </c>
      <c r="B429">
        <v>428</v>
      </c>
      <c r="C429" t="s">
        <v>849</v>
      </c>
      <c r="D429" s="47">
        <v>490183.3093</v>
      </c>
      <c r="E429" s="47">
        <v>3363140.9624</v>
      </c>
      <c r="F429">
        <v>12</v>
      </c>
      <c r="G429">
        <f t="shared" si="205"/>
        <v>34.955</v>
      </c>
      <c r="H429">
        <f t="shared" si="206"/>
        <v>3.7784052444403</v>
      </c>
      <c r="I429">
        <f t="shared" si="207"/>
        <v>7.32095808041541</v>
      </c>
      <c r="J429">
        <f t="shared" si="208"/>
        <v>169.815718968185</v>
      </c>
      <c r="K429" s="40">
        <f t="shared" si="209"/>
        <v>74128.232422667</v>
      </c>
      <c r="L429" s="40">
        <f t="shared" si="210"/>
        <v>74131.8929017072</v>
      </c>
      <c r="M429" s="40">
        <f t="shared" si="211"/>
        <v>74135.5533807474</v>
      </c>
      <c r="N429" s="47"/>
      <c r="O429" s="47">
        <v>446.281</v>
      </c>
      <c r="P429" s="47">
        <v>0</v>
      </c>
      <c r="Q429" s="39">
        <f t="shared" si="212"/>
        <v>490180.70753919</v>
      </c>
      <c r="R429" s="39">
        <f t="shared" si="213"/>
        <v>3363143.70232461</v>
      </c>
      <c r="S429" s="39">
        <f t="shared" si="214"/>
        <v>490182.787471607</v>
      </c>
      <c r="T429" s="39">
        <f t="shared" si="215"/>
        <v>3363140.70742543</v>
      </c>
      <c r="U429" s="39">
        <f t="shared" si="216"/>
        <v>490183.871927691</v>
      </c>
      <c r="V429" s="39">
        <f t="shared" si="217"/>
        <v>3363137.22611893</v>
      </c>
      <c r="AI429" t="str">
        <f t="array" ref="AI429">IFERROR(INDEX($L$2:$L$789,SMALL(IF(ISNUMBER(FIND($AH$2,$C$2:$C$789)),ROW($2:$789)-1,4^8),ROW(A428)))&amp;"","")</f>
        <v/>
      </c>
      <c r="AS429" t="str">
        <f t="shared" si="233"/>
        <v>-text 490183.3093,3363140.9624 10 0 IP228</v>
      </c>
      <c r="AT429" t="str">
        <f t="shared" si="218"/>
        <v>490183.3093,3363140.9624</v>
      </c>
      <c r="AV429">
        <f t="shared" si="204"/>
        <v>451.681</v>
      </c>
      <c r="AX429" t="str">
        <f t="shared" si="219"/>
        <v>pl 37065.9464508536,279 37065.9464508536,400 </v>
      </c>
      <c r="AY429" t="str">
        <f t="shared" si="220"/>
        <v>37065.9464508536,446.281</v>
      </c>
      <c r="AZ429" t="str">
        <f t="shared" si="221"/>
        <v>37065.9464508536,</v>
      </c>
      <c r="BA429" t="str">
        <f t="shared" si="222"/>
        <v>37065.9464508536,451.681</v>
      </c>
      <c r="BB429" t="str">
        <f t="shared" si="223"/>
        <v>-text 37064.9464508536,337 3.5 90 446.281 </v>
      </c>
      <c r="BC429" t="str">
        <f t="shared" si="224"/>
        <v>-text 37064.9464508536,320 3.5 90 451.681 </v>
      </c>
      <c r="BD429" t="str">
        <f t="shared" si="225"/>
        <v>-text 37064.9464508536,306 3.5 90 0.000 </v>
      </c>
      <c r="BE429" t="str">
        <f t="shared" si="226"/>
        <v>-text 37064.9464508536,352 3.5 90 ZG74+131.893 </v>
      </c>
      <c r="BF429" t="str">
        <f t="shared" si="227"/>
        <v>-text 37064.9464508536,280 3.5 90 IP228 </v>
      </c>
      <c r="BG429" t="str">
        <f t="shared" si="228"/>
        <v>-TEXT 37066.9464508536,300 3.5 0 R=12</v>
      </c>
      <c r="BH429" t="str">
        <f t="shared" si="229"/>
        <v>-TEXT 37066.9464508536,295 3.5 0 α=34.96° </v>
      </c>
      <c r="BI429" t="str">
        <f t="shared" si="230"/>
        <v>-TEXT 37066.9464508536,290 3.5 0 T=3.78 </v>
      </c>
      <c r="BJ429" t="str">
        <f t="shared" si="231"/>
        <v>-TEXT 37066.9464508536,285 3.5 0 S=7.32 </v>
      </c>
    </row>
    <row r="430" spans="1:62">
      <c r="A430">
        <v>0</v>
      </c>
      <c r="B430">
        <v>429</v>
      </c>
      <c r="C430" t="s">
        <v>850</v>
      </c>
      <c r="D430" s="47">
        <v>490197.0086</v>
      </c>
      <c r="E430" s="47">
        <v>3363049.9885</v>
      </c>
      <c r="F430">
        <v>12</v>
      </c>
      <c r="G430">
        <f t="shared" si="205"/>
        <v>65.98</v>
      </c>
      <c r="H430">
        <f t="shared" si="206"/>
        <v>7.78991379098504</v>
      </c>
      <c r="I430">
        <f t="shared" si="207"/>
        <v>13.8188188855903</v>
      </c>
      <c r="J430">
        <f t="shared" si="208"/>
        <v>91.9995722909484</v>
      </c>
      <c r="K430" s="40">
        <f t="shared" si="209"/>
        <v>74215.984634003</v>
      </c>
      <c r="L430" s="40">
        <f t="shared" si="210"/>
        <v>74222.8940434458</v>
      </c>
      <c r="M430" s="40">
        <f t="shared" si="211"/>
        <v>74229.8034528885</v>
      </c>
      <c r="N430" s="47"/>
      <c r="O430" s="47">
        <v>446.281</v>
      </c>
      <c r="P430" s="47">
        <v>0</v>
      </c>
      <c r="Q430" s="39">
        <f t="shared" si="212"/>
        <v>490195.848634107</v>
      </c>
      <c r="R430" s="39">
        <f t="shared" si="213"/>
        <v>3363057.69156666</v>
      </c>
      <c r="S430" s="39">
        <f t="shared" si="214"/>
        <v>490198.734818076</v>
      </c>
      <c r="T430" s="39">
        <f t="shared" si="215"/>
        <v>3363051.51861335</v>
      </c>
      <c r="U430" s="39">
        <f t="shared" si="216"/>
        <v>490204.516786769</v>
      </c>
      <c r="V430" s="39">
        <f t="shared" si="217"/>
        <v>3363047.91247295</v>
      </c>
      <c r="AI430" t="str">
        <f t="array" ref="AI430">IFERROR(INDEX($L$2:$L$789,SMALL(IF(ISNUMBER(FIND($AH$2,$C$2:$C$789)),ROW($2:$789)-1,4^8),ROW(A429)))&amp;"","")</f>
        <v/>
      </c>
      <c r="AS430" t="str">
        <f t="shared" si="233"/>
        <v>-text 490197.0086,3363049.9885 10 0 IP229</v>
      </c>
      <c r="AT430" t="str">
        <f t="shared" si="218"/>
        <v>490197.0086,3363049.9885</v>
      </c>
      <c r="AV430">
        <f t="shared" si="204"/>
        <v>451.681</v>
      </c>
      <c r="AX430" t="str">
        <f t="shared" si="219"/>
        <v>pl 37111.4470217229,279 37111.4470217229,400 </v>
      </c>
      <c r="AY430" t="str">
        <f t="shared" si="220"/>
        <v>37111.4470217229,446.281</v>
      </c>
      <c r="AZ430" t="str">
        <f t="shared" si="221"/>
        <v>37111.4470217229,</v>
      </c>
      <c r="BA430" t="str">
        <f t="shared" si="222"/>
        <v>37111.4470217229,451.681</v>
      </c>
      <c r="BB430" t="str">
        <f t="shared" si="223"/>
        <v>-text 37110.4470217229,337 3.5 90 446.281 </v>
      </c>
      <c r="BC430" t="str">
        <f t="shared" si="224"/>
        <v>-text 37110.4470217229,320 3.5 90 451.681 </v>
      </c>
      <c r="BD430" t="str">
        <f t="shared" si="225"/>
        <v>-text 37110.4470217229,306 3.5 90 0.000 </v>
      </c>
      <c r="BE430" t="str">
        <f t="shared" si="226"/>
        <v>-text 37110.4470217229,352 3.5 90 ZG74+222.894 </v>
      </c>
      <c r="BF430" t="str">
        <f t="shared" si="227"/>
        <v>-text 37110.4470217229,280 3.5 90 IP229 </v>
      </c>
      <c r="BG430" t="str">
        <f t="shared" si="228"/>
        <v>-TEXT 37112.4470217229,300 3.5 0 R=12</v>
      </c>
      <c r="BH430" t="str">
        <f t="shared" si="229"/>
        <v>-TEXT 37112.4470217229,295 3.5 0 α=65.98° </v>
      </c>
      <c r="BI430" t="str">
        <f t="shared" si="230"/>
        <v>-TEXT 37112.4470217229,290 3.5 0 T=7.79 </v>
      </c>
      <c r="BJ430" t="str">
        <f t="shared" si="231"/>
        <v>-TEXT 37112.4470217229,285 3.5 0 S=13.82 </v>
      </c>
    </row>
    <row r="431" spans="1:62">
      <c r="A431">
        <v>0</v>
      </c>
      <c r="B431">
        <v>430</v>
      </c>
      <c r="C431" t="s">
        <v>851</v>
      </c>
      <c r="D431" s="47">
        <v>490337.8576</v>
      </c>
      <c r="E431" s="47">
        <v>3363011.0435</v>
      </c>
      <c r="F431">
        <v>12</v>
      </c>
      <c r="G431">
        <f t="shared" si="205"/>
        <v>67.995</v>
      </c>
      <c r="H431">
        <f t="shared" si="206"/>
        <v>8.09334040834374</v>
      </c>
      <c r="I431">
        <f t="shared" si="207"/>
        <v>14.2408394987225</v>
      </c>
      <c r="J431">
        <f t="shared" si="208"/>
        <v>146.134026927281</v>
      </c>
      <c r="K431" s="40">
        <f t="shared" si="209"/>
        <v>74360.0542256165</v>
      </c>
      <c r="L431" s="40">
        <f t="shared" si="210"/>
        <v>74367.1746453659</v>
      </c>
      <c r="M431" s="40">
        <f t="shared" si="211"/>
        <v>74374.2950651152</v>
      </c>
      <c r="N431" s="47"/>
      <c r="O431" s="47">
        <v>446.281</v>
      </c>
      <c r="P431" s="47">
        <v>0</v>
      </c>
      <c r="Q431" s="39">
        <f t="shared" si="212"/>
        <v>490330.056960223</v>
      </c>
      <c r="R431" s="39">
        <f t="shared" si="213"/>
        <v>3363013.20039083</v>
      </c>
      <c r="S431" s="39">
        <f t="shared" si="214"/>
        <v>490335.977516248</v>
      </c>
      <c r="T431" s="39">
        <f t="shared" si="215"/>
        <v>3363009.43512396</v>
      </c>
      <c r="U431" s="39">
        <f t="shared" si="216"/>
        <v>490338.780660389</v>
      </c>
      <c r="V431" s="39">
        <f t="shared" si="217"/>
        <v>3363003.00297026</v>
      </c>
      <c r="AI431" t="str">
        <f t="array" ref="AI431">IFERROR(INDEX($L$2:$L$789,SMALL(IF(ISNUMBER(FIND($AH$2,$C$2:$C$789)),ROW($2:$789)-1,4^8),ROW(A430)))&amp;"","")</f>
        <v/>
      </c>
      <c r="AS431" t="str">
        <f t="shared" si="233"/>
        <v>-text 490337.8576,3363011.0435 10 0 IP230</v>
      </c>
      <c r="AT431" t="str">
        <f t="shared" si="218"/>
        <v>490337.8576,3363011.0435</v>
      </c>
      <c r="AV431">
        <f t="shared" si="204"/>
        <v>451.681</v>
      </c>
      <c r="AX431" t="str">
        <f t="shared" si="219"/>
        <v>pl 37183.5873226829,279 37183.5873226829,400 </v>
      </c>
      <c r="AY431" t="str">
        <f t="shared" si="220"/>
        <v>37183.5873226829,446.281</v>
      </c>
      <c r="AZ431" t="str">
        <f t="shared" si="221"/>
        <v>37183.5873226829,</v>
      </c>
      <c r="BA431" t="str">
        <f t="shared" si="222"/>
        <v>37183.5873226829,451.681</v>
      </c>
      <c r="BB431" t="str">
        <f t="shared" si="223"/>
        <v>-text 37182.5873226829,337 3.5 90 446.281 </v>
      </c>
      <c r="BC431" t="str">
        <f t="shared" si="224"/>
        <v>-text 37182.5873226829,320 3.5 90 451.681 </v>
      </c>
      <c r="BD431" t="str">
        <f t="shared" si="225"/>
        <v>-text 37182.5873226829,306 3.5 90 0.000 </v>
      </c>
      <c r="BE431" t="str">
        <f t="shared" si="226"/>
        <v>-text 37182.5873226829,352 3.5 90 ZG74+367.175 </v>
      </c>
      <c r="BF431" t="str">
        <f t="shared" si="227"/>
        <v>-text 37182.5873226829,280 3.5 90 IP230 </v>
      </c>
      <c r="BG431" t="str">
        <f t="shared" si="228"/>
        <v>-TEXT 37184.5873226829,300 3.5 0 R=12</v>
      </c>
      <c r="BH431" t="str">
        <f t="shared" si="229"/>
        <v>-TEXT 37184.5873226829,295 3.5 0 α=68.00° </v>
      </c>
      <c r="BI431" t="str">
        <f t="shared" si="230"/>
        <v>-TEXT 37184.5873226829,290 3.5 0 T=8.09 </v>
      </c>
      <c r="BJ431" t="str">
        <f t="shared" si="231"/>
        <v>-TEXT 37184.5873226829,285 3.5 0 S=14.24 </v>
      </c>
    </row>
    <row r="432" s="37" customFormat="1" spans="1:62">
      <c r="A432" s="37">
        <v>0</v>
      </c>
      <c r="B432" s="37">
        <v>431</v>
      </c>
      <c r="C432" s="57" t="str">
        <f>Sheet1!C392</f>
        <v>宋家沟倒虹管出</v>
      </c>
      <c r="D432" s="57">
        <v>490368.801</v>
      </c>
      <c r="E432" s="57">
        <v>3362741.5039</v>
      </c>
      <c r="G432" s="37">
        <f t="shared" si="205"/>
        <v>0</v>
      </c>
      <c r="H432" s="37">
        <f t="shared" si="206"/>
        <v>0</v>
      </c>
      <c r="I432" s="37">
        <f t="shared" si="207"/>
        <v>0</v>
      </c>
      <c r="J432" s="37">
        <f t="shared" si="208"/>
        <v>271.309951848167</v>
      </c>
      <c r="K432" s="52">
        <f t="shared" si="209"/>
        <v>74637.511676555</v>
      </c>
      <c r="L432" s="52">
        <f t="shared" si="210"/>
        <v>74637.511676555</v>
      </c>
      <c r="M432" s="52">
        <f t="shared" si="211"/>
        <v>74637.511676555</v>
      </c>
      <c r="N432" s="57">
        <v>445.989</v>
      </c>
      <c r="O432" s="57">
        <v>442.381</v>
      </c>
      <c r="P432" s="57">
        <v>0</v>
      </c>
      <c r="Q432" s="51">
        <f t="shared" si="212"/>
        <v>490368.801</v>
      </c>
      <c r="R432" s="51">
        <f t="shared" si="213"/>
        <v>3362741.5039</v>
      </c>
      <c r="S432" s="51" t="str">
        <f t="shared" si="214"/>
        <v> </v>
      </c>
      <c r="T432" s="51" t="str">
        <f t="shared" si="215"/>
        <v> </v>
      </c>
      <c r="U432" s="51" t="str">
        <f>IF(G432=0," ",D432+(D434-D432)/J434*H432)</f>
        <v> </v>
      </c>
      <c r="V432" s="51" t="str">
        <f>IF(G432=0," ",E432+(E434-E432)/J434*H432)</f>
        <v> </v>
      </c>
      <c r="AI432" s="37" t="str">
        <f t="array" ref="AI432">IFERROR(INDEX($L$2:$L$789,SMALL(IF(ISNUMBER(FIND($AH$2,$C$2:$C$789)),ROW($2:$789)-1,4^8),ROW(A431)))&amp;"","")</f>
        <v/>
      </c>
      <c r="AT432" s="37" t="str">
        <f t="shared" si="218"/>
        <v>490368.801,3362741.5039</v>
      </c>
      <c r="AV432" s="37">
        <f t="shared" si="204"/>
        <v>447.781</v>
      </c>
      <c r="AX432" s="37" t="str">
        <f t="shared" si="219"/>
        <v>pl 37318.7558382775,279 37318.7558382775,400 </v>
      </c>
      <c r="AY432" s="37" t="str">
        <f t="shared" si="220"/>
        <v>37318.7558382775,442.381</v>
      </c>
      <c r="AZ432" s="37" t="str">
        <f t="shared" si="221"/>
        <v>37318.7558382775,445.989</v>
      </c>
      <c r="BA432" s="37" t="str">
        <f t="shared" si="222"/>
        <v>37318.7558382775,447.781</v>
      </c>
      <c r="BB432" s="37" t="str">
        <f t="shared" si="223"/>
        <v>-text 37317.7558382775,337 3.5 90 442.381 </v>
      </c>
      <c r="BC432" s="37" t="str">
        <f t="shared" si="224"/>
        <v>-text 37317.7558382775,320 3.5 90 447.781 </v>
      </c>
      <c r="BD432" s="37" t="str">
        <f t="shared" si="225"/>
        <v>-text 37317.7558382775,306 3.5 90 445.989 </v>
      </c>
      <c r="BE432" s="37" t="str">
        <f t="shared" si="226"/>
        <v>-text 37317.7558382775,352 3.5 90 ZG74+637.512 </v>
      </c>
      <c r="BF432" s="37" t="str">
        <f t="shared" si="227"/>
        <v>-text 37317.7558382775,280 3.5 90 宋家沟倒虹管出 </v>
      </c>
      <c r="BG432" s="37" t="str">
        <f t="shared" si="228"/>
        <v/>
      </c>
      <c r="BH432" s="37" t="str">
        <f t="shared" si="229"/>
        <v> </v>
      </c>
      <c r="BI432" s="37" t="str">
        <f t="shared" si="230"/>
        <v> </v>
      </c>
      <c r="BJ432" s="37" t="str">
        <f t="shared" si="231"/>
        <v> </v>
      </c>
    </row>
    <row r="433" s="37" customFormat="1" spans="1:62">
      <c r="A433" s="37">
        <v>0</v>
      </c>
      <c r="B433" s="37">
        <v>432</v>
      </c>
      <c r="C433" s="57" t="s">
        <v>852</v>
      </c>
      <c r="D433" s="57">
        <v>490368.801</v>
      </c>
      <c r="E433" s="57">
        <v>3362741.5039</v>
      </c>
      <c r="F433" s="37"/>
      <c r="G433" s="37">
        <f t="shared" si="205"/>
        <v>0</v>
      </c>
      <c r="H433" s="37">
        <f t="shared" si="206"/>
        <v>0</v>
      </c>
      <c r="I433" s="37">
        <f t="shared" si="207"/>
        <v>0</v>
      </c>
      <c r="J433" s="37">
        <f t="shared" si="208"/>
        <v>0</v>
      </c>
      <c r="K433" s="52">
        <f t="shared" si="209"/>
        <v>74637.511676555</v>
      </c>
      <c r="L433" s="52">
        <f t="shared" si="210"/>
        <v>74637.511676555</v>
      </c>
      <c r="M433" s="52">
        <f t="shared" si="211"/>
        <v>74637.511676555</v>
      </c>
      <c r="N433" s="57">
        <v>445.989</v>
      </c>
      <c r="O433" s="57">
        <v>442.381</v>
      </c>
      <c r="P433" s="57">
        <v>0</v>
      </c>
      <c r="Q433" s="51">
        <f t="shared" si="212"/>
        <v>490368.801</v>
      </c>
      <c r="R433" s="51">
        <f t="shared" si="213"/>
        <v>3362741.5039</v>
      </c>
      <c r="S433" s="51"/>
      <c r="T433" s="51"/>
      <c r="U433" s="51"/>
      <c r="V433" s="51"/>
    </row>
    <row r="434" spans="1:62">
      <c r="A434">
        <v>0</v>
      </c>
      <c r="B434">
        <v>433</v>
      </c>
      <c r="C434" t="s">
        <v>413</v>
      </c>
      <c r="D434">
        <v>490380.6894</v>
      </c>
      <c r="E434">
        <v>3362637.948</v>
      </c>
      <c r="F434">
        <v>80</v>
      </c>
      <c r="G434">
        <f t="shared" si="205"/>
        <v>11.45</v>
      </c>
      <c r="H434">
        <f t="shared" si="206"/>
        <v>8.02031744389408</v>
      </c>
      <c r="I434">
        <f t="shared" si="207"/>
        <v>15.9872159482681</v>
      </c>
      <c r="J434">
        <f t="shared" si="208"/>
        <v>104.236070912987</v>
      </c>
      <c r="K434" s="40">
        <f t="shared" si="209"/>
        <v>74733.7274300241</v>
      </c>
      <c r="L434" s="40">
        <f t="shared" si="210"/>
        <v>74741.7210379983</v>
      </c>
      <c r="M434" s="40">
        <f t="shared" si="211"/>
        <v>74749.7146459724</v>
      </c>
      <c r="N434">
        <v>445.969</v>
      </c>
      <c r="O434">
        <v>442.054</v>
      </c>
      <c r="P434">
        <v>0.001</v>
      </c>
      <c r="Q434" s="39">
        <f t="shared" si="212"/>
        <v>490379.77466155</v>
      </c>
      <c r="R434" s="39">
        <f t="shared" si="213"/>
        <v>3362645.91598252</v>
      </c>
      <c r="S434" s="39">
        <f t="shared" ref="S434:S474" si="234">IF(G434=0," ",(Q434+U434)/2+(D434-(Q434+U434)/2)/(H434*SIN(G434/360*PI()))*(F434-F434*COS(G434/360*PI())))</f>
        <v>490380.288401876</v>
      </c>
      <c r="T434" s="39">
        <f t="shared" ref="T434:T474" si="235">IF(G434=0," ",(R434+V434)/2+(E434-(R434+V434)/2)/(H434*SIN(G434/360*PI()))*(F434-F434*COS(G434/360*PI())))</f>
        <v>3362637.94223378</v>
      </c>
      <c r="U434" s="39">
        <f t="shared" ref="U434:U473" si="236">IF(G434=0," ",D434+(D435-D434)/J435*H434)</f>
        <v>490380.004146201</v>
      </c>
      <c r="V434" s="39">
        <f t="shared" ref="V434:V473" si="237">IF(G434=0," ",E434+(E435-E434)/J435*H434)</f>
        <v>3362629.95701013</v>
      </c>
      <c r="AI434" t="str">
        <f t="array" ref="AI434">IFERROR(INDEX($L$2:$L$789,SMALL(IF(ISNUMBER(FIND($AH$2,$C$2:$C$789)),ROW($2:$789)-1,4^8),ROW(A432)))&amp;"","")</f>
        <v/>
      </c>
      <c r="AS434" t="str">
        <f>"-text"&amp;" "&amp;D434&amp;","&amp;E434&amp;" "&amp;"10"&amp;" "&amp;"0"&amp;" "&amp;C434</f>
        <v>-text 490380.6894,3362637.948 10 0 IP231</v>
      </c>
      <c r="AT434" t="str">
        <f t="shared" ref="AT434:AT474" si="238">D434&amp;","&amp;E434</f>
        <v>490380.6894,3362637.948</v>
      </c>
      <c r="AV434">
        <f>IF(A434=0,O434+5.4,IF(A434=1,O434+5.1,O434+4.25))</f>
        <v>447.454</v>
      </c>
      <c r="AX434" t="str">
        <f t="shared" ref="AX434:AX474" si="239">"pl "&amp;L434/2&amp;",279 "&amp;L434/2&amp;",400 "</f>
        <v>pl 37370.8605189991,279 37370.8605189991,400 </v>
      </c>
      <c r="AY434" t="str">
        <f t="shared" ref="AY434:AY474" si="240">L434/2&amp;","&amp;O434</f>
        <v>37370.8605189991,442.054</v>
      </c>
      <c r="AZ434" t="str">
        <f t="shared" ref="AZ434:AZ474" si="241">L434/2&amp;","&amp;N434</f>
        <v>37370.8605189991,445.969</v>
      </c>
      <c r="BA434" t="str">
        <f t="shared" ref="BA434:BA474" si="242">L434/2&amp;","&amp;AV434</f>
        <v>37370.8605189991,447.454</v>
      </c>
      <c r="BB434" t="str">
        <f t="shared" ref="BB434:BB474" si="243">"-text "&amp;L434/2-1&amp;",337 3.5 90 "&amp;FIXED(O434,3)&amp;" "</f>
        <v>-text 37369.8605189991,337 3.5 90 442.054 </v>
      </c>
      <c r="BC434" t="str">
        <f t="shared" ref="BC434:BC474" si="244">"-text "&amp;L434/2-1&amp;",320 3.5 90 "&amp;FIXED(AV434,3)&amp;" "</f>
        <v>-text 37369.8605189991,320 3.5 90 447.454 </v>
      </c>
      <c r="BD434" t="str">
        <f t="shared" ref="BD434:BD474" si="245">"-text "&amp;L434/2-1&amp;",306 3.5 90 "&amp;FIXED(N434,3)&amp;" "</f>
        <v>-text 37369.8605189991,306 3.5 90 445.969 </v>
      </c>
      <c r="BE434" t="str">
        <f t="shared" ref="BE434:BE474" si="246">"-text "&amp;L434/2-1&amp;",352 3.5 90 "&amp;"ZG"&amp;TEXT(L434,"0+000.000")&amp;" "</f>
        <v>-text 37369.8605189991,352 3.5 90 ZG74+741.721 </v>
      </c>
      <c r="BF434" t="str">
        <f t="shared" ref="BF434:BF474" si="247">"-text "&amp;L434/2-1&amp;",280 3.5 90 "&amp;C434&amp;" "</f>
        <v>-text 37369.8605189991,280 3.5 90 IP231 </v>
      </c>
      <c r="BG434" t="str">
        <f t="shared" ref="BG434:BG474" si="248">IF(G434&lt;0.01,"",("-TEXT "&amp;L434/2+1&amp;",300 3.5 0 "&amp;"R="&amp;FIXED(F434,0)))</f>
        <v>-TEXT 37371.8605189991,300 3.5 0 R=80</v>
      </c>
      <c r="BH434" t="str">
        <f t="shared" ref="BH434:BH474" si="249">IF(G434&lt;0.01," ",("-TEXT "&amp;L434/2+1&amp;",295 3.5 0 "&amp;"α="&amp;FIXED(G434,2)&amp;"° "))</f>
        <v>-TEXT 37371.8605189991,295 3.5 0 α=11.45° </v>
      </c>
      <c r="BI434" t="str">
        <f t="shared" ref="BI434:BI474" si="250">IF(G434&lt;0.01," ",("-TEXT "&amp;L434/2+1&amp;",290 3.5 0 "&amp;"T="&amp;FIXED(H434,2)&amp;" "))</f>
        <v>-TEXT 37371.8605189991,290 3.5 0 T=8.02 </v>
      </c>
      <c r="BJ434" t="str">
        <f t="shared" ref="BJ434:BJ474" si="251">IF(G434&lt;0.01," ",("-TEXT "&amp;L434/2+1&amp;",285 3.5 0 "&amp;"S="&amp;FIXED(I434,2)&amp;" "))</f>
        <v>-TEXT 37371.8605189991,285 3.5 0 S=15.99 </v>
      </c>
    </row>
    <row r="435" spans="1:62">
      <c r="A435">
        <v>0</v>
      </c>
      <c r="B435">
        <v>434</v>
      </c>
      <c r="C435" t="s">
        <v>414</v>
      </c>
      <c r="D435">
        <v>490365.0546</v>
      </c>
      <c r="E435">
        <v>3362455.625</v>
      </c>
      <c r="F435">
        <v>80</v>
      </c>
      <c r="G435">
        <f t="shared" si="205"/>
        <v>11.361</v>
      </c>
      <c r="H435">
        <f t="shared" si="206"/>
        <v>7.95756409893942</v>
      </c>
      <c r="I435">
        <f t="shared" si="207"/>
        <v>15.8629485055261</v>
      </c>
      <c r="J435">
        <f t="shared" si="208"/>
        <v>182.992139995106</v>
      </c>
      <c r="K435" s="40">
        <f t="shared" si="209"/>
        <v>74916.7289044247</v>
      </c>
      <c r="L435" s="40">
        <f t="shared" si="210"/>
        <v>74924.6603786775</v>
      </c>
      <c r="M435" s="40">
        <f t="shared" si="211"/>
        <v>74932.5918529302</v>
      </c>
      <c r="N435">
        <v>445.935</v>
      </c>
      <c r="O435">
        <v>442.02</v>
      </c>
      <c r="P435">
        <v>0.001</v>
      </c>
      <c r="Q435" s="39">
        <f t="shared" si="212"/>
        <v>490365.73449217</v>
      </c>
      <c r="R435" s="39">
        <f t="shared" si="213"/>
        <v>3362463.55346599</v>
      </c>
      <c r="S435" s="39">
        <f t="shared" si="234"/>
        <v>490364.666515094</v>
      </c>
      <c r="T435" s="39">
        <f t="shared" si="235"/>
        <v>3362455.69750118</v>
      </c>
      <c r="U435" s="39">
        <f t="shared" si="236"/>
        <v>490362.826179731</v>
      </c>
      <c r="V435" s="39">
        <f t="shared" si="237"/>
        <v>3362447.98582665</v>
      </c>
      <c r="AI435" t="str">
        <f t="array" ref="AI435">IFERROR(INDEX($L$2:$L$789,SMALL(IF(ISNUMBER(FIND($AH$2,$C$2:$C$789)),ROW($2:$789)-1,4^8),ROW(A434)))&amp;"","")</f>
        <v/>
      </c>
      <c r="AS435" t="str">
        <f>"-text"&amp;" "&amp;D435&amp;","&amp;E435&amp;" "&amp;"10"&amp;" "&amp;"0"&amp;" "&amp;C435</f>
        <v>-text 490365.0546,3362455.625 10 0 IP232</v>
      </c>
      <c r="AT435" t="str">
        <f t="shared" si="238"/>
        <v>490365.0546,3362455.625</v>
      </c>
      <c r="AV435">
        <f>IF(A435=0,O435+5.4,IF(A435=1,O435+5.1,O435+4.25))</f>
        <v>447.42</v>
      </c>
      <c r="AX435" t="str">
        <f t="shared" si="239"/>
        <v>pl 37462.3301893387,279 37462.3301893387,400 </v>
      </c>
      <c r="AY435" t="str">
        <f t="shared" si="240"/>
        <v>37462.3301893387,442.02</v>
      </c>
      <c r="AZ435" t="str">
        <f t="shared" si="241"/>
        <v>37462.3301893387,445.935</v>
      </c>
      <c r="BA435" t="str">
        <f t="shared" si="242"/>
        <v>37462.3301893387,447.42</v>
      </c>
      <c r="BB435" t="str">
        <f t="shared" si="243"/>
        <v>-text 37461.3301893387,337 3.5 90 442.020 </v>
      </c>
      <c r="BC435" t="str">
        <f t="shared" si="244"/>
        <v>-text 37461.3301893387,320 3.5 90 447.420 </v>
      </c>
      <c r="BD435" t="str">
        <f t="shared" si="245"/>
        <v>-text 37461.3301893387,306 3.5 90 445.935 </v>
      </c>
      <c r="BE435" t="str">
        <f t="shared" si="246"/>
        <v>-text 37461.3301893387,352 3.5 90 ZG74+924.660 </v>
      </c>
      <c r="BF435" t="str">
        <f t="shared" si="247"/>
        <v>-text 37461.3301893387,280 3.5 90 IP232 </v>
      </c>
      <c r="BG435" t="str">
        <f t="shared" si="248"/>
        <v>-TEXT 37463.3301893387,300 3.5 0 R=80</v>
      </c>
      <c r="BH435" t="str">
        <f t="shared" si="249"/>
        <v>-TEXT 37463.3301893387,295 3.5 0 α=11.36° </v>
      </c>
      <c r="BI435" t="str">
        <f t="shared" si="250"/>
        <v>-TEXT 37463.3301893387,290 3.5 0 T=7.96 </v>
      </c>
      <c r="BJ435" t="str">
        <f t="shared" si="251"/>
        <v>-TEXT 37463.3301893387,285 3.5 0 S=15.86 </v>
      </c>
    </row>
    <row r="436" spans="1:62">
      <c r="A436">
        <v>0</v>
      </c>
      <c r="B436">
        <v>435</v>
      </c>
      <c r="C436" s="42" t="str">
        <f>Sheet1!C395</f>
        <v>石佛湾泄水闸进</v>
      </c>
      <c r="D436" s="42">
        <v>490358.2615</v>
      </c>
      <c r="E436" s="42">
        <v>3362432.3378</v>
      </c>
      <c r="G436">
        <f t="shared" si="205"/>
        <v>0</v>
      </c>
      <c r="H436">
        <f t="shared" si="206"/>
        <v>0</v>
      </c>
      <c r="I436">
        <f t="shared" si="207"/>
        <v>0</v>
      </c>
      <c r="J436">
        <f t="shared" si="208"/>
        <v>24.257780019114</v>
      </c>
      <c r="K436" s="40">
        <f t="shared" si="209"/>
        <v>74948.8920688504</v>
      </c>
      <c r="L436" s="40">
        <f t="shared" si="210"/>
        <v>74948.8920688504</v>
      </c>
      <c r="M436" s="40">
        <f t="shared" si="211"/>
        <v>74948.8920688504</v>
      </c>
      <c r="N436">
        <v>445.93</v>
      </c>
      <c r="O436">
        <v>442.015</v>
      </c>
      <c r="P436">
        <v>0</v>
      </c>
      <c r="Q436" s="39">
        <f t="shared" si="212"/>
        <v>490358.2615</v>
      </c>
      <c r="R436" s="39">
        <f t="shared" si="213"/>
        <v>3362432.3378</v>
      </c>
      <c r="S436" s="39" t="str">
        <f t="shared" si="234"/>
        <v> </v>
      </c>
      <c r="T436" s="39" t="str">
        <f t="shared" si="235"/>
        <v> </v>
      </c>
      <c r="U436" s="39" t="str">
        <f t="shared" si="236"/>
        <v> </v>
      </c>
      <c r="V436" s="39" t="str">
        <f t="shared" si="237"/>
        <v> </v>
      </c>
      <c r="AI436" t="str">
        <f t="array" ref="AI436">IFERROR(INDEX($L$2:$L$789,SMALL(IF(ISNUMBER(FIND($AH$2,$C$2:$C$789)),ROW($2:$789)-1,4^8),ROW(A435)))&amp;"","")</f>
        <v/>
      </c>
      <c r="AT436" t="str">
        <f t="shared" si="238"/>
        <v>490358.2615,3362432.3378</v>
      </c>
      <c r="AV436">
        <f>IF(A436=0,O436+5.4,IF(A436=1,O436+5.1,O436+4.25))</f>
        <v>447.415</v>
      </c>
      <c r="AX436" t="str">
        <f t="shared" si="239"/>
        <v>pl 37474.4460344252,279 37474.4460344252,400 </v>
      </c>
      <c r="AY436" t="str">
        <f t="shared" si="240"/>
        <v>37474.4460344252,442.015</v>
      </c>
      <c r="AZ436" t="str">
        <f t="shared" si="241"/>
        <v>37474.4460344252,445.93</v>
      </c>
      <c r="BA436" t="str">
        <f t="shared" si="242"/>
        <v>37474.4460344252,447.415</v>
      </c>
      <c r="BB436" t="str">
        <f t="shared" si="243"/>
        <v>-text 37473.4460344252,337 3.5 90 442.015 </v>
      </c>
      <c r="BC436" t="str">
        <f t="shared" si="244"/>
        <v>-text 37473.4460344252,320 3.5 90 447.415 </v>
      </c>
      <c r="BD436" t="str">
        <f t="shared" si="245"/>
        <v>-text 37473.4460344252,306 3.5 90 445.930 </v>
      </c>
      <c r="BE436" t="str">
        <f t="shared" si="246"/>
        <v>-text 37473.4460344252,352 3.5 90 ZG74+948.892 </v>
      </c>
      <c r="BF436" t="str">
        <f t="shared" si="247"/>
        <v>-text 37473.4460344252,280 3.5 90 石佛湾泄水闸进 </v>
      </c>
      <c r="BG436" t="str">
        <f t="shared" si="248"/>
        <v/>
      </c>
      <c r="BH436" t="str">
        <f t="shared" si="249"/>
        <v> </v>
      </c>
      <c r="BI436" t="str">
        <f t="shared" si="250"/>
        <v> </v>
      </c>
      <c r="BJ436" t="str">
        <f t="shared" si="251"/>
        <v> </v>
      </c>
    </row>
    <row r="437" spans="1:62">
      <c r="A437">
        <v>0</v>
      </c>
      <c r="B437">
        <v>436</v>
      </c>
      <c r="C437" s="42" t="str">
        <f>Sheet1!C396</f>
        <v>石佛湾泄水闸出</v>
      </c>
      <c r="D437" s="42">
        <v>490358.2615</v>
      </c>
      <c r="E437" s="42">
        <v>3362432.3378</v>
      </c>
      <c r="F437">
        <v>0</v>
      </c>
      <c r="G437">
        <f t="shared" si="205"/>
        <v>0</v>
      </c>
      <c r="H437">
        <f t="shared" si="206"/>
        <v>0</v>
      </c>
      <c r="I437">
        <f t="shared" si="207"/>
        <v>0</v>
      </c>
      <c r="J437">
        <f t="shared" si="208"/>
        <v>0</v>
      </c>
      <c r="K437" s="40">
        <f t="shared" si="209"/>
        <v>74948.8920688504</v>
      </c>
      <c r="L437" s="40">
        <f t="shared" si="210"/>
        <v>74948.8920688504</v>
      </c>
      <c r="M437" s="40">
        <f t="shared" si="211"/>
        <v>74948.8920688504</v>
      </c>
      <c r="N437">
        <v>445.9</v>
      </c>
      <c r="O437">
        <v>441.985</v>
      </c>
      <c r="P437">
        <v>0</v>
      </c>
      <c r="Q437" s="39">
        <f t="shared" si="212"/>
        <v>490358.2615</v>
      </c>
      <c r="R437" s="39">
        <f t="shared" si="213"/>
        <v>3362432.3378</v>
      </c>
      <c r="S437" s="39" t="str">
        <f t="shared" si="234"/>
        <v> </v>
      </c>
      <c r="T437" s="39" t="str">
        <f t="shared" si="235"/>
        <v> </v>
      </c>
      <c r="U437" s="39" t="str">
        <f t="shared" si="236"/>
        <v> </v>
      </c>
      <c r="V437" s="39" t="str">
        <f t="shared" si="237"/>
        <v> </v>
      </c>
      <c r="AI437" t="str">
        <f t="array" ref="AI437">IFERROR(INDEX($L$2:$L$789,SMALL(IF(ISNUMBER(FIND($AH$2,$C$2:$C$789)),ROW($2:$789)-1,4^8),ROW(A436)))&amp;"","")</f>
        <v/>
      </c>
      <c r="AT437" t="str">
        <f t="shared" si="238"/>
        <v>490358.2615,3362432.3378</v>
      </c>
      <c r="AV437">
        <f t="shared" ref="AV437:AV500" si="252">IF(A437=0,O437+5.4,IF(A437=1,O437+5.1,O437+4.25))</f>
        <v>447.385</v>
      </c>
      <c r="AX437" t="str">
        <f t="shared" si="239"/>
        <v>pl 37474.4460344252,279 37474.4460344252,400 </v>
      </c>
      <c r="AY437" t="str">
        <f t="shared" si="240"/>
        <v>37474.4460344252,441.985</v>
      </c>
      <c r="AZ437" t="str">
        <f t="shared" si="241"/>
        <v>37474.4460344252,445.9</v>
      </c>
      <c r="BA437" t="str">
        <f t="shared" si="242"/>
        <v>37474.4460344252,447.385</v>
      </c>
      <c r="BB437" t="str">
        <f t="shared" si="243"/>
        <v>-text 37473.4460344252,337 3.5 90 441.985 </v>
      </c>
      <c r="BC437" t="str">
        <f t="shared" si="244"/>
        <v>-text 37473.4460344252,320 3.5 90 447.385 </v>
      </c>
      <c r="BD437" t="str">
        <f t="shared" si="245"/>
        <v>-text 37473.4460344252,306 3.5 90 445.900 </v>
      </c>
      <c r="BE437" t="str">
        <f t="shared" si="246"/>
        <v>-text 37473.4460344252,352 3.5 90 ZG74+948.892 </v>
      </c>
      <c r="BF437" t="str">
        <f t="shared" si="247"/>
        <v>-text 37473.4460344252,280 3.5 90 石佛湾泄水闸出 </v>
      </c>
      <c r="BG437" t="str">
        <f t="shared" si="248"/>
        <v/>
      </c>
      <c r="BH437" t="str">
        <f t="shared" si="249"/>
        <v> </v>
      </c>
      <c r="BI437" t="str">
        <f t="shared" si="250"/>
        <v> </v>
      </c>
      <c r="BJ437" t="str">
        <f t="shared" si="251"/>
        <v> </v>
      </c>
    </row>
    <row r="438" spans="1:62">
      <c r="A438">
        <v>2</v>
      </c>
      <c r="B438">
        <v>437</v>
      </c>
      <c r="C438" t="str">
        <f>Sheet1!C397</f>
        <v>石佛湾渡槽进</v>
      </c>
      <c r="D438">
        <v>490354.6012</v>
      </c>
      <c r="E438">
        <v>3362419.7898</v>
      </c>
      <c r="G438">
        <f t="shared" si="205"/>
        <v>0</v>
      </c>
      <c r="H438">
        <f t="shared" si="206"/>
        <v>0</v>
      </c>
      <c r="I438">
        <f t="shared" si="207"/>
        <v>0</v>
      </c>
      <c r="J438">
        <f t="shared" si="208"/>
        <v>13.0709640076441</v>
      </c>
      <c r="K438" s="40">
        <f t="shared" si="209"/>
        <v>74961.963032858</v>
      </c>
      <c r="L438" s="40">
        <f t="shared" si="210"/>
        <v>74961.963032858</v>
      </c>
      <c r="M438" s="40">
        <f t="shared" si="211"/>
        <v>74961.963032858</v>
      </c>
      <c r="N438">
        <v>445.854</v>
      </c>
      <c r="O438">
        <v>442.307</v>
      </c>
      <c r="P438">
        <v>0</v>
      </c>
      <c r="Q438" s="39">
        <f t="shared" si="212"/>
        <v>490354.6012</v>
      </c>
      <c r="R438" s="39">
        <f t="shared" si="213"/>
        <v>3362419.7898</v>
      </c>
      <c r="S438" s="39" t="str">
        <f t="shared" si="234"/>
        <v> </v>
      </c>
      <c r="T438" s="39" t="str">
        <f t="shared" si="235"/>
        <v> </v>
      </c>
      <c r="U438" s="39" t="str">
        <f t="shared" si="236"/>
        <v> </v>
      </c>
      <c r="V438" s="39" t="str">
        <f t="shared" si="237"/>
        <v> </v>
      </c>
      <c r="AI438" t="str">
        <f t="array" ref="AI438">IFERROR(INDEX($L$2:$L$789,SMALL(IF(ISNUMBER(FIND($AH$2,$C$2:$C$789)),ROW($2:$789)-1,4^8),ROW(A437)))&amp;"","")</f>
        <v/>
      </c>
      <c r="AT438" t="str">
        <f t="shared" si="238"/>
        <v>490354.6012,3362419.7898</v>
      </c>
      <c r="AV438">
        <f t="shared" si="252"/>
        <v>446.557</v>
      </c>
      <c r="AX438" t="str">
        <f t="shared" si="239"/>
        <v>pl 37480.981516429,279 37480.981516429,400 </v>
      </c>
      <c r="AY438" t="str">
        <f t="shared" si="240"/>
        <v>37480.981516429,442.307</v>
      </c>
      <c r="AZ438" t="str">
        <f t="shared" si="241"/>
        <v>37480.981516429,445.854</v>
      </c>
      <c r="BA438" t="str">
        <f t="shared" si="242"/>
        <v>37480.981516429,446.557</v>
      </c>
      <c r="BB438" t="str">
        <f t="shared" si="243"/>
        <v>-text 37479.981516429,337 3.5 90 442.307 </v>
      </c>
      <c r="BC438" t="str">
        <f t="shared" si="244"/>
        <v>-text 37479.981516429,320 3.5 90 446.557 </v>
      </c>
      <c r="BD438" t="str">
        <f t="shared" si="245"/>
        <v>-text 37479.981516429,306 3.5 90 445.854 </v>
      </c>
      <c r="BE438" t="str">
        <f t="shared" si="246"/>
        <v>-text 37479.981516429,352 3.5 90 ZG74+961.963 </v>
      </c>
      <c r="BF438" t="str">
        <f t="shared" si="247"/>
        <v>-text 37479.981516429,280 3.5 90 石佛湾渡槽进 </v>
      </c>
      <c r="BG438" t="str">
        <f t="shared" si="248"/>
        <v/>
      </c>
      <c r="BH438" t="str">
        <f t="shared" si="249"/>
        <v> </v>
      </c>
      <c r="BI438" t="str">
        <f t="shared" si="250"/>
        <v> </v>
      </c>
      <c r="BJ438" t="str">
        <f t="shared" si="251"/>
        <v> </v>
      </c>
    </row>
    <row r="439" spans="1:62">
      <c r="A439">
        <v>2</v>
      </c>
      <c r="B439">
        <v>438</v>
      </c>
      <c r="C439" t="s">
        <v>418</v>
      </c>
      <c r="D439">
        <v>490265.3988</v>
      </c>
      <c r="E439">
        <v>3362113.9968</v>
      </c>
      <c r="F439">
        <v>80</v>
      </c>
      <c r="G439">
        <f t="shared" si="205"/>
        <v>7.818</v>
      </c>
      <c r="H439">
        <f t="shared" si="206"/>
        <v>5.46647776482951</v>
      </c>
      <c r="I439">
        <f t="shared" si="207"/>
        <v>10.9159872736733</v>
      </c>
      <c r="J439">
        <f t="shared" si="208"/>
        <v>318.537952236135</v>
      </c>
      <c r="K439" s="40">
        <f t="shared" si="209"/>
        <v>75275.0345073293</v>
      </c>
      <c r="L439" s="40">
        <f t="shared" si="210"/>
        <v>75280.4925009662</v>
      </c>
      <c r="M439" s="40">
        <f t="shared" si="211"/>
        <v>75285.950494603</v>
      </c>
      <c r="N439">
        <v>445.763</v>
      </c>
      <c r="O439">
        <v>442.216</v>
      </c>
      <c r="P439">
        <v>0.001</v>
      </c>
      <c r="Q439" s="39">
        <f t="shared" si="212"/>
        <v>490266.929615819</v>
      </c>
      <c r="R439" s="39">
        <f t="shared" si="213"/>
        <v>3362119.24455972</v>
      </c>
      <c r="S439" s="39">
        <f t="shared" si="234"/>
        <v>490265.581028928</v>
      </c>
      <c r="T439" s="39">
        <f t="shared" si="235"/>
        <v>3362113.95688974</v>
      </c>
      <c r="U439" s="39">
        <f t="shared" si="236"/>
        <v>490264.596052012</v>
      </c>
      <c r="V439" s="39">
        <f t="shared" si="237"/>
        <v>3362108.58958493</v>
      </c>
      <c r="AI439" t="str">
        <f t="array" ref="AI439">IFERROR(INDEX($L$2:$L$789,SMALL(IF(ISNUMBER(FIND($AH$2,$C$2:$C$789)),ROW($2:$789)-1,4^8),ROW(A438)))&amp;"","")</f>
        <v/>
      </c>
      <c r="AS439" t="str">
        <f>"-text"&amp;" "&amp;D439&amp;","&amp;E439&amp;" "&amp;"10"&amp;" "&amp;"0"&amp;" "&amp;C439</f>
        <v>-text 490265.3988,3362113.9968 10 0 IP233</v>
      </c>
      <c r="AT439" t="str">
        <f t="shared" si="238"/>
        <v>490265.3988,3362113.9968</v>
      </c>
      <c r="AV439">
        <f t="shared" si="252"/>
        <v>446.466</v>
      </c>
      <c r="AX439" t="str">
        <f t="shared" si="239"/>
        <v>pl 37640.2462504831,279 37640.2462504831,400 </v>
      </c>
      <c r="AY439" t="str">
        <f t="shared" si="240"/>
        <v>37640.2462504831,442.216</v>
      </c>
      <c r="AZ439" t="str">
        <f t="shared" si="241"/>
        <v>37640.2462504831,445.763</v>
      </c>
      <c r="BA439" t="str">
        <f t="shared" si="242"/>
        <v>37640.2462504831,446.466</v>
      </c>
      <c r="BB439" t="str">
        <f t="shared" si="243"/>
        <v>-text 37639.2462504831,337 3.5 90 442.216 </v>
      </c>
      <c r="BC439" t="str">
        <f t="shared" si="244"/>
        <v>-text 37639.2462504831,320 3.5 90 446.466 </v>
      </c>
      <c r="BD439" t="str">
        <f t="shared" si="245"/>
        <v>-text 37639.2462504831,306 3.5 90 445.763 </v>
      </c>
      <c r="BE439" t="str">
        <f t="shared" si="246"/>
        <v>-text 37639.2462504831,352 3.5 90 ZG75+280.493 </v>
      </c>
      <c r="BF439" t="str">
        <f t="shared" si="247"/>
        <v>-text 37639.2462504831,280 3.5 90 IP233 </v>
      </c>
      <c r="BG439" t="str">
        <f t="shared" si="248"/>
        <v>-TEXT 37641.2462504831,300 3.5 0 R=80</v>
      </c>
      <c r="BH439" t="str">
        <f t="shared" si="249"/>
        <v>-TEXT 37641.2462504831,295 3.5 0 α=7.82° </v>
      </c>
      <c r="BI439" t="str">
        <f t="shared" si="250"/>
        <v>-TEXT 37641.2462504831,290 3.5 0 T=5.47 </v>
      </c>
      <c r="BJ439" t="str">
        <f t="shared" si="251"/>
        <v>-TEXT 37641.2462504831,285 3.5 0 S=10.92 </v>
      </c>
    </row>
    <row r="440" spans="1:62">
      <c r="A440">
        <v>2</v>
      </c>
      <c r="B440">
        <v>439</v>
      </c>
      <c r="C440" t="s">
        <v>419</v>
      </c>
      <c r="D440">
        <v>490245.6698</v>
      </c>
      <c r="E440">
        <v>3361981.1046</v>
      </c>
      <c r="F440">
        <v>80</v>
      </c>
      <c r="G440">
        <f t="shared" si="205"/>
        <v>24.919</v>
      </c>
      <c r="H440">
        <f t="shared" si="206"/>
        <v>17.6762543459014</v>
      </c>
      <c r="I440">
        <f t="shared" si="207"/>
        <v>34.7934877043574</v>
      </c>
      <c r="J440">
        <f t="shared" si="208"/>
        <v>134.348689095762</v>
      </c>
      <c r="K440" s="40">
        <f t="shared" si="209"/>
        <v>75397.156451588</v>
      </c>
      <c r="L440" s="40">
        <f t="shared" si="210"/>
        <v>75414.5531954402</v>
      </c>
      <c r="M440" s="40">
        <f t="shared" si="211"/>
        <v>75431.9499392924</v>
      </c>
      <c r="N440">
        <v>445.723</v>
      </c>
      <c r="O440">
        <v>442.176</v>
      </c>
      <c r="P440">
        <v>0.002</v>
      </c>
      <c r="Q440" s="39">
        <f t="shared" si="212"/>
        <v>490248.265544137</v>
      </c>
      <c r="R440" s="39">
        <f t="shared" si="213"/>
        <v>3361998.5892241</v>
      </c>
      <c r="S440" s="39">
        <f t="shared" si="234"/>
        <v>490243.867249647</v>
      </c>
      <c r="T440" s="39">
        <f t="shared" si="235"/>
        <v>3361981.79306948</v>
      </c>
      <c r="U440" s="39">
        <f t="shared" si="236"/>
        <v>490235.948759062</v>
      </c>
      <c r="V440" s="39">
        <f t="shared" si="237"/>
        <v>3361966.34142518</v>
      </c>
      <c r="AI440" t="str">
        <f t="array" ref="AI440">IFERROR(INDEX($L$2:$L$789,SMALL(IF(ISNUMBER(FIND($AH$2,$C$2:$C$789)),ROW($2:$789)-1,4^8),ROW(A439)))&amp;"","")</f>
        <v/>
      </c>
      <c r="AS440" t="str">
        <f>"-text"&amp;" "&amp;D440&amp;","&amp;E440&amp;" "&amp;"10"&amp;" "&amp;"0"&amp;" "&amp;C440</f>
        <v>-text 490245.6698,3361981.1046 10 0 IP234</v>
      </c>
      <c r="AT440" t="str">
        <f t="shared" si="238"/>
        <v>490245.6698,3361981.1046</v>
      </c>
      <c r="AV440">
        <f t="shared" si="252"/>
        <v>446.426</v>
      </c>
      <c r="AX440" t="str">
        <f t="shared" si="239"/>
        <v>pl 37707.2765977201,279 37707.2765977201,400 </v>
      </c>
      <c r="AY440" t="str">
        <f t="shared" si="240"/>
        <v>37707.2765977201,442.176</v>
      </c>
      <c r="AZ440" t="str">
        <f t="shared" si="241"/>
        <v>37707.2765977201,445.723</v>
      </c>
      <c r="BA440" t="str">
        <f t="shared" si="242"/>
        <v>37707.2765977201,446.426</v>
      </c>
      <c r="BB440" t="str">
        <f t="shared" si="243"/>
        <v>-text 37706.2765977201,337 3.5 90 442.176 </v>
      </c>
      <c r="BC440" t="str">
        <f t="shared" si="244"/>
        <v>-text 37706.2765977201,320 3.5 90 446.426 </v>
      </c>
      <c r="BD440" t="str">
        <f t="shared" si="245"/>
        <v>-text 37706.2765977201,306 3.5 90 445.723 </v>
      </c>
      <c r="BE440" t="str">
        <f t="shared" si="246"/>
        <v>-text 37706.2765977201,352 3.5 90 ZG75+414.553 </v>
      </c>
      <c r="BF440" t="str">
        <f t="shared" si="247"/>
        <v>-text 37706.2765977201,280 3.5 90 IP234 </v>
      </c>
      <c r="BG440" t="str">
        <f t="shared" si="248"/>
        <v>-TEXT 37708.2765977201,300 3.5 0 R=80</v>
      </c>
      <c r="BH440" t="str">
        <f t="shared" si="249"/>
        <v>-TEXT 37708.2765977201,295 3.5 0 α=24.92° </v>
      </c>
      <c r="BI440" t="str">
        <f t="shared" si="250"/>
        <v>-TEXT 37708.2765977201,290 3.5 0 T=17.68 </v>
      </c>
      <c r="BJ440" t="str">
        <f t="shared" si="251"/>
        <v>-TEXT 37708.2765977201,285 3.5 0 S=34.79 </v>
      </c>
    </row>
    <row r="441" spans="1:62">
      <c r="A441">
        <v>2</v>
      </c>
      <c r="B441">
        <v>440</v>
      </c>
      <c r="C441" t="str">
        <f>Sheet1!C400</f>
        <v>石佛湾渡槽出</v>
      </c>
      <c r="D441">
        <v>490199.98</v>
      </c>
      <c r="E441">
        <v>3361911.7163</v>
      </c>
      <c r="G441">
        <f t="shared" si="205"/>
        <v>0</v>
      </c>
      <c r="H441">
        <f t="shared" si="206"/>
        <v>0</v>
      </c>
      <c r="I441">
        <f t="shared" si="207"/>
        <v>0</v>
      </c>
      <c r="J441">
        <f t="shared" si="208"/>
        <v>83.0800457448145</v>
      </c>
      <c r="K441" s="40">
        <f t="shared" si="209"/>
        <v>75497.3537306913</v>
      </c>
      <c r="L441" s="40">
        <f t="shared" si="210"/>
        <v>75497.3537306913</v>
      </c>
      <c r="M441" s="40">
        <f t="shared" si="211"/>
        <v>75497.3537306913</v>
      </c>
      <c r="N441">
        <v>445.699</v>
      </c>
      <c r="O441">
        <v>442.152</v>
      </c>
      <c r="P441">
        <v>0</v>
      </c>
      <c r="Q441" s="39">
        <f t="shared" si="212"/>
        <v>490199.98</v>
      </c>
      <c r="R441" s="39">
        <f t="shared" si="213"/>
        <v>3361911.7163</v>
      </c>
      <c r="S441" s="39" t="str">
        <f t="shared" si="234"/>
        <v> </v>
      </c>
      <c r="T441" s="39" t="str">
        <f t="shared" si="235"/>
        <v> </v>
      </c>
      <c r="U441" s="39" t="str">
        <f t="shared" si="236"/>
        <v> </v>
      </c>
      <c r="V441" s="39" t="str">
        <f t="shared" si="237"/>
        <v> </v>
      </c>
      <c r="AI441" t="str">
        <f t="array" ref="AI441">IFERROR(INDEX($L$2:$L$789,SMALL(IF(ISNUMBER(FIND($AH$2,$C$2:$C$789)),ROW($2:$789)-1,4^8),ROW(A440)))&amp;"","")</f>
        <v/>
      </c>
      <c r="AT441" t="str">
        <f t="shared" si="238"/>
        <v>490199.98,3361911.7163</v>
      </c>
      <c r="AV441">
        <f t="shared" si="252"/>
        <v>446.402</v>
      </c>
      <c r="AX441" t="str">
        <f t="shared" si="239"/>
        <v>pl 37748.6768653457,279 37748.6768653457,400 </v>
      </c>
      <c r="AY441" t="str">
        <f t="shared" si="240"/>
        <v>37748.6768653457,442.152</v>
      </c>
      <c r="AZ441" t="str">
        <f t="shared" si="241"/>
        <v>37748.6768653457,445.699</v>
      </c>
      <c r="BA441" t="str">
        <f t="shared" si="242"/>
        <v>37748.6768653457,446.402</v>
      </c>
      <c r="BB441" t="str">
        <f t="shared" si="243"/>
        <v>-text 37747.6768653457,337 3.5 90 442.152 </v>
      </c>
      <c r="BC441" t="str">
        <f t="shared" si="244"/>
        <v>-text 37747.6768653457,320 3.5 90 446.402 </v>
      </c>
      <c r="BD441" t="str">
        <f t="shared" si="245"/>
        <v>-text 37747.6768653457,306 3.5 90 445.699 </v>
      </c>
      <c r="BE441" t="str">
        <f t="shared" si="246"/>
        <v>-text 37747.6768653457,352 3.5 90 ZG75+497.354 </v>
      </c>
      <c r="BF441" t="str">
        <f t="shared" si="247"/>
        <v>-text 37747.6768653457,280 3.5 90 石佛湾渡槽出 </v>
      </c>
      <c r="BG441" t="str">
        <f t="shared" si="248"/>
        <v/>
      </c>
      <c r="BH441" t="str">
        <f t="shared" si="249"/>
        <v> </v>
      </c>
      <c r="BI441" t="str">
        <f t="shared" si="250"/>
        <v> </v>
      </c>
      <c r="BJ441" t="str">
        <f t="shared" si="251"/>
        <v> </v>
      </c>
    </row>
    <row r="442" spans="1:62">
      <c r="A442">
        <v>0</v>
      </c>
      <c r="B442">
        <v>441</v>
      </c>
      <c r="C442" t="s">
        <v>421</v>
      </c>
      <c r="D442">
        <v>490178.5255</v>
      </c>
      <c r="E442">
        <v>3361879.1338</v>
      </c>
      <c r="F442">
        <v>80</v>
      </c>
      <c r="G442">
        <f t="shared" si="205"/>
        <v>23.753</v>
      </c>
      <c r="H442">
        <f t="shared" si="206"/>
        <v>16.8243778378956</v>
      </c>
      <c r="I442">
        <f t="shared" si="207"/>
        <v>33.165444578097</v>
      </c>
      <c r="J442">
        <f t="shared" si="208"/>
        <v>39.0117274226725</v>
      </c>
      <c r="K442" s="40">
        <f t="shared" si="209"/>
        <v>75519.5410802761</v>
      </c>
      <c r="L442" s="40">
        <f t="shared" si="210"/>
        <v>75536.1238025652</v>
      </c>
      <c r="M442" s="40">
        <f t="shared" si="211"/>
        <v>75552.7065248542</v>
      </c>
      <c r="N442">
        <v>445.715</v>
      </c>
      <c r="O442">
        <v>441.8</v>
      </c>
      <c r="P442">
        <v>0.001</v>
      </c>
      <c r="Q442" s="39">
        <f t="shared" si="212"/>
        <v>490187.778066809</v>
      </c>
      <c r="R442" s="39">
        <f t="shared" si="213"/>
        <v>3361893.18547951</v>
      </c>
      <c r="S442" s="39">
        <f t="shared" si="234"/>
        <v>490180.153878255</v>
      </c>
      <c r="T442" s="39">
        <f t="shared" si="235"/>
        <v>3361878.49279301</v>
      </c>
      <c r="U442" s="39">
        <f t="shared" si="236"/>
        <v>490175.716730379</v>
      </c>
      <c r="V442" s="39">
        <f t="shared" si="237"/>
        <v>3361862.54553599</v>
      </c>
      <c r="AI442" t="str">
        <f t="array" ref="AI442">IFERROR(INDEX($L$2:$L$789,SMALL(IF(ISNUMBER(FIND($AH$2,$C$2:$C$789)),ROW($2:$789)-1,4^8),ROW(A441)))&amp;"","")</f>
        <v/>
      </c>
      <c r="AS442" t="str">
        <f>"-text"&amp;" "&amp;D442&amp;","&amp;E442&amp;" "&amp;"10"&amp;" "&amp;"0"&amp;" "&amp;C442</f>
        <v>-text 490178.5255,3361879.1338 10 0 IP235</v>
      </c>
      <c r="AT442" t="str">
        <f t="shared" si="238"/>
        <v>490178.5255,3361879.1338</v>
      </c>
      <c r="AV442">
        <f t="shared" si="252"/>
        <v>447.2</v>
      </c>
      <c r="AX442" t="str">
        <f t="shared" si="239"/>
        <v>pl 37768.0619012826,279 37768.0619012826,400 </v>
      </c>
      <c r="AY442" t="str">
        <f t="shared" si="240"/>
        <v>37768.0619012826,441.8</v>
      </c>
      <c r="AZ442" t="str">
        <f t="shared" si="241"/>
        <v>37768.0619012826,445.715</v>
      </c>
      <c r="BA442" t="str">
        <f t="shared" si="242"/>
        <v>37768.0619012826,447.2</v>
      </c>
      <c r="BB442" t="str">
        <f t="shared" si="243"/>
        <v>-text 37767.0619012826,337 3.5 90 441.800 </v>
      </c>
      <c r="BC442" t="str">
        <f t="shared" si="244"/>
        <v>-text 37767.0619012826,320 3.5 90 447.200 </v>
      </c>
      <c r="BD442" t="str">
        <f t="shared" si="245"/>
        <v>-text 37767.0619012826,306 3.5 90 445.715 </v>
      </c>
      <c r="BE442" t="str">
        <f t="shared" si="246"/>
        <v>-text 37767.0619012826,352 3.5 90 ZG75+536.124 </v>
      </c>
      <c r="BF442" t="str">
        <f t="shared" si="247"/>
        <v>-text 37767.0619012826,280 3.5 90 IP235 </v>
      </c>
      <c r="BG442" t="str">
        <f t="shared" si="248"/>
        <v>-TEXT 37769.0619012826,300 3.5 0 R=80</v>
      </c>
      <c r="BH442" t="str">
        <f t="shared" si="249"/>
        <v>-TEXT 37769.0619012826,295 3.5 0 α=23.75° </v>
      </c>
      <c r="BI442" t="str">
        <f t="shared" si="250"/>
        <v>-TEXT 37769.0619012826,290 3.5 0 T=16.82 </v>
      </c>
      <c r="BJ442" t="str">
        <f t="shared" si="251"/>
        <v>-TEXT 37769.0619012826,285 3.5 0 S=33.17 </v>
      </c>
    </row>
    <row r="443" spans="1:62">
      <c r="A443">
        <v>2</v>
      </c>
      <c r="B443">
        <v>442</v>
      </c>
      <c r="C443" t="str">
        <f>Sheet1!C402</f>
        <v>全家沟1#渡槽进</v>
      </c>
      <c r="D443">
        <v>490150.8292</v>
      </c>
      <c r="E443">
        <v>3361715.5627</v>
      </c>
      <c r="G443">
        <f t="shared" si="205"/>
        <v>0</v>
      </c>
      <c r="H443">
        <f t="shared" si="206"/>
        <v>0</v>
      </c>
      <c r="I443">
        <f t="shared" si="207"/>
        <v>0</v>
      </c>
      <c r="J443">
        <f t="shared" si="208"/>
        <v>165.899336312246</v>
      </c>
      <c r="K443" s="40">
        <f t="shared" si="209"/>
        <v>75701.7814833286</v>
      </c>
      <c r="L443" s="40">
        <f t="shared" si="210"/>
        <v>75701.7814833286</v>
      </c>
      <c r="M443" s="40">
        <f t="shared" si="211"/>
        <v>75701.7814833286</v>
      </c>
      <c r="N443">
        <v>445.64</v>
      </c>
      <c r="O443">
        <v>442.093</v>
      </c>
      <c r="P443">
        <v>0</v>
      </c>
      <c r="Q443" s="39">
        <f t="shared" si="212"/>
        <v>490150.8292</v>
      </c>
      <c r="R443" s="39">
        <f t="shared" si="213"/>
        <v>3361715.5627</v>
      </c>
      <c r="S443" s="39" t="str">
        <f t="shared" si="234"/>
        <v> </v>
      </c>
      <c r="T443" s="39" t="str">
        <f t="shared" si="235"/>
        <v> </v>
      </c>
      <c r="U443" s="39" t="str">
        <f t="shared" si="236"/>
        <v> </v>
      </c>
      <c r="V443" s="39" t="str">
        <f t="shared" si="237"/>
        <v> </v>
      </c>
      <c r="AI443" t="str">
        <f t="array" ref="AI443">IFERROR(INDEX($L$2:$L$789,SMALL(IF(ISNUMBER(FIND($AH$2,$C$2:$C$789)),ROW($2:$789)-1,4^8),ROW(A442)))&amp;"","")</f>
        <v/>
      </c>
      <c r="AT443" t="str">
        <f t="shared" si="238"/>
        <v>490150.8292,3361715.5627</v>
      </c>
      <c r="AV443">
        <f t="shared" si="252"/>
        <v>446.343</v>
      </c>
      <c r="AX443" t="str">
        <f t="shared" si="239"/>
        <v>pl 37850.8907416643,279 37850.8907416643,400 </v>
      </c>
      <c r="AY443" t="str">
        <f t="shared" si="240"/>
        <v>37850.8907416643,442.093</v>
      </c>
      <c r="AZ443" t="str">
        <f t="shared" si="241"/>
        <v>37850.8907416643,445.64</v>
      </c>
      <c r="BA443" t="str">
        <f t="shared" si="242"/>
        <v>37850.8907416643,446.343</v>
      </c>
      <c r="BB443" t="str">
        <f t="shared" si="243"/>
        <v>-text 37849.8907416643,337 3.5 90 442.093 </v>
      </c>
      <c r="BC443" t="str">
        <f t="shared" si="244"/>
        <v>-text 37849.8907416643,320 3.5 90 446.343 </v>
      </c>
      <c r="BD443" t="str">
        <f t="shared" si="245"/>
        <v>-text 37849.8907416643,306 3.5 90 445.640 </v>
      </c>
      <c r="BE443" t="str">
        <f t="shared" si="246"/>
        <v>-text 37849.8907416643,352 3.5 90 ZG75+701.781 </v>
      </c>
      <c r="BF443" t="str">
        <f t="shared" si="247"/>
        <v>-text 37849.8907416643,280 3.5 90 全家沟1#渡槽进 </v>
      </c>
      <c r="BG443" t="str">
        <f t="shared" si="248"/>
        <v/>
      </c>
      <c r="BH443" t="str">
        <f t="shared" si="249"/>
        <v> </v>
      </c>
      <c r="BI443" t="str">
        <f t="shared" si="250"/>
        <v> </v>
      </c>
      <c r="BJ443" t="str">
        <f t="shared" si="251"/>
        <v> </v>
      </c>
    </row>
    <row r="444" spans="1:62">
      <c r="A444">
        <v>2</v>
      </c>
      <c r="B444">
        <v>443</v>
      </c>
      <c r="C444" t="str">
        <f>Sheet1!C403</f>
        <v>全家沟1#渡槽出</v>
      </c>
      <c r="D444">
        <v>490125.3089</v>
      </c>
      <c r="E444">
        <v>3361564.843</v>
      </c>
      <c r="G444">
        <f t="shared" si="205"/>
        <v>0</v>
      </c>
      <c r="H444">
        <f t="shared" si="206"/>
        <v>0</v>
      </c>
      <c r="I444">
        <f t="shared" si="207"/>
        <v>0</v>
      </c>
      <c r="J444">
        <f t="shared" si="208"/>
        <v>152.86501784337</v>
      </c>
      <c r="K444" s="40">
        <f t="shared" si="209"/>
        <v>75854.6465011719</v>
      </c>
      <c r="L444" s="40">
        <f t="shared" si="210"/>
        <v>75854.6465011719</v>
      </c>
      <c r="M444" s="40">
        <f t="shared" si="211"/>
        <v>75854.6465011719</v>
      </c>
      <c r="N444">
        <v>445.596</v>
      </c>
      <c r="O444">
        <v>442.049</v>
      </c>
      <c r="P444">
        <v>0</v>
      </c>
      <c r="Q444" s="39">
        <f t="shared" si="212"/>
        <v>490125.3089</v>
      </c>
      <c r="R444" s="39">
        <f t="shared" si="213"/>
        <v>3361564.843</v>
      </c>
      <c r="S444" s="39" t="str">
        <f t="shared" si="234"/>
        <v> </v>
      </c>
      <c r="T444" s="39" t="str">
        <f t="shared" si="235"/>
        <v> </v>
      </c>
      <c r="U444" s="39" t="str">
        <f t="shared" si="236"/>
        <v> </v>
      </c>
      <c r="V444" s="39" t="str">
        <f t="shared" si="237"/>
        <v> </v>
      </c>
      <c r="AI444" t="str">
        <f t="array" ref="AI444">IFERROR(INDEX($L$2:$L$789,SMALL(IF(ISNUMBER(FIND($AH$2,$C$2:$C$789)),ROW($2:$789)-1,4^8),ROW(A443)))&amp;"","")</f>
        <v/>
      </c>
      <c r="AT444" t="str">
        <f t="shared" si="238"/>
        <v>490125.3089,3361564.843</v>
      </c>
      <c r="AV444">
        <f t="shared" si="252"/>
        <v>446.299</v>
      </c>
      <c r="AX444" t="str">
        <f t="shared" si="239"/>
        <v>pl 37927.323250586,279 37927.323250586,400 </v>
      </c>
      <c r="AY444" t="str">
        <f t="shared" si="240"/>
        <v>37927.323250586,442.049</v>
      </c>
      <c r="AZ444" t="str">
        <f t="shared" si="241"/>
        <v>37927.323250586,445.596</v>
      </c>
      <c r="BA444" t="str">
        <f t="shared" si="242"/>
        <v>37927.3232505859,446.299</v>
      </c>
      <c r="BB444" t="str">
        <f t="shared" si="243"/>
        <v>-text 37926.323250586,337 3.5 90 442.049 </v>
      </c>
      <c r="BC444" t="str">
        <f t="shared" si="244"/>
        <v>-text 37926.3232505859,320 3.5 90 446.299 </v>
      </c>
      <c r="BD444" t="str">
        <f t="shared" si="245"/>
        <v>-text 37926.323250586,306 3.5 90 445.596 </v>
      </c>
      <c r="BE444" t="str">
        <f t="shared" si="246"/>
        <v>-text 37926.323250586,352 3.5 90 ZG75+854.647 </v>
      </c>
      <c r="BF444" t="str">
        <f t="shared" si="247"/>
        <v>-text 37926.323250586,280 3.5 90 全家沟1#渡槽出 </v>
      </c>
      <c r="BG444" t="str">
        <f t="shared" si="248"/>
        <v/>
      </c>
      <c r="BH444" t="str">
        <f t="shared" si="249"/>
        <v> </v>
      </c>
      <c r="BI444" t="str">
        <f t="shared" si="250"/>
        <v> </v>
      </c>
      <c r="BJ444" t="str">
        <f t="shared" si="251"/>
        <v> </v>
      </c>
    </row>
    <row r="445" spans="1:62">
      <c r="A445">
        <v>0</v>
      </c>
      <c r="B445">
        <v>444</v>
      </c>
      <c r="C445" t="s">
        <v>424</v>
      </c>
      <c r="D445">
        <v>490119.9767</v>
      </c>
      <c r="E445">
        <v>3361533.351</v>
      </c>
      <c r="F445">
        <v>60</v>
      </c>
      <c r="G445">
        <f t="shared" ref="G445:G476" si="253">ROUND(IF((2*SQRT((D444-D445)^2+(E444-E445)^2)*SQRT((D446-D445)^2+(E446-E445)^2))=0,0,180-ACOS(((D444-D445)^2+(E444-E445)^2+(D446-D445)^2+(E446-E445)^2-(D446-D444)^2-(E446-E444)^2)/(2*SQRT((D444-D445)^2+(E444-E445)^2)*SQRT((D446-D445)^2+(E446-E445)^2)))/PI()*180),3)</f>
        <v>41.787</v>
      </c>
      <c r="H445">
        <f t="shared" ref="H445:H469" si="254">F445*TAN(PI()/180*G445/2)</f>
        <v>22.9039730387208</v>
      </c>
      <c r="I445">
        <f t="shared" ref="I445:I469" si="255">F445*G445/180*PI()</f>
        <v>43.7592440718522</v>
      </c>
      <c r="J445">
        <f t="shared" ref="J445:J493" si="256">SQRT((D445-D444)^2+(E445-E444)^2)</f>
        <v>31.9402320098875</v>
      </c>
      <c r="K445" s="40">
        <f t="shared" ref="K445:K469" si="257">L445-I445/2</f>
        <v>75863.6827601431</v>
      </c>
      <c r="L445" s="40">
        <f t="shared" ref="L445:L493" si="258">L444+J445-H445+I445/2+I444/2-H444</f>
        <v>75885.562382179</v>
      </c>
      <c r="M445" s="40">
        <f t="shared" ref="M445:M469" si="259">K445+I445</f>
        <v>75907.442004215</v>
      </c>
      <c r="N445">
        <v>445.614</v>
      </c>
      <c r="O445">
        <v>441.699</v>
      </c>
      <c r="P445">
        <v>0.002</v>
      </c>
      <c r="Q445" s="39">
        <f t="shared" ref="Q445:Q474" si="260">IF(G445=0,D445,D444+(D445-D444)/J445*(J445-H445))</f>
        <v>490123.800359296</v>
      </c>
      <c r="R445" s="39">
        <f t="shared" ref="R445:R474" si="261">IF(G445=0,E445,E444+(E445-E444)/J445*(J445-H445))</f>
        <v>3361555.93355102</v>
      </c>
      <c r="S445" s="39">
        <f t="shared" si="234"/>
        <v>490124.118065563</v>
      </c>
      <c r="T445" s="39">
        <f t="shared" si="235"/>
        <v>3361534.17727799</v>
      </c>
      <c r="U445" s="39">
        <f t="shared" si="236"/>
        <v>490132.173871464</v>
      </c>
      <c r="V445" s="39">
        <f t="shared" si="237"/>
        <v>3361513.96489701</v>
      </c>
      <c r="AI445" t="str">
        <f t="array" ref="AI445">IFERROR(INDEX($L$2:$L$789,SMALL(IF(ISNUMBER(FIND($AH$2,$C$2:$C$789)),ROW($2:$789)-1,4^8),ROW(A444)))&amp;"","")</f>
        <v/>
      </c>
      <c r="AS445" t="str">
        <f>"-text"&amp;" "&amp;D445&amp;","&amp;E445&amp;" "&amp;"10"&amp;" "&amp;"0"&amp;" "&amp;C445</f>
        <v>-text 490119.9767,3361533.351 10 0 IP236</v>
      </c>
      <c r="AT445" t="str">
        <f t="shared" si="238"/>
        <v>490119.9767,3361533.351</v>
      </c>
      <c r="AV445">
        <f t="shared" si="252"/>
        <v>447.099</v>
      </c>
      <c r="AX445" t="str">
        <f t="shared" si="239"/>
        <v>pl 37942.7811910895,279 37942.7811910895,400 </v>
      </c>
      <c r="AY445" t="str">
        <f t="shared" si="240"/>
        <v>37942.7811910895,441.699</v>
      </c>
      <c r="AZ445" t="str">
        <f t="shared" si="241"/>
        <v>37942.7811910895,445.614</v>
      </c>
      <c r="BA445" t="str">
        <f t="shared" si="242"/>
        <v>37942.7811910895,447.099</v>
      </c>
      <c r="BB445" t="str">
        <f t="shared" si="243"/>
        <v>-text 37941.7811910895,337 3.5 90 441.699 </v>
      </c>
      <c r="BC445" t="str">
        <f t="shared" si="244"/>
        <v>-text 37941.7811910895,320 3.5 90 447.099 </v>
      </c>
      <c r="BD445" t="str">
        <f t="shared" si="245"/>
        <v>-text 37941.7811910895,306 3.5 90 445.614 </v>
      </c>
      <c r="BE445" t="str">
        <f t="shared" si="246"/>
        <v>-text 37941.7811910895,352 3.5 90 ZG75+885.562 </v>
      </c>
      <c r="BF445" t="str">
        <f t="shared" si="247"/>
        <v>-text 37941.7811910895,280 3.5 90 IP236 </v>
      </c>
      <c r="BG445" t="str">
        <f t="shared" si="248"/>
        <v>-TEXT 37943.7811910895,300 3.5 0 R=60</v>
      </c>
      <c r="BH445" t="str">
        <f t="shared" si="249"/>
        <v>-TEXT 37943.7811910895,295 3.5 0 α=41.79° </v>
      </c>
      <c r="BI445" t="str">
        <f t="shared" si="250"/>
        <v>-TEXT 37943.7811910895,290 3.5 0 T=22.90 </v>
      </c>
      <c r="BJ445" t="str">
        <f t="shared" si="251"/>
        <v>-TEXT 37943.7811910895,285 3.5 0 S=43.76 </v>
      </c>
    </row>
    <row r="446" spans="1:62">
      <c r="A446">
        <v>0</v>
      </c>
      <c r="B446">
        <v>445</v>
      </c>
      <c r="C446" t="s">
        <v>425</v>
      </c>
      <c r="D446">
        <v>490187.8095</v>
      </c>
      <c r="E446">
        <v>3361425.538</v>
      </c>
      <c r="F446">
        <v>80</v>
      </c>
      <c r="G446">
        <f t="shared" si="253"/>
        <v>23.882</v>
      </c>
      <c r="H446">
        <f t="shared" si="254"/>
        <v>16.9184422724633</v>
      </c>
      <c r="I446">
        <f t="shared" si="255"/>
        <v>33.3455625569029</v>
      </c>
      <c r="J446">
        <f t="shared" si="256"/>
        <v>127.377124024504</v>
      </c>
      <c r="K446" s="40">
        <f t="shared" si="257"/>
        <v>75994.9967129283</v>
      </c>
      <c r="L446" s="40">
        <f t="shared" si="258"/>
        <v>76011.6694942067</v>
      </c>
      <c r="M446" s="40">
        <f t="shared" si="259"/>
        <v>76028.3422754852</v>
      </c>
      <c r="N446">
        <v>445.589</v>
      </c>
      <c r="O446">
        <v>441.674</v>
      </c>
      <c r="P446">
        <v>0.001</v>
      </c>
      <c r="Q446" s="39">
        <f t="shared" si="260"/>
        <v>490178.799834255</v>
      </c>
      <c r="R446" s="39">
        <f t="shared" si="261"/>
        <v>3361439.85790266</v>
      </c>
      <c r="S446" s="39">
        <f t="shared" si="234"/>
        <v>490186.149334071</v>
      </c>
      <c r="T446" s="39">
        <f t="shared" si="235"/>
        <v>3361424.92599317</v>
      </c>
      <c r="U446" s="39">
        <f t="shared" si="236"/>
        <v>490190.250350098</v>
      </c>
      <c r="V446" s="39">
        <f t="shared" si="237"/>
        <v>3361408.79655622</v>
      </c>
      <c r="AI446" t="str">
        <f t="array" ref="AI446">IFERROR(INDEX($L$2:$L$789,SMALL(IF(ISNUMBER(FIND($AH$2,$C$2:$C$789)),ROW($2:$789)-1,4^8),ROW(A445)))&amp;"","")</f>
        <v/>
      </c>
      <c r="AS446" t="str">
        <f>"-text"&amp;" "&amp;D446&amp;","&amp;E446&amp;" "&amp;"10"&amp;" "&amp;"0"&amp;" "&amp;C446</f>
        <v>-text 490187.8095,3361425.538 10 0 IP237</v>
      </c>
      <c r="AT446" t="str">
        <f t="shared" si="238"/>
        <v>490187.8095,3361425.538</v>
      </c>
      <c r="AV446">
        <f t="shared" si="252"/>
        <v>447.074</v>
      </c>
      <c r="AX446" t="str">
        <f t="shared" si="239"/>
        <v>pl 38005.8347471034,279 38005.8347471034,400 </v>
      </c>
      <c r="AY446" t="str">
        <f t="shared" si="240"/>
        <v>38005.8347471034,441.674</v>
      </c>
      <c r="AZ446" t="str">
        <f t="shared" si="241"/>
        <v>38005.8347471034,445.589</v>
      </c>
      <c r="BA446" t="str">
        <f t="shared" si="242"/>
        <v>38005.8347471033,447.074</v>
      </c>
      <c r="BB446" t="str">
        <f t="shared" si="243"/>
        <v>-text 38004.8347471034,337 3.5 90 441.674 </v>
      </c>
      <c r="BC446" t="str">
        <f t="shared" si="244"/>
        <v>-text 38004.8347471033,320 3.5 90 447.074 </v>
      </c>
      <c r="BD446" t="str">
        <f t="shared" si="245"/>
        <v>-text 38004.8347471034,306 3.5 90 445.589 </v>
      </c>
      <c r="BE446" t="str">
        <f t="shared" si="246"/>
        <v>-text 38004.8347471034,352 3.5 90 ZG76+011.669 </v>
      </c>
      <c r="BF446" t="str">
        <f t="shared" si="247"/>
        <v>-text 38004.8347471034,280 3.5 90 IP237 </v>
      </c>
      <c r="BG446" t="str">
        <f t="shared" si="248"/>
        <v>-TEXT 38006.8347471034,300 3.5 0 R=80</v>
      </c>
      <c r="BH446" t="str">
        <f t="shared" si="249"/>
        <v>-TEXT 38006.8347471034,295 3.5 0 α=23.88° </v>
      </c>
      <c r="BI446" t="str">
        <f t="shared" si="250"/>
        <v>-TEXT 38006.8347471034,290 3.5 0 T=16.92 </v>
      </c>
      <c r="BJ446" t="str">
        <f t="shared" si="251"/>
        <v>-TEXT 38006.8347471034,285 3.5 0 S=33.35 </v>
      </c>
    </row>
    <row r="447" spans="1:62">
      <c r="A447">
        <v>2</v>
      </c>
      <c r="B447">
        <v>446</v>
      </c>
      <c r="C447" t="str">
        <f>Sheet1!C406</f>
        <v>全家沟2#渡槽进</v>
      </c>
      <c r="D447">
        <v>490192.1328</v>
      </c>
      <c r="E447">
        <v>3361395.8851</v>
      </c>
      <c r="G447">
        <f t="shared" si="253"/>
        <v>0</v>
      </c>
      <c r="H447">
        <f t="shared" si="254"/>
        <v>0</v>
      </c>
      <c r="I447">
        <f t="shared" si="255"/>
        <v>0</v>
      </c>
      <c r="J447">
        <f t="shared" si="256"/>
        <v>29.9664045441976</v>
      </c>
      <c r="K447" s="40">
        <f t="shared" si="257"/>
        <v>76041.3902377569</v>
      </c>
      <c r="L447" s="40">
        <f t="shared" si="258"/>
        <v>76041.3902377569</v>
      </c>
      <c r="M447" s="40">
        <f t="shared" si="259"/>
        <v>76041.3902377569</v>
      </c>
      <c r="N447">
        <v>445.54</v>
      </c>
      <c r="O447">
        <v>441.993</v>
      </c>
      <c r="P447">
        <v>0</v>
      </c>
      <c r="Q447" s="39">
        <f t="shared" si="260"/>
        <v>490192.1328</v>
      </c>
      <c r="R447" s="39">
        <f t="shared" si="261"/>
        <v>3361395.8851</v>
      </c>
      <c r="S447" s="39" t="str">
        <f t="shared" si="234"/>
        <v> </v>
      </c>
      <c r="T447" s="39" t="str">
        <f t="shared" si="235"/>
        <v> </v>
      </c>
      <c r="U447" s="39" t="str">
        <f t="shared" si="236"/>
        <v> </v>
      </c>
      <c r="V447" s="39" t="str">
        <f t="shared" si="237"/>
        <v> </v>
      </c>
      <c r="AI447" t="str">
        <f t="array" ref="AI447">IFERROR(INDEX($L$2:$L$789,SMALL(IF(ISNUMBER(FIND($AH$2,$C$2:$C$789)),ROW($2:$789)-1,4^8),ROW(A446)))&amp;"","")</f>
        <v/>
      </c>
      <c r="AT447" t="str">
        <f t="shared" si="238"/>
        <v>490192.1328,3361395.8851</v>
      </c>
      <c r="AV447">
        <f t="shared" si="252"/>
        <v>446.243</v>
      </c>
      <c r="AX447" t="str">
        <f t="shared" si="239"/>
        <v>pl 38020.6951188785,279 38020.6951188785,400 </v>
      </c>
      <c r="AY447" t="str">
        <f t="shared" si="240"/>
        <v>38020.6951188785,441.993</v>
      </c>
      <c r="AZ447" t="str">
        <f t="shared" si="241"/>
        <v>38020.6951188785,445.54</v>
      </c>
      <c r="BA447" t="str">
        <f t="shared" si="242"/>
        <v>38020.6951188785,446.243</v>
      </c>
      <c r="BB447" t="str">
        <f t="shared" si="243"/>
        <v>-text 38019.6951188785,337 3.5 90 441.993 </v>
      </c>
      <c r="BC447" t="str">
        <f t="shared" si="244"/>
        <v>-text 38019.6951188785,320 3.5 90 446.243 </v>
      </c>
      <c r="BD447" t="str">
        <f t="shared" si="245"/>
        <v>-text 38019.6951188785,306 3.5 90 445.540 </v>
      </c>
      <c r="BE447" t="str">
        <f t="shared" si="246"/>
        <v>-text 38019.6951188785,352 3.5 90 ZG76+041.390 </v>
      </c>
      <c r="BF447" t="str">
        <f t="shared" si="247"/>
        <v>-text 38019.6951188785,280 3.5 90 全家沟2#渡槽进 </v>
      </c>
      <c r="BG447" t="str">
        <f t="shared" si="248"/>
        <v/>
      </c>
      <c r="BH447" t="str">
        <f t="shared" si="249"/>
        <v> </v>
      </c>
      <c r="BI447" t="str">
        <f t="shared" si="250"/>
        <v> </v>
      </c>
      <c r="BJ447" t="str">
        <f t="shared" si="251"/>
        <v> </v>
      </c>
    </row>
    <row r="448" spans="1:62">
      <c r="A448">
        <v>2</v>
      </c>
      <c r="B448">
        <v>447</v>
      </c>
      <c r="C448" t="str">
        <f>Sheet1!C407</f>
        <v>全家沟2#渡槽出</v>
      </c>
      <c r="D448">
        <v>490202.4674</v>
      </c>
      <c r="E448">
        <v>3361325.0007</v>
      </c>
      <c r="G448">
        <f t="shared" si="253"/>
        <v>0</v>
      </c>
      <c r="H448">
        <f t="shared" si="254"/>
        <v>0</v>
      </c>
      <c r="I448">
        <f t="shared" si="255"/>
        <v>0</v>
      </c>
      <c r="J448">
        <f t="shared" si="256"/>
        <v>71.6338057100195</v>
      </c>
      <c r="K448" s="40">
        <f t="shared" si="257"/>
        <v>76113.0240434669</v>
      </c>
      <c r="L448" s="40">
        <f t="shared" si="258"/>
        <v>76113.0240434669</v>
      </c>
      <c r="M448" s="40">
        <f t="shared" si="259"/>
        <v>76113.0240434669</v>
      </c>
      <c r="N448">
        <v>445.519</v>
      </c>
      <c r="O448">
        <v>441.972</v>
      </c>
      <c r="P448">
        <v>0</v>
      </c>
      <c r="Q448" s="39">
        <f t="shared" si="260"/>
        <v>490202.4674</v>
      </c>
      <c r="R448" s="39">
        <f t="shared" si="261"/>
        <v>3361325.0007</v>
      </c>
      <c r="S448" s="39" t="str">
        <f t="shared" si="234"/>
        <v> </v>
      </c>
      <c r="T448" s="39" t="str">
        <f t="shared" si="235"/>
        <v> </v>
      </c>
      <c r="U448" s="39" t="str">
        <f t="shared" si="236"/>
        <v> </v>
      </c>
      <c r="V448" s="39" t="str">
        <f t="shared" si="237"/>
        <v> </v>
      </c>
      <c r="AI448" t="str">
        <f t="array" ref="AI448">IFERROR(INDEX($L$2:$L$789,SMALL(IF(ISNUMBER(FIND($AH$2,$C$2:$C$789)),ROW($2:$789)-1,4^8),ROW(A447)))&amp;"","")</f>
        <v/>
      </c>
      <c r="AT448" t="str">
        <f t="shared" si="238"/>
        <v>490202.4674,3361325.0007</v>
      </c>
      <c r="AV448">
        <f t="shared" si="252"/>
        <v>446.222</v>
      </c>
      <c r="AX448" t="str">
        <f t="shared" si="239"/>
        <v>pl 38056.5120217335,279 38056.5120217335,400 </v>
      </c>
      <c r="AY448" t="str">
        <f t="shared" si="240"/>
        <v>38056.5120217335,441.972</v>
      </c>
      <c r="AZ448" t="str">
        <f t="shared" si="241"/>
        <v>38056.5120217335,445.519</v>
      </c>
      <c r="BA448" t="str">
        <f t="shared" si="242"/>
        <v>38056.5120217334,446.222</v>
      </c>
      <c r="BB448" t="str">
        <f t="shared" si="243"/>
        <v>-text 38055.5120217335,337 3.5 90 441.972 </v>
      </c>
      <c r="BC448" t="str">
        <f t="shared" si="244"/>
        <v>-text 38055.5120217334,320 3.5 90 446.222 </v>
      </c>
      <c r="BD448" t="str">
        <f t="shared" si="245"/>
        <v>-text 38055.5120217335,306 3.5 90 445.519 </v>
      </c>
      <c r="BE448" t="str">
        <f t="shared" si="246"/>
        <v>-text 38055.5120217335,352 3.5 90 ZG76+113.024 </v>
      </c>
      <c r="BF448" t="str">
        <f t="shared" si="247"/>
        <v>-text 38055.5120217335,280 3.5 90 全家沟2#渡槽出 </v>
      </c>
      <c r="BG448" t="str">
        <f t="shared" si="248"/>
        <v/>
      </c>
      <c r="BH448" t="str">
        <f t="shared" si="249"/>
        <v> </v>
      </c>
      <c r="BI448" t="str">
        <f t="shared" si="250"/>
        <v> </v>
      </c>
      <c r="BJ448" t="str">
        <f t="shared" si="251"/>
        <v> </v>
      </c>
    </row>
    <row r="449" spans="1:62">
      <c r="A449">
        <v>0</v>
      </c>
      <c r="B449">
        <v>448</v>
      </c>
      <c r="C449" t="s">
        <v>428</v>
      </c>
      <c r="D449">
        <v>490206.9241</v>
      </c>
      <c r="E449">
        <v>3361294.4331</v>
      </c>
      <c r="F449">
        <v>60</v>
      </c>
      <c r="G449">
        <f t="shared" si="253"/>
        <v>13.917</v>
      </c>
      <c r="H449">
        <f t="shared" si="254"/>
        <v>7.32296368553452</v>
      </c>
      <c r="I449">
        <f t="shared" si="255"/>
        <v>14.5738483200031</v>
      </c>
      <c r="J449">
        <f t="shared" si="256"/>
        <v>30.8907809007975</v>
      </c>
      <c r="K449" s="40">
        <f t="shared" si="257"/>
        <v>76136.5918606822</v>
      </c>
      <c r="L449" s="40">
        <f t="shared" si="258"/>
        <v>76143.8787848422</v>
      </c>
      <c r="M449" s="40">
        <f t="shared" si="259"/>
        <v>76151.1657090022</v>
      </c>
      <c r="N449">
        <v>445.537</v>
      </c>
      <c r="O449">
        <v>441.622</v>
      </c>
      <c r="P449">
        <v>0.001</v>
      </c>
      <c r="Q449" s="39">
        <f t="shared" si="260"/>
        <v>490205.867595396</v>
      </c>
      <c r="R449" s="39">
        <f t="shared" si="261"/>
        <v>3361301.67945047</v>
      </c>
      <c r="S449" s="39">
        <f t="shared" si="234"/>
        <v>490207.353633546</v>
      </c>
      <c r="T449" s="39">
        <f t="shared" si="235"/>
        <v>3361294.55023238</v>
      </c>
      <c r="U449" s="39">
        <f t="shared" si="236"/>
        <v>490209.692411039</v>
      </c>
      <c r="V449" s="39">
        <f t="shared" si="237"/>
        <v>3361287.65355347</v>
      </c>
      <c r="AI449" t="str">
        <f t="array" ref="AI449">IFERROR(INDEX($L$2:$L$789,SMALL(IF(ISNUMBER(FIND($AH$2,$C$2:$C$789)),ROW($2:$789)-1,4^8),ROW(A448)))&amp;"","")</f>
        <v/>
      </c>
      <c r="AS449" t="str">
        <f>"-text"&amp;" "&amp;D449&amp;","&amp;E449&amp;" "&amp;"10"&amp;" "&amp;"0"&amp;" "&amp;C449</f>
        <v>-text 490206.9241,3361294.4331 10 0 IP238</v>
      </c>
      <c r="AT449" t="str">
        <f t="shared" si="238"/>
        <v>490206.9241,3361294.4331</v>
      </c>
      <c r="AV449">
        <f t="shared" si="252"/>
        <v>447.022</v>
      </c>
      <c r="AX449" t="str">
        <f t="shared" si="239"/>
        <v>pl 38071.9393924211,279 38071.9393924211,400 </v>
      </c>
      <c r="AY449" t="str">
        <f t="shared" si="240"/>
        <v>38071.9393924211,441.622</v>
      </c>
      <c r="AZ449" t="str">
        <f t="shared" si="241"/>
        <v>38071.9393924211,445.537</v>
      </c>
      <c r="BA449" t="str">
        <f t="shared" si="242"/>
        <v>38071.9393924211,447.022</v>
      </c>
      <c r="BB449" t="str">
        <f t="shared" si="243"/>
        <v>-text 38070.9393924211,337 3.5 90 441.622 </v>
      </c>
      <c r="BC449" t="str">
        <f t="shared" si="244"/>
        <v>-text 38070.9393924211,320 3.5 90 447.022 </v>
      </c>
      <c r="BD449" t="str">
        <f t="shared" si="245"/>
        <v>-text 38070.9393924211,306 3.5 90 445.537 </v>
      </c>
      <c r="BE449" t="str">
        <f t="shared" si="246"/>
        <v>-text 38070.9393924211,352 3.5 90 ZG76+143.879 </v>
      </c>
      <c r="BF449" t="str">
        <f t="shared" si="247"/>
        <v>-text 38070.9393924211,280 3.5 90 IP238 </v>
      </c>
      <c r="BG449" t="str">
        <f t="shared" si="248"/>
        <v>-TEXT 38072.9393924211,300 3.5 0 R=60</v>
      </c>
      <c r="BH449" t="str">
        <f t="shared" si="249"/>
        <v>-TEXT 38072.9393924211,295 3.5 0 α=13.92° </v>
      </c>
      <c r="BI449" t="str">
        <f t="shared" si="250"/>
        <v>-TEXT 38072.9393924211,290 3.5 0 T=7.32 </v>
      </c>
      <c r="BJ449" t="str">
        <f t="shared" si="251"/>
        <v>-TEXT 38072.9393924211,285 3.5 0 S=14.57 </v>
      </c>
    </row>
    <row r="450" spans="1:62">
      <c r="A450">
        <v>2</v>
      </c>
      <c r="B450">
        <v>449</v>
      </c>
      <c r="C450" t="str">
        <f>Sheet1!C409</f>
        <v>丁家湾渡槽进</v>
      </c>
      <c r="D450">
        <v>490264.0893</v>
      </c>
      <c r="E450">
        <v>3361154.4365</v>
      </c>
      <c r="G450">
        <f t="shared" si="253"/>
        <v>0</v>
      </c>
      <c r="H450">
        <f t="shared" si="254"/>
        <v>0</v>
      </c>
      <c r="I450">
        <f t="shared" si="255"/>
        <v>0</v>
      </c>
      <c r="J450">
        <f t="shared" si="256"/>
        <v>151.218081268912</v>
      </c>
      <c r="K450" s="40">
        <f t="shared" si="257"/>
        <v>76295.0608265856</v>
      </c>
      <c r="L450" s="40">
        <f t="shared" si="258"/>
        <v>76295.0608265856</v>
      </c>
      <c r="M450" s="40">
        <f t="shared" si="259"/>
        <v>76295.0608265856</v>
      </c>
      <c r="N450">
        <v>445.465</v>
      </c>
      <c r="O450">
        <v>441.918</v>
      </c>
      <c r="P450">
        <v>0</v>
      </c>
      <c r="Q450" s="39">
        <f t="shared" si="260"/>
        <v>490264.0893</v>
      </c>
      <c r="R450" s="39">
        <f t="shared" si="261"/>
        <v>3361154.4365</v>
      </c>
      <c r="S450" s="39" t="str">
        <f t="shared" si="234"/>
        <v> </v>
      </c>
      <c r="T450" s="39" t="str">
        <f t="shared" si="235"/>
        <v> </v>
      </c>
      <c r="U450" s="39" t="str">
        <f t="shared" si="236"/>
        <v> </v>
      </c>
      <c r="V450" s="39" t="str">
        <f t="shared" si="237"/>
        <v> </v>
      </c>
      <c r="AI450" t="str">
        <f t="array" ref="AI450">IFERROR(INDEX($L$2:$L$789,SMALL(IF(ISNUMBER(FIND($AH$2,$C$2:$C$789)),ROW($2:$789)-1,4^8),ROW(A449)))&amp;"","")</f>
        <v/>
      </c>
      <c r="AT450" t="str">
        <f t="shared" si="238"/>
        <v>490264.0893,3361154.4365</v>
      </c>
      <c r="AV450">
        <f t="shared" si="252"/>
        <v>446.168</v>
      </c>
      <c r="AX450" t="str">
        <f t="shared" si="239"/>
        <v>pl 38147.5304132928,279 38147.5304132928,400 </v>
      </c>
      <c r="AY450" t="str">
        <f t="shared" si="240"/>
        <v>38147.5304132928,441.918</v>
      </c>
      <c r="AZ450" t="str">
        <f t="shared" si="241"/>
        <v>38147.5304132928,445.465</v>
      </c>
      <c r="BA450" t="str">
        <f t="shared" si="242"/>
        <v>38147.5304132928,446.168</v>
      </c>
      <c r="BB450" t="str">
        <f t="shared" si="243"/>
        <v>-text 38146.5304132928,337 3.5 90 441.918 </v>
      </c>
      <c r="BC450" t="str">
        <f t="shared" si="244"/>
        <v>-text 38146.5304132928,320 3.5 90 446.168 </v>
      </c>
      <c r="BD450" t="str">
        <f t="shared" si="245"/>
        <v>-text 38146.5304132928,306 3.5 90 445.465 </v>
      </c>
      <c r="BE450" t="str">
        <f t="shared" si="246"/>
        <v>-text 38146.5304132928,352 3.5 90 ZG76+295.061 </v>
      </c>
      <c r="BF450" t="str">
        <f t="shared" si="247"/>
        <v>-text 38146.5304132928,280 3.5 90 丁家湾渡槽进 </v>
      </c>
      <c r="BG450" t="str">
        <f t="shared" si="248"/>
        <v/>
      </c>
      <c r="BH450" t="str">
        <f t="shared" si="249"/>
        <v> </v>
      </c>
      <c r="BI450" t="str">
        <f t="shared" si="250"/>
        <v> </v>
      </c>
      <c r="BJ450" t="str">
        <f t="shared" si="251"/>
        <v> </v>
      </c>
    </row>
    <row r="451" spans="1:62">
      <c r="A451">
        <v>2</v>
      </c>
      <c r="B451">
        <v>450</v>
      </c>
      <c r="C451" t="str">
        <f>Sheet1!C410</f>
        <v>丁家湾渡槽出</v>
      </c>
      <c r="D451">
        <v>490327.9288</v>
      </c>
      <c r="E451">
        <v>3360998.0947</v>
      </c>
      <c r="G451">
        <f t="shared" si="253"/>
        <v>0</v>
      </c>
      <c r="H451">
        <f t="shared" si="254"/>
        <v>0</v>
      </c>
      <c r="I451">
        <f t="shared" si="255"/>
        <v>0</v>
      </c>
      <c r="J451">
        <f t="shared" si="256"/>
        <v>168.873444293372</v>
      </c>
      <c r="K451" s="40">
        <f t="shared" si="257"/>
        <v>76463.9342708789</v>
      </c>
      <c r="L451" s="40">
        <f t="shared" si="258"/>
        <v>76463.9342708789</v>
      </c>
      <c r="M451" s="40">
        <f t="shared" si="259"/>
        <v>76463.9342708789</v>
      </c>
      <c r="N451">
        <v>445.417</v>
      </c>
      <c r="O451">
        <v>441.87</v>
      </c>
      <c r="P451">
        <v>0</v>
      </c>
      <c r="Q451" s="39">
        <f t="shared" si="260"/>
        <v>490327.9288</v>
      </c>
      <c r="R451" s="39">
        <f t="shared" si="261"/>
        <v>3360998.0947</v>
      </c>
      <c r="S451" s="39" t="str">
        <f t="shared" si="234"/>
        <v> </v>
      </c>
      <c r="T451" s="39" t="str">
        <f t="shared" si="235"/>
        <v> </v>
      </c>
      <c r="U451" s="39" t="str">
        <f t="shared" si="236"/>
        <v> </v>
      </c>
      <c r="V451" s="39" t="str">
        <f t="shared" si="237"/>
        <v> </v>
      </c>
      <c r="AI451" t="str">
        <f t="array" ref="AI451">IFERROR(INDEX($L$2:$L$789,SMALL(IF(ISNUMBER(FIND($AH$2,$C$2:$C$789)),ROW($2:$789)-1,4^8),ROW(A450)))&amp;"","")</f>
        <v/>
      </c>
      <c r="AT451" t="str">
        <f t="shared" si="238"/>
        <v>490327.9288,3360998.0947</v>
      </c>
      <c r="AV451">
        <f t="shared" si="252"/>
        <v>446.12</v>
      </c>
      <c r="AX451" t="str">
        <f t="shared" si="239"/>
        <v>pl 38231.9671354395,279 38231.9671354395,400 </v>
      </c>
      <c r="AY451" t="str">
        <f t="shared" si="240"/>
        <v>38231.9671354395,441.87</v>
      </c>
      <c r="AZ451" t="str">
        <f t="shared" si="241"/>
        <v>38231.9671354395,445.417</v>
      </c>
      <c r="BA451" t="str">
        <f t="shared" si="242"/>
        <v>38231.9671354395,446.12</v>
      </c>
      <c r="BB451" t="str">
        <f t="shared" si="243"/>
        <v>-text 38230.9671354395,337 3.5 90 441.870 </v>
      </c>
      <c r="BC451" t="str">
        <f t="shared" si="244"/>
        <v>-text 38230.9671354395,320 3.5 90 446.120 </v>
      </c>
      <c r="BD451" t="str">
        <f t="shared" si="245"/>
        <v>-text 38230.9671354395,306 3.5 90 445.417 </v>
      </c>
      <c r="BE451" t="str">
        <f t="shared" si="246"/>
        <v>-text 38230.9671354395,352 3.5 90 ZG76+463.934 </v>
      </c>
      <c r="BF451" t="str">
        <f t="shared" si="247"/>
        <v>-text 38230.9671354395,280 3.5 90 丁家湾渡槽出 </v>
      </c>
      <c r="BG451" t="str">
        <f t="shared" si="248"/>
        <v/>
      </c>
      <c r="BH451" t="str">
        <f t="shared" si="249"/>
        <v> </v>
      </c>
      <c r="BI451" t="str">
        <f t="shared" si="250"/>
        <v> </v>
      </c>
      <c r="BJ451" t="str">
        <f t="shared" si="251"/>
        <v> </v>
      </c>
    </row>
    <row r="452" spans="1:62">
      <c r="A452">
        <v>0</v>
      </c>
      <c r="B452">
        <v>451</v>
      </c>
      <c r="C452" t="s">
        <v>431</v>
      </c>
      <c r="D452">
        <v>490337.1366</v>
      </c>
      <c r="E452">
        <v>3360975.545</v>
      </c>
      <c r="F452">
        <v>80</v>
      </c>
      <c r="G452">
        <f t="shared" si="253"/>
        <v>22.963</v>
      </c>
      <c r="H452">
        <f t="shared" si="254"/>
        <v>16.2492856338907</v>
      </c>
      <c r="I452">
        <f t="shared" si="255"/>
        <v>32.0623964908366</v>
      </c>
      <c r="J452">
        <f t="shared" si="256"/>
        <v>24.3571868433977</v>
      </c>
      <c r="K452" s="40">
        <f t="shared" si="257"/>
        <v>76472.0421720884</v>
      </c>
      <c r="L452" s="40">
        <f t="shared" si="258"/>
        <v>76488.0733703338</v>
      </c>
      <c r="M452" s="40">
        <f t="shared" si="259"/>
        <v>76504.1045685793</v>
      </c>
      <c r="N452">
        <v>445.436</v>
      </c>
      <c r="O452">
        <v>441.521</v>
      </c>
      <c r="P452">
        <v>0.001</v>
      </c>
      <c r="Q452" s="39">
        <f t="shared" si="260"/>
        <v>490330.993847423</v>
      </c>
      <c r="R452" s="39">
        <f t="shared" si="261"/>
        <v>3360990.58846617</v>
      </c>
      <c r="S452" s="39">
        <f t="shared" si="234"/>
        <v>490338.495771665</v>
      </c>
      <c r="T452" s="39">
        <f t="shared" si="235"/>
        <v>3360976.45123126</v>
      </c>
      <c r="U452" s="39">
        <f t="shared" si="236"/>
        <v>490348.661642543</v>
      </c>
      <c r="V452" s="39">
        <f t="shared" si="237"/>
        <v>3360964.09018974</v>
      </c>
      <c r="AI452" t="str">
        <f t="array" ref="AI452">IFERROR(INDEX($L$2:$L$789,SMALL(IF(ISNUMBER(FIND($AH$2,$C$2:$C$789)),ROW($2:$789)-1,4^8),ROW(A451)))&amp;"","")</f>
        <v/>
      </c>
      <c r="AS452" t="str">
        <f>"-text"&amp;" "&amp;D452&amp;","&amp;E452&amp;" "&amp;"10"&amp;" "&amp;"0"&amp;" "&amp;C452</f>
        <v>-text 490337.1366,3360975.545 10 0 IP239</v>
      </c>
      <c r="AT452" t="str">
        <f t="shared" si="238"/>
        <v>490337.1366,3360975.545</v>
      </c>
      <c r="AV452">
        <f t="shared" si="252"/>
        <v>446.921</v>
      </c>
      <c r="AX452" t="str">
        <f t="shared" si="239"/>
        <v>pl 38244.0366851669,279 38244.0366851669,400 </v>
      </c>
      <c r="AY452" t="str">
        <f t="shared" si="240"/>
        <v>38244.0366851669,441.521</v>
      </c>
      <c r="AZ452" t="str">
        <f t="shared" si="241"/>
        <v>38244.0366851669,445.436</v>
      </c>
      <c r="BA452" t="str">
        <f t="shared" si="242"/>
        <v>38244.0366851669,446.921</v>
      </c>
      <c r="BB452" t="str">
        <f t="shared" si="243"/>
        <v>-text 38243.0366851669,337 3.5 90 441.521 </v>
      </c>
      <c r="BC452" t="str">
        <f t="shared" si="244"/>
        <v>-text 38243.0366851669,320 3.5 90 446.921 </v>
      </c>
      <c r="BD452" t="str">
        <f t="shared" si="245"/>
        <v>-text 38243.0366851669,306 3.5 90 445.436 </v>
      </c>
      <c r="BE452" t="str">
        <f t="shared" si="246"/>
        <v>-text 38243.0366851669,352 3.5 90 ZG76+488.073 </v>
      </c>
      <c r="BF452" t="str">
        <f t="shared" si="247"/>
        <v>-text 38243.0366851669,280 3.5 90 IP239 </v>
      </c>
      <c r="BG452" t="str">
        <f t="shared" si="248"/>
        <v>-TEXT 38245.0366851669,300 3.5 0 R=80</v>
      </c>
      <c r="BH452" t="str">
        <f t="shared" si="249"/>
        <v>-TEXT 38245.0366851669,295 3.5 0 α=22.96° </v>
      </c>
      <c r="BI452" t="str">
        <f t="shared" si="250"/>
        <v>-TEXT 38245.0366851669,290 3.5 0 T=16.25 </v>
      </c>
      <c r="BJ452" t="str">
        <f t="shared" si="251"/>
        <v>-TEXT 38245.0366851669,285 3.5 0 S=32.06 </v>
      </c>
    </row>
    <row r="453" spans="1:62">
      <c r="A453">
        <v>0</v>
      </c>
      <c r="B453">
        <v>452</v>
      </c>
      <c r="C453" t="s">
        <v>432</v>
      </c>
      <c r="D453">
        <v>490500.0376</v>
      </c>
      <c r="E453">
        <v>3360813.6367</v>
      </c>
      <c r="F453">
        <v>80</v>
      </c>
      <c r="G453">
        <f t="shared" si="253"/>
        <v>41.319</v>
      </c>
      <c r="H453">
        <f t="shared" si="254"/>
        <v>30.1648752400957</v>
      </c>
      <c r="I453">
        <f t="shared" si="255"/>
        <v>57.692207490523</v>
      </c>
      <c r="J453">
        <f t="shared" si="256"/>
        <v>229.675931281018</v>
      </c>
      <c r="K453" s="40">
        <f t="shared" si="257"/>
        <v>76687.3663389863</v>
      </c>
      <c r="L453" s="40">
        <f t="shared" si="258"/>
        <v>76716.2124427316</v>
      </c>
      <c r="M453" s="40">
        <f t="shared" si="259"/>
        <v>76745.0585464768</v>
      </c>
      <c r="N453">
        <v>445.392</v>
      </c>
      <c r="O453">
        <v>441.477</v>
      </c>
      <c r="P453">
        <v>0.002</v>
      </c>
      <c r="Q453" s="39">
        <f t="shared" si="260"/>
        <v>490478.642722818</v>
      </c>
      <c r="R453" s="39">
        <f t="shared" si="261"/>
        <v>3360834.90119926</v>
      </c>
      <c r="S453" s="39">
        <f t="shared" si="234"/>
        <v>490495.035214147</v>
      </c>
      <c r="T453" s="39">
        <f t="shared" si="235"/>
        <v>3360811.35532671</v>
      </c>
      <c r="U453" s="39">
        <f t="shared" si="236"/>
        <v>490502.066304085</v>
      </c>
      <c r="V453" s="39">
        <f t="shared" si="237"/>
        <v>3360783.54012116</v>
      </c>
      <c r="AI453" t="str">
        <f t="array" ref="AI453">IFERROR(INDEX($L$2:$L$789,SMALL(IF(ISNUMBER(FIND($AH$2,$C$2:$C$789)),ROW($2:$789)-1,4^8),ROW(A452)))&amp;"","")</f>
        <v/>
      </c>
      <c r="AS453" t="str">
        <f>"-text"&amp;" "&amp;D453&amp;","&amp;E453&amp;" "&amp;"10"&amp;" "&amp;"0"&amp;" "&amp;C453</f>
        <v>-text 490500.0376,3360813.6367 10 0 IP240</v>
      </c>
      <c r="AT453" t="str">
        <f t="shared" si="238"/>
        <v>490500.0376,3360813.6367</v>
      </c>
      <c r="AV453">
        <f t="shared" si="252"/>
        <v>446.877</v>
      </c>
      <c r="AX453" t="str">
        <f t="shared" si="239"/>
        <v>pl 38358.1062213658,279 38358.1062213658,400 </v>
      </c>
      <c r="AY453" t="str">
        <f t="shared" si="240"/>
        <v>38358.1062213658,441.477</v>
      </c>
      <c r="AZ453" t="str">
        <f t="shared" si="241"/>
        <v>38358.1062213658,445.392</v>
      </c>
      <c r="BA453" t="str">
        <f t="shared" si="242"/>
        <v>38358.1062213658,446.877</v>
      </c>
      <c r="BB453" t="str">
        <f t="shared" si="243"/>
        <v>-text 38357.1062213658,337 3.5 90 441.477 </v>
      </c>
      <c r="BC453" t="str">
        <f t="shared" si="244"/>
        <v>-text 38357.1062213658,320 3.5 90 446.877 </v>
      </c>
      <c r="BD453" t="str">
        <f t="shared" si="245"/>
        <v>-text 38357.1062213658,306 3.5 90 445.392 </v>
      </c>
      <c r="BE453" t="str">
        <f t="shared" si="246"/>
        <v>-text 38357.1062213658,352 3.5 90 ZG76+716.212 </v>
      </c>
      <c r="BF453" t="str">
        <f t="shared" si="247"/>
        <v>-text 38357.1062213658,280 3.5 90 IP240 </v>
      </c>
      <c r="BG453" t="str">
        <f t="shared" si="248"/>
        <v>-TEXT 38359.1062213658,300 3.5 0 R=80</v>
      </c>
      <c r="BH453" t="str">
        <f t="shared" si="249"/>
        <v>-TEXT 38359.1062213658,295 3.5 0 α=41.32° </v>
      </c>
      <c r="BI453" t="str">
        <f t="shared" si="250"/>
        <v>-TEXT 38359.1062213658,290 3.5 0 T=30.16 </v>
      </c>
      <c r="BJ453" t="str">
        <f t="shared" si="251"/>
        <v>-TEXT 38359.1062213658,285 3.5 0 S=57.69 </v>
      </c>
    </row>
    <row r="454" spans="1:62">
      <c r="A454">
        <v>0</v>
      </c>
      <c r="B454">
        <v>453</v>
      </c>
      <c r="C454" t="s">
        <v>433</v>
      </c>
      <c r="D454">
        <v>490509.0488</v>
      </c>
      <c r="E454">
        <v>3360679.9522</v>
      </c>
      <c r="F454">
        <v>80</v>
      </c>
      <c r="G454">
        <f t="shared" si="253"/>
        <v>12.381</v>
      </c>
      <c r="H454">
        <f t="shared" si="254"/>
        <v>8.67736034664641</v>
      </c>
      <c r="I454">
        <f t="shared" si="255"/>
        <v>17.2871371751534</v>
      </c>
      <c r="J454">
        <f t="shared" si="256"/>
        <v>133.987862381946</v>
      </c>
      <c r="K454" s="40">
        <f t="shared" si="257"/>
        <v>76840.204173272</v>
      </c>
      <c r="L454" s="40">
        <f t="shared" si="258"/>
        <v>76848.8477418596</v>
      </c>
      <c r="M454" s="40">
        <f t="shared" si="259"/>
        <v>76857.4913104472</v>
      </c>
      <c r="N454">
        <v>445.366</v>
      </c>
      <c r="O454">
        <v>441.451</v>
      </c>
      <c r="P454">
        <v>0.001</v>
      </c>
      <c r="Q454" s="39">
        <f t="shared" si="260"/>
        <v>490508.465214083</v>
      </c>
      <c r="R454" s="39">
        <f t="shared" si="261"/>
        <v>3360688.60991391</v>
      </c>
      <c r="S454" s="39">
        <f t="shared" si="234"/>
        <v>490509.510837448</v>
      </c>
      <c r="T454" s="39">
        <f t="shared" si="235"/>
        <v>3360680.03405922</v>
      </c>
      <c r="U454" s="39">
        <f t="shared" si="236"/>
        <v>490511.475147297</v>
      </c>
      <c r="V454" s="39">
        <f t="shared" si="237"/>
        <v>3360671.62096832</v>
      </c>
      <c r="AI454" t="str">
        <f t="array" ref="AI454">IFERROR(INDEX($L$2:$L$789,SMALL(IF(ISNUMBER(FIND($AH$2,$C$2:$C$789)),ROW($2:$789)-1,4^8),ROW(A453)))&amp;"","")</f>
        <v/>
      </c>
      <c r="AS454" t="str">
        <f>"-text"&amp;" "&amp;D454&amp;","&amp;E454&amp;" "&amp;"10"&amp;" "&amp;"0"&amp;" "&amp;C454</f>
        <v>-text 490509.0488,3360679.9522 10 0 IP241</v>
      </c>
      <c r="AT454" t="str">
        <f t="shared" si="238"/>
        <v>490509.0488,3360679.9522</v>
      </c>
      <c r="AV454">
        <f t="shared" si="252"/>
        <v>446.851</v>
      </c>
      <c r="AX454" t="str">
        <f t="shared" si="239"/>
        <v>pl 38424.4238709298,279 38424.4238709298,400 </v>
      </c>
      <c r="AY454" t="str">
        <f t="shared" si="240"/>
        <v>38424.4238709298,441.451</v>
      </c>
      <c r="AZ454" t="str">
        <f t="shared" si="241"/>
        <v>38424.4238709298,445.366</v>
      </c>
      <c r="BA454" t="str">
        <f t="shared" si="242"/>
        <v>38424.4238709298,446.851</v>
      </c>
      <c r="BB454" t="str">
        <f t="shared" si="243"/>
        <v>-text 38423.4238709298,337 3.5 90 441.451 </v>
      </c>
      <c r="BC454" t="str">
        <f t="shared" si="244"/>
        <v>-text 38423.4238709298,320 3.5 90 446.851 </v>
      </c>
      <c r="BD454" t="str">
        <f t="shared" si="245"/>
        <v>-text 38423.4238709298,306 3.5 90 445.366 </v>
      </c>
      <c r="BE454" t="str">
        <f t="shared" si="246"/>
        <v>-text 38423.4238709298,352 3.5 90 ZG76+848.848 </v>
      </c>
      <c r="BF454" t="str">
        <f t="shared" si="247"/>
        <v>-text 38423.4238709298,280 3.5 90 IP241 </v>
      </c>
      <c r="BG454" t="str">
        <f t="shared" si="248"/>
        <v>-TEXT 38425.4238709298,300 3.5 0 R=80</v>
      </c>
      <c r="BH454" t="str">
        <f t="shared" si="249"/>
        <v>-TEXT 38425.4238709298,295 3.5 0 α=12.38° </v>
      </c>
      <c r="BI454" t="str">
        <f t="shared" si="250"/>
        <v>-TEXT 38425.4238709298,290 3.5 0 T=8.68 </v>
      </c>
      <c r="BJ454" t="str">
        <f t="shared" si="251"/>
        <v>-TEXT 38425.4238709298,285 3.5 0 S=17.29 </v>
      </c>
    </row>
    <row r="455" spans="1:62">
      <c r="A455">
        <v>0</v>
      </c>
      <c r="B455">
        <v>454</v>
      </c>
      <c r="C455" t="s">
        <v>434</v>
      </c>
      <c r="D455">
        <v>490528.561</v>
      </c>
      <c r="E455">
        <v>3360612.9541</v>
      </c>
      <c r="F455">
        <v>80</v>
      </c>
      <c r="G455">
        <f t="shared" si="253"/>
        <v>19.207</v>
      </c>
      <c r="H455">
        <f t="shared" si="254"/>
        <v>13.5360139563309</v>
      </c>
      <c r="I455">
        <f t="shared" si="255"/>
        <v>26.8180311544441</v>
      </c>
      <c r="J455">
        <f t="shared" si="256"/>
        <v>69.7815975200167</v>
      </c>
      <c r="K455" s="40">
        <f t="shared" si="257"/>
        <v>76905.0595336642</v>
      </c>
      <c r="L455" s="40">
        <f t="shared" si="258"/>
        <v>76918.4685492415</v>
      </c>
      <c r="M455" s="40">
        <f t="shared" si="259"/>
        <v>76931.8775648187</v>
      </c>
      <c r="N455">
        <v>445.352</v>
      </c>
      <c r="O455">
        <v>441.437</v>
      </c>
      <c r="P455">
        <v>0.001</v>
      </c>
      <c r="Q455" s="39">
        <f t="shared" si="260"/>
        <v>490524.776085052</v>
      </c>
      <c r="R455" s="39">
        <f t="shared" si="261"/>
        <v>3360625.9501799</v>
      </c>
      <c r="S455" s="39">
        <f t="shared" si="234"/>
        <v>490529.5843852</v>
      </c>
      <c r="T455" s="39">
        <f t="shared" si="235"/>
        <v>3360613.44972925</v>
      </c>
      <c r="U455" s="39">
        <f t="shared" si="236"/>
        <v>490536.410771995</v>
      </c>
      <c r="V455" s="39">
        <f t="shared" si="237"/>
        <v>3360601.92664547</v>
      </c>
      <c r="AI455" t="str">
        <f t="array" ref="AI455">IFERROR(INDEX($L$2:$L$789,SMALL(IF(ISNUMBER(FIND($AH$2,$C$2:$C$789)),ROW($2:$789)-1,4^8),ROW(A454)))&amp;"","")</f>
        <v/>
      </c>
      <c r="AS455" t="str">
        <f>"-text"&amp;" "&amp;D455&amp;","&amp;E455&amp;" "&amp;"10"&amp;" "&amp;"0"&amp;" "&amp;C455</f>
        <v>-text 490528.561,3360612.9541 10 0 IP242</v>
      </c>
      <c r="AT455" t="str">
        <f t="shared" si="238"/>
        <v>490528.561,3360612.9541</v>
      </c>
      <c r="AV455">
        <f t="shared" si="252"/>
        <v>446.837</v>
      </c>
      <c r="AX455" t="str">
        <f t="shared" si="239"/>
        <v>pl 38459.2342746207,279 38459.2342746207,400 </v>
      </c>
      <c r="AY455" t="str">
        <f t="shared" si="240"/>
        <v>38459.2342746207,441.437</v>
      </c>
      <c r="AZ455" t="str">
        <f t="shared" si="241"/>
        <v>38459.2342746207,445.352</v>
      </c>
      <c r="BA455" t="str">
        <f t="shared" si="242"/>
        <v>38459.2342746208,446.837</v>
      </c>
      <c r="BB455" t="str">
        <f t="shared" si="243"/>
        <v>-text 38458.2342746207,337 3.5 90 441.437 </v>
      </c>
      <c r="BC455" t="str">
        <f t="shared" si="244"/>
        <v>-text 38458.2342746208,320 3.5 90 446.837 </v>
      </c>
      <c r="BD455" t="str">
        <f t="shared" si="245"/>
        <v>-text 38458.2342746207,306 3.5 90 445.352 </v>
      </c>
      <c r="BE455" t="str">
        <f t="shared" si="246"/>
        <v>-text 38458.2342746207,352 3.5 90 ZG76+918.469 </v>
      </c>
      <c r="BF455" t="str">
        <f t="shared" si="247"/>
        <v>-text 38458.2342746207,280 3.5 90 IP242 </v>
      </c>
      <c r="BG455" t="str">
        <f t="shared" si="248"/>
        <v>-TEXT 38460.2342746207,300 3.5 0 R=80</v>
      </c>
      <c r="BH455" t="str">
        <f t="shared" si="249"/>
        <v>-TEXT 38460.2342746207,295 3.5 0 α=19.21° </v>
      </c>
      <c r="BI455" t="str">
        <f t="shared" si="250"/>
        <v>-TEXT 38460.2342746207,290 3.5 0 T=13.54 </v>
      </c>
      <c r="BJ455" t="str">
        <f t="shared" si="251"/>
        <v>-TEXT 38460.2342746207,285 3.5 0 S=26.82 </v>
      </c>
    </row>
    <row r="456" spans="1:62">
      <c r="A456">
        <v>0</v>
      </c>
      <c r="B456">
        <v>455</v>
      </c>
      <c r="C456" t="s">
        <v>435</v>
      </c>
      <c r="D456">
        <v>490558.5979</v>
      </c>
      <c r="E456">
        <v>3360570.7579</v>
      </c>
      <c r="F456">
        <v>80</v>
      </c>
      <c r="G456">
        <f t="shared" si="253"/>
        <v>32.679</v>
      </c>
      <c r="H456">
        <f t="shared" si="254"/>
        <v>23.4535176802714</v>
      </c>
      <c r="I456">
        <f t="shared" si="255"/>
        <v>45.6284917007382</v>
      </c>
      <c r="J456">
        <f t="shared" si="256"/>
        <v>51.7951219330614</v>
      </c>
      <c r="K456" s="40">
        <f t="shared" si="257"/>
        <v>76946.6831551151</v>
      </c>
      <c r="L456" s="40">
        <f t="shared" si="258"/>
        <v>76969.4974009655</v>
      </c>
      <c r="M456" s="40">
        <f t="shared" si="259"/>
        <v>76992.3116468159</v>
      </c>
      <c r="N456">
        <v>445.342</v>
      </c>
      <c r="O456">
        <v>441.427</v>
      </c>
      <c r="P456">
        <v>0.001</v>
      </c>
      <c r="Q456" s="39">
        <f t="shared" si="260"/>
        <v>490544.996793585</v>
      </c>
      <c r="R456" s="39">
        <f t="shared" si="261"/>
        <v>3360589.86489861</v>
      </c>
      <c r="S456" s="39">
        <f t="shared" si="234"/>
        <v>490555.416324629</v>
      </c>
      <c r="T456" s="39">
        <f t="shared" si="235"/>
        <v>3360569.65584632</v>
      </c>
      <c r="U456" s="39">
        <f t="shared" si="236"/>
        <v>490559.729702593</v>
      </c>
      <c r="V456" s="39">
        <f t="shared" si="237"/>
        <v>3360547.33170709</v>
      </c>
      <c r="AI456" t="str">
        <f t="array" ref="AI456">IFERROR(INDEX($L$2:$L$789,SMALL(IF(ISNUMBER(FIND($AH$2,$C$2:$C$789)),ROW($2:$789)-1,4^8),ROW(A455)))&amp;"","")</f>
        <v/>
      </c>
      <c r="AS456" t="str">
        <f>"-text"&amp;" "&amp;D456&amp;","&amp;E456&amp;" "&amp;"10"&amp;" "&amp;"0"&amp;" "&amp;C456</f>
        <v>-text 490558.5979,3360570.7579 10 0 IP243</v>
      </c>
      <c r="AT456" t="str">
        <f t="shared" si="238"/>
        <v>490558.5979,3360570.7579</v>
      </c>
      <c r="AV456">
        <f t="shared" si="252"/>
        <v>446.827</v>
      </c>
      <c r="AX456" t="str">
        <f t="shared" si="239"/>
        <v>pl 38484.7487004828,279 38484.7487004828,400 </v>
      </c>
      <c r="AY456" t="str">
        <f t="shared" si="240"/>
        <v>38484.7487004828,441.427</v>
      </c>
      <c r="AZ456" t="str">
        <f t="shared" si="241"/>
        <v>38484.7487004828,445.342</v>
      </c>
      <c r="BA456" t="str">
        <f t="shared" si="242"/>
        <v>38484.7487004827,446.827</v>
      </c>
      <c r="BB456" t="str">
        <f t="shared" si="243"/>
        <v>-text 38483.7487004828,337 3.5 90 441.427 </v>
      </c>
      <c r="BC456" t="str">
        <f t="shared" si="244"/>
        <v>-text 38483.7487004827,320 3.5 90 446.827 </v>
      </c>
      <c r="BD456" t="str">
        <f t="shared" si="245"/>
        <v>-text 38483.7487004828,306 3.5 90 445.342 </v>
      </c>
      <c r="BE456" t="str">
        <f t="shared" si="246"/>
        <v>-text 38483.7487004828,352 3.5 90 ZG76+969.497 </v>
      </c>
      <c r="BF456" t="str">
        <f t="shared" si="247"/>
        <v>-text 38483.7487004828,280 3.5 90 IP243 </v>
      </c>
      <c r="BG456" t="str">
        <f t="shared" si="248"/>
        <v>-TEXT 38485.7487004828,300 3.5 0 R=80</v>
      </c>
      <c r="BH456" t="str">
        <f t="shared" si="249"/>
        <v>-TEXT 38485.7487004828,295 3.5 0 α=32.68° </v>
      </c>
      <c r="BI456" t="str">
        <f t="shared" si="250"/>
        <v>-TEXT 38485.7487004828,290 3.5 0 T=23.45 </v>
      </c>
      <c r="BJ456" t="str">
        <f t="shared" si="251"/>
        <v>-TEXT 38485.7487004828,285 3.5 0 S=45.63 </v>
      </c>
    </row>
    <row r="457" spans="1:62">
      <c r="A457">
        <v>2</v>
      </c>
      <c r="B457">
        <v>456</v>
      </c>
      <c r="C457" t="str">
        <f>Sheet1!C416</f>
        <v>白土地渡槽进</v>
      </c>
      <c r="D457">
        <v>490560.7753</v>
      </c>
      <c r="E457">
        <v>3360525.6898</v>
      </c>
      <c r="G457">
        <f t="shared" si="253"/>
        <v>0</v>
      </c>
      <c r="H457">
        <f t="shared" si="254"/>
        <v>0</v>
      </c>
      <c r="I457">
        <f t="shared" si="255"/>
        <v>0</v>
      </c>
      <c r="J457">
        <f t="shared" si="256"/>
        <v>45.1206683061534</v>
      </c>
      <c r="K457" s="40">
        <f t="shared" si="257"/>
        <v>77013.9787974418</v>
      </c>
      <c r="L457" s="40">
        <f t="shared" si="258"/>
        <v>77013.9787974418</v>
      </c>
      <c r="M457" s="40">
        <f t="shared" si="259"/>
        <v>77013.9787974418</v>
      </c>
      <c r="N457">
        <v>445.289</v>
      </c>
      <c r="O457">
        <v>441.742</v>
      </c>
      <c r="P457">
        <v>0</v>
      </c>
      <c r="Q457" s="39">
        <f t="shared" si="260"/>
        <v>490560.7753</v>
      </c>
      <c r="R457" s="39">
        <f t="shared" si="261"/>
        <v>3360525.6898</v>
      </c>
      <c r="S457" s="39" t="str">
        <f t="shared" si="234"/>
        <v> </v>
      </c>
      <c r="T457" s="39" t="str">
        <f t="shared" si="235"/>
        <v> </v>
      </c>
      <c r="U457" s="39" t="str">
        <f t="shared" si="236"/>
        <v> </v>
      </c>
      <c r="V457" s="39" t="str">
        <f t="shared" si="237"/>
        <v> </v>
      </c>
      <c r="AI457" t="str">
        <f t="array" ref="AI457">IFERROR(INDEX($L$2:$L$789,SMALL(IF(ISNUMBER(FIND($AH$2,$C$2:$C$789)),ROW($2:$789)-1,4^8),ROW(A456)))&amp;"","")</f>
        <v/>
      </c>
      <c r="AT457" t="str">
        <f t="shared" si="238"/>
        <v>490560.7753,3360525.6898</v>
      </c>
      <c r="AV457">
        <f t="shared" si="252"/>
        <v>445.992</v>
      </c>
      <c r="AX457" t="str">
        <f t="shared" si="239"/>
        <v>pl 38506.9893987209,279 38506.9893987209,400 </v>
      </c>
      <c r="AY457" t="str">
        <f t="shared" si="240"/>
        <v>38506.9893987209,441.742</v>
      </c>
      <c r="AZ457" t="str">
        <f t="shared" si="241"/>
        <v>38506.9893987209,445.289</v>
      </c>
      <c r="BA457" t="str">
        <f t="shared" si="242"/>
        <v>38506.9893987209,445.992</v>
      </c>
      <c r="BB457" t="str">
        <f t="shared" si="243"/>
        <v>-text 38505.9893987209,337 3.5 90 441.742 </v>
      </c>
      <c r="BC457" t="str">
        <f t="shared" si="244"/>
        <v>-text 38505.9893987209,320 3.5 90 445.992 </v>
      </c>
      <c r="BD457" t="str">
        <f t="shared" si="245"/>
        <v>-text 38505.9893987209,306 3.5 90 445.289 </v>
      </c>
      <c r="BE457" t="str">
        <f t="shared" si="246"/>
        <v>-text 38505.9893987209,352 3.5 90 ZG77+013.979 </v>
      </c>
      <c r="BF457" t="str">
        <f t="shared" si="247"/>
        <v>-text 38505.9893987209,280 3.5 90 白土地渡槽进 </v>
      </c>
      <c r="BG457" t="str">
        <f t="shared" si="248"/>
        <v/>
      </c>
      <c r="BH457" t="str">
        <f t="shared" si="249"/>
        <v> </v>
      </c>
      <c r="BI457" t="str">
        <f t="shared" si="250"/>
        <v> </v>
      </c>
      <c r="BJ457" t="str">
        <f t="shared" si="251"/>
        <v> </v>
      </c>
    </row>
    <row r="458" spans="1:62">
      <c r="A458">
        <v>2</v>
      </c>
      <c r="B458">
        <v>457</v>
      </c>
      <c r="C458" t="str">
        <f>Sheet1!C417</f>
        <v>白土地渡槽出</v>
      </c>
      <c r="D458">
        <v>490565.4682</v>
      </c>
      <c r="E458">
        <v>3360428.558</v>
      </c>
      <c r="G458">
        <f t="shared" si="253"/>
        <v>0</v>
      </c>
      <c r="H458">
        <f t="shared" si="254"/>
        <v>0</v>
      </c>
      <c r="I458">
        <f t="shared" si="255"/>
        <v>0</v>
      </c>
      <c r="J458">
        <f t="shared" si="256"/>
        <v>97.2451020955671</v>
      </c>
      <c r="K458" s="40">
        <f t="shared" si="257"/>
        <v>77111.2238995373</v>
      </c>
      <c r="L458" s="40">
        <f t="shared" si="258"/>
        <v>77111.2238995373</v>
      </c>
      <c r="M458" s="40">
        <f t="shared" si="259"/>
        <v>77111.2238995373</v>
      </c>
      <c r="N458">
        <v>445.262</v>
      </c>
      <c r="O458">
        <v>441.715</v>
      </c>
      <c r="P458">
        <v>0</v>
      </c>
      <c r="Q458" s="39">
        <f t="shared" si="260"/>
        <v>490565.4682</v>
      </c>
      <c r="R458" s="39">
        <f t="shared" si="261"/>
        <v>3360428.558</v>
      </c>
      <c r="S458" s="39" t="str">
        <f t="shared" si="234"/>
        <v> </v>
      </c>
      <c r="T458" s="39" t="str">
        <f t="shared" si="235"/>
        <v> </v>
      </c>
      <c r="U458" s="39" t="str">
        <f t="shared" si="236"/>
        <v> </v>
      </c>
      <c r="V458" s="39" t="str">
        <f t="shared" si="237"/>
        <v> </v>
      </c>
      <c r="AI458" t="str">
        <f t="array" ref="AI458">IFERROR(INDEX($L$2:$L$789,SMALL(IF(ISNUMBER(FIND($AH$2,$C$2:$C$789)),ROW($2:$789)-1,4^8),ROW(A457)))&amp;"","")</f>
        <v/>
      </c>
      <c r="AT458" t="str">
        <f t="shared" si="238"/>
        <v>490565.4682,3360428.558</v>
      </c>
      <c r="AV458">
        <f t="shared" si="252"/>
        <v>445.965</v>
      </c>
      <c r="AX458" t="str">
        <f t="shared" si="239"/>
        <v>pl 38555.6119497687,279 38555.6119497687,400 </v>
      </c>
      <c r="AY458" t="str">
        <f t="shared" si="240"/>
        <v>38555.6119497687,441.715</v>
      </c>
      <c r="AZ458" t="str">
        <f t="shared" si="241"/>
        <v>38555.6119497687,445.262</v>
      </c>
      <c r="BA458" t="str">
        <f t="shared" si="242"/>
        <v>38555.6119497687,445.965</v>
      </c>
      <c r="BB458" t="str">
        <f t="shared" si="243"/>
        <v>-text 38554.6119497687,337 3.5 90 441.715 </v>
      </c>
      <c r="BC458" t="str">
        <f t="shared" si="244"/>
        <v>-text 38554.6119497687,320 3.5 90 445.965 </v>
      </c>
      <c r="BD458" t="str">
        <f t="shared" si="245"/>
        <v>-text 38554.6119497687,306 3.5 90 445.262 </v>
      </c>
      <c r="BE458" t="str">
        <f t="shared" si="246"/>
        <v>-text 38554.6119497687,352 3.5 90 ZG77+111.224 </v>
      </c>
      <c r="BF458" t="str">
        <f t="shared" si="247"/>
        <v>-text 38554.6119497687,280 3.5 90 白土地渡槽出 </v>
      </c>
      <c r="BG458" t="str">
        <f t="shared" si="248"/>
        <v/>
      </c>
      <c r="BH458" t="str">
        <f t="shared" si="249"/>
        <v> </v>
      </c>
      <c r="BI458" t="str">
        <f t="shared" si="250"/>
        <v> </v>
      </c>
      <c r="BJ458" t="str">
        <f t="shared" si="251"/>
        <v> </v>
      </c>
    </row>
    <row r="459" spans="1:62">
      <c r="A459">
        <v>0</v>
      </c>
      <c r="B459">
        <v>458</v>
      </c>
      <c r="C459" t="s">
        <v>438</v>
      </c>
      <c r="D459">
        <v>490566.9644</v>
      </c>
      <c r="E459">
        <v>3360397.5898</v>
      </c>
      <c r="F459">
        <v>60</v>
      </c>
      <c r="G459">
        <f t="shared" si="253"/>
        <v>18.272</v>
      </c>
      <c r="H459">
        <f t="shared" si="254"/>
        <v>9.64911313395384</v>
      </c>
      <c r="I459">
        <f t="shared" si="255"/>
        <v>19.1343936554642</v>
      </c>
      <c r="J459">
        <f t="shared" si="256"/>
        <v>31.0043226934595</v>
      </c>
      <c r="K459" s="40">
        <f t="shared" si="257"/>
        <v>77132.5791090968</v>
      </c>
      <c r="L459" s="40">
        <f t="shared" si="258"/>
        <v>77142.1463059246</v>
      </c>
      <c r="M459" s="40">
        <f t="shared" si="259"/>
        <v>77151.7135027523</v>
      </c>
      <c r="N459">
        <v>445.28</v>
      </c>
      <c r="O459">
        <v>441.365</v>
      </c>
      <c r="P459">
        <v>0.001</v>
      </c>
      <c r="Q459" s="39">
        <f t="shared" si="260"/>
        <v>490566.498755154</v>
      </c>
      <c r="R459" s="39">
        <f t="shared" si="261"/>
        <v>3360407.22767109</v>
      </c>
      <c r="S459" s="39">
        <f t="shared" si="234"/>
        <v>490566.198252511</v>
      </c>
      <c r="T459" s="39">
        <f t="shared" si="235"/>
        <v>3360397.6753274</v>
      </c>
      <c r="U459" s="39">
        <f t="shared" si="236"/>
        <v>490564.38489322</v>
      </c>
      <c r="V459" s="39">
        <f t="shared" si="237"/>
        <v>3360388.29186856</v>
      </c>
      <c r="AI459" t="str">
        <f t="array" ref="AI459">IFERROR(INDEX($L$2:$L$789,SMALL(IF(ISNUMBER(FIND($AH$2,$C$2:$C$789)),ROW($2:$789)-1,4^8),ROW(A458)))&amp;"","")</f>
        <v/>
      </c>
      <c r="AS459" t="str">
        <f t="shared" ref="AS459:AS467" si="262">"-text"&amp;" "&amp;D459&amp;","&amp;E459&amp;" "&amp;"10"&amp;" "&amp;"0"&amp;" "&amp;C459</f>
        <v>-text 490566.9644,3360397.5898 10 0 IP244</v>
      </c>
      <c r="AT459" t="str">
        <f t="shared" si="238"/>
        <v>490566.9644,3360397.5898</v>
      </c>
      <c r="AV459">
        <f t="shared" si="252"/>
        <v>446.765</v>
      </c>
      <c r="AX459" t="str">
        <f t="shared" si="239"/>
        <v>pl 38571.0731529623,279 38571.0731529623,400 </v>
      </c>
      <c r="AY459" t="str">
        <f t="shared" si="240"/>
        <v>38571.0731529623,441.365</v>
      </c>
      <c r="AZ459" t="str">
        <f t="shared" si="241"/>
        <v>38571.0731529623,445.28</v>
      </c>
      <c r="BA459" t="str">
        <f t="shared" si="242"/>
        <v>38571.0731529623,446.765</v>
      </c>
      <c r="BB459" t="str">
        <f t="shared" si="243"/>
        <v>-text 38570.0731529623,337 3.5 90 441.365 </v>
      </c>
      <c r="BC459" t="str">
        <f t="shared" si="244"/>
        <v>-text 38570.0731529623,320 3.5 90 446.765 </v>
      </c>
      <c r="BD459" t="str">
        <f t="shared" si="245"/>
        <v>-text 38570.0731529623,306 3.5 90 445.280 </v>
      </c>
      <c r="BE459" t="str">
        <f t="shared" si="246"/>
        <v>-text 38570.0731529623,352 3.5 90 ZG77+142.146 </v>
      </c>
      <c r="BF459" t="str">
        <f t="shared" si="247"/>
        <v>-text 38570.0731529623,280 3.5 90 IP244 </v>
      </c>
      <c r="BG459" t="str">
        <f t="shared" si="248"/>
        <v>-TEXT 38572.0731529623,300 3.5 0 R=60</v>
      </c>
      <c r="BH459" t="str">
        <f t="shared" si="249"/>
        <v>-TEXT 38572.0731529623,295 3.5 0 α=18.27° </v>
      </c>
      <c r="BI459" t="str">
        <f t="shared" si="250"/>
        <v>-TEXT 38572.0731529623,290 3.5 0 T=9.65 </v>
      </c>
      <c r="BJ459" t="str">
        <f t="shared" si="251"/>
        <v>-TEXT 38572.0731529623,285 3.5 0 S=19.13 </v>
      </c>
    </row>
    <row r="460" spans="1:62">
      <c r="A460">
        <v>0</v>
      </c>
      <c r="B460">
        <v>459</v>
      </c>
      <c r="C460" t="s">
        <v>439</v>
      </c>
      <c r="D460">
        <v>490555.6963</v>
      </c>
      <c r="E460">
        <v>3360356.9735</v>
      </c>
      <c r="F460">
        <v>80</v>
      </c>
      <c r="G460">
        <f t="shared" si="253"/>
        <v>41.654</v>
      </c>
      <c r="H460">
        <f t="shared" si="254"/>
        <v>30.4322959441461</v>
      </c>
      <c r="I460">
        <f t="shared" si="255"/>
        <v>58.1599557300574</v>
      </c>
      <c r="J460">
        <f t="shared" si="256"/>
        <v>42.150372517068</v>
      </c>
      <c r="K460" s="40">
        <f t="shared" si="257"/>
        <v>77153.7824661912</v>
      </c>
      <c r="L460" s="40">
        <f t="shared" si="258"/>
        <v>77182.8624440563</v>
      </c>
      <c r="M460" s="40">
        <f t="shared" si="259"/>
        <v>77211.9424219213</v>
      </c>
      <c r="N460">
        <v>445.271</v>
      </c>
      <c r="O460">
        <v>441.356</v>
      </c>
      <c r="P460">
        <v>0.002</v>
      </c>
      <c r="Q460" s="39">
        <f t="shared" si="260"/>
        <v>490563.831795215</v>
      </c>
      <c r="R460" s="39">
        <f t="shared" si="261"/>
        <v>3360386.29820552</v>
      </c>
      <c r="S460" s="39">
        <f t="shared" si="234"/>
        <v>490561.265004621</v>
      </c>
      <c r="T460" s="39">
        <f t="shared" si="235"/>
        <v>3360357.49221054</v>
      </c>
      <c r="U460" s="39">
        <f t="shared" si="236"/>
        <v>490569.107885262</v>
      </c>
      <c r="V460" s="39">
        <f t="shared" si="237"/>
        <v>3360329.65584971</v>
      </c>
      <c r="AI460" t="str">
        <f t="array" ref="AI460">IFERROR(INDEX($L$2:$L$789,SMALL(IF(ISNUMBER(FIND($AH$2,$C$2:$C$789)),ROW($2:$789)-1,4^8),ROW(A459)))&amp;"","")</f>
        <v/>
      </c>
      <c r="AS460" t="str">
        <f t="shared" si="262"/>
        <v>-text 490555.6963,3360356.9735 10 0 IP245</v>
      </c>
      <c r="AT460" t="str">
        <f t="shared" si="238"/>
        <v>490555.6963,3360356.9735</v>
      </c>
      <c r="AV460">
        <f t="shared" si="252"/>
        <v>446.756</v>
      </c>
      <c r="AX460" t="str">
        <f t="shared" si="239"/>
        <v>pl 38591.4312220281,279 38591.4312220281,400 </v>
      </c>
      <c r="AY460" t="str">
        <f t="shared" si="240"/>
        <v>38591.4312220281,441.356</v>
      </c>
      <c r="AZ460" t="str">
        <f t="shared" si="241"/>
        <v>38591.4312220281,445.271</v>
      </c>
      <c r="BA460" t="str">
        <f t="shared" si="242"/>
        <v>38591.4312220281,446.756</v>
      </c>
      <c r="BB460" t="str">
        <f t="shared" si="243"/>
        <v>-text 38590.4312220281,337 3.5 90 441.356 </v>
      </c>
      <c r="BC460" t="str">
        <f t="shared" si="244"/>
        <v>-text 38590.4312220281,320 3.5 90 446.756 </v>
      </c>
      <c r="BD460" t="str">
        <f t="shared" si="245"/>
        <v>-text 38590.4312220281,306 3.5 90 445.271 </v>
      </c>
      <c r="BE460" t="str">
        <f t="shared" si="246"/>
        <v>-text 38590.4312220281,352 3.5 90 ZG77+182.862 </v>
      </c>
      <c r="BF460" t="str">
        <f t="shared" si="247"/>
        <v>-text 38590.4312220281,280 3.5 90 IP245 </v>
      </c>
      <c r="BG460" t="str">
        <f t="shared" si="248"/>
        <v>-TEXT 38592.4312220281,300 3.5 0 R=80</v>
      </c>
      <c r="BH460" t="str">
        <f t="shared" si="249"/>
        <v>-TEXT 38592.4312220281,295 3.5 0 α=41.65° </v>
      </c>
      <c r="BI460" t="str">
        <f t="shared" si="250"/>
        <v>-TEXT 38592.4312220281,290 3.5 0 T=30.43 </v>
      </c>
      <c r="BJ460" t="str">
        <f t="shared" si="251"/>
        <v>-TEXT 38592.4312220281,285 3.5 0 S=58.16 </v>
      </c>
    </row>
    <row r="461" spans="1:62">
      <c r="A461">
        <v>0</v>
      </c>
      <c r="B461">
        <v>460</v>
      </c>
      <c r="C461" t="s">
        <v>440</v>
      </c>
      <c r="D461">
        <v>490589.2741</v>
      </c>
      <c r="E461">
        <v>3360288.5799</v>
      </c>
      <c r="F461">
        <v>80</v>
      </c>
      <c r="G461">
        <f t="shared" si="253"/>
        <v>27.974</v>
      </c>
      <c r="H461">
        <f t="shared" si="254"/>
        <v>19.9269615201555</v>
      </c>
      <c r="I461">
        <f t="shared" si="255"/>
        <v>39.0590723962315</v>
      </c>
      <c r="J461">
        <f t="shared" si="256"/>
        <v>76.1915557907001</v>
      </c>
      <c r="K461" s="40">
        <f t="shared" si="257"/>
        <v>77237.7747202477</v>
      </c>
      <c r="L461" s="40">
        <f t="shared" si="258"/>
        <v>77257.3042564458</v>
      </c>
      <c r="M461" s="40">
        <f t="shared" si="259"/>
        <v>77276.8337926439</v>
      </c>
      <c r="N461">
        <v>445.255</v>
      </c>
      <c r="O461">
        <v>441.34</v>
      </c>
      <c r="P461">
        <v>0.001</v>
      </c>
      <c r="Q461" s="39">
        <f t="shared" si="260"/>
        <v>490580.492240625</v>
      </c>
      <c r="R461" s="39">
        <f t="shared" si="261"/>
        <v>3360306.46740238</v>
      </c>
      <c r="S461" s="39">
        <f t="shared" si="234"/>
        <v>490586.884492238</v>
      </c>
      <c r="T461" s="39">
        <f t="shared" si="235"/>
        <v>3360288.06492994</v>
      </c>
      <c r="U461" s="39">
        <f t="shared" si="236"/>
        <v>490588.63922924</v>
      </c>
      <c r="V461" s="39">
        <f t="shared" si="237"/>
        <v>3360268.6630545</v>
      </c>
      <c r="AI461" t="str">
        <f t="array" ref="AI461">IFERROR(INDEX($L$2:$L$789,SMALL(IF(ISNUMBER(FIND($AH$2,$C$2:$C$789)),ROW($2:$789)-1,4^8),ROW(A460)))&amp;"","")</f>
        <v/>
      </c>
      <c r="AS461" t="str">
        <f t="shared" si="262"/>
        <v>-text 490589.2741,3360288.5799 10 0 IP246</v>
      </c>
      <c r="AT461" t="str">
        <f t="shared" si="238"/>
        <v>490589.2741,3360288.5799</v>
      </c>
      <c r="AV461">
        <f t="shared" si="252"/>
        <v>446.74</v>
      </c>
      <c r="AX461" t="str">
        <f t="shared" si="239"/>
        <v>pl 38628.6521282229,279 38628.6521282229,400 </v>
      </c>
      <c r="AY461" t="str">
        <f t="shared" si="240"/>
        <v>38628.6521282229,441.34</v>
      </c>
      <c r="AZ461" t="str">
        <f t="shared" si="241"/>
        <v>38628.6521282229,445.255</v>
      </c>
      <c r="BA461" t="str">
        <f t="shared" si="242"/>
        <v>38628.6521282229,446.74</v>
      </c>
      <c r="BB461" t="str">
        <f t="shared" si="243"/>
        <v>-text 38627.6521282229,337 3.5 90 441.340 </v>
      </c>
      <c r="BC461" t="str">
        <f t="shared" si="244"/>
        <v>-text 38627.6521282229,320 3.5 90 446.740 </v>
      </c>
      <c r="BD461" t="str">
        <f t="shared" si="245"/>
        <v>-text 38627.6521282229,306 3.5 90 445.255 </v>
      </c>
      <c r="BE461" t="str">
        <f t="shared" si="246"/>
        <v>-text 38627.6521282229,352 3.5 90 ZG77+257.304 </v>
      </c>
      <c r="BF461" t="str">
        <f t="shared" si="247"/>
        <v>-text 38627.6521282229,280 3.5 90 IP246 </v>
      </c>
      <c r="BG461" t="str">
        <f t="shared" si="248"/>
        <v>-TEXT 38629.6521282229,300 3.5 0 R=80</v>
      </c>
      <c r="BH461" t="str">
        <f t="shared" si="249"/>
        <v>-TEXT 38629.6521282229,295 3.5 0 α=27.97° </v>
      </c>
      <c r="BI461" t="str">
        <f t="shared" si="250"/>
        <v>-TEXT 38629.6521282229,290 3.5 0 T=19.93 </v>
      </c>
      <c r="BJ461" t="str">
        <f t="shared" si="251"/>
        <v>-TEXT 38629.6521282229,285 3.5 0 S=39.06 </v>
      </c>
    </row>
    <row r="462" spans="1:62">
      <c r="A462">
        <v>0</v>
      </c>
      <c r="B462">
        <v>461</v>
      </c>
      <c r="C462" t="s">
        <v>441</v>
      </c>
      <c r="D462">
        <v>490587.1979</v>
      </c>
      <c r="E462">
        <v>3360223.4464</v>
      </c>
      <c r="F462">
        <v>80</v>
      </c>
      <c r="G462">
        <f t="shared" si="253"/>
        <v>46.939</v>
      </c>
      <c r="H462">
        <f t="shared" si="254"/>
        <v>34.7343642840009</v>
      </c>
      <c r="I462">
        <f t="shared" si="255"/>
        <v>65.5392078074895</v>
      </c>
      <c r="J462">
        <f t="shared" si="256"/>
        <v>65.1665821467515</v>
      </c>
      <c r="K462" s="40">
        <f t="shared" si="257"/>
        <v>77287.3390489865</v>
      </c>
      <c r="L462" s="40">
        <f t="shared" si="258"/>
        <v>77320.1086528903</v>
      </c>
      <c r="M462" s="40">
        <f t="shared" si="259"/>
        <v>77352.878256794</v>
      </c>
      <c r="N462">
        <v>445.242</v>
      </c>
      <c r="O462">
        <v>441.327</v>
      </c>
      <c r="P462">
        <v>0.002</v>
      </c>
      <c r="Q462" s="39">
        <f t="shared" si="260"/>
        <v>490588.304532951</v>
      </c>
      <c r="R462" s="39">
        <f t="shared" si="261"/>
        <v>3360258.16313121</v>
      </c>
      <c r="S462" s="39">
        <f t="shared" si="234"/>
        <v>490593.904337367</v>
      </c>
      <c r="T462" s="39">
        <f t="shared" si="235"/>
        <v>3360226.10760728</v>
      </c>
      <c r="U462" s="39">
        <f t="shared" si="236"/>
        <v>490611.807399017</v>
      </c>
      <c r="V462" s="39">
        <f t="shared" si="237"/>
        <v>3360198.9341863</v>
      </c>
      <c r="AI462" t="str">
        <f t="array" ref="AI462">IFERROR(INDEX($L$2:$L$789,SMALL(IF(ISNUMBER(FIND($AH$2,$C$2:$C$789)),ROW($2:$789)-1,4^8),ROW(A461)))&amp;"","")</f>
        <v/>
      </c>
      <c r="AS462" t="str">
        <f t="shared" si="262"/>
        <v>-text 490587.1979,3360223.4464 10 0 IP247</v>
      </c>
      <c r="AT462" t="str">
        <f t="shared" si="238"/>
        <v>490587.1979,3360223.4464</v>
      </c>
      <c r="AV462">
        <f t="shared" si="252"/>
        <v>446.727</v>
      </c>
      <c r="AX462" t="str">
        <f t="shared" si="239"/>
        <v>pl 38660.0543264451,279 38660.0543264451,400 </v>
      </c>
      <c r="AY462" t="str">
        <f t="shared" si="240"/>
        <v>38660.0543264451,441.327</v>
      </c>
      <c r="AZ462" t="str">
        <f t="shared" si="241"/>
        <v>38660.0543264451,445.242</v>
      </c>
      <c r="BA462" t="str">
        <f t="shared" si="242"/>
        <v>38660.0543264451,446.727</v>
      </c>
      <c r="BB462" t="str">
        <f t="shared" si="243"/>
        <v>-text 38659.0543264451,337 3.5 90 441.327 </v>
      </c>
      <c r="BC462" t="str">
        <f t="shared" si="244"/>
        <v>-text 38659.0543264451,320 3.5 90 446.727 </v>
      </c>
      <c r="BD462" t="str">
        <f t="shared" si="245"/>
        <v>-text 38659.0543264451,306 3.5 90 445.242 </v>
      </c>
      <c r="BE462" t="str">
        <f t="shared" si="246"/>
        <v>-text 38659.0543264451,352 3.5 90 ZG77+320.109 </v>
      </c>
      <c r="BF462" t="str">
        <f t="shared" si="247"/>
        <v>-text 38659.0543264451,280 3.5 90 IP247 </v>
      </c>
      <c r="BG462" t="str">
        <f t="shared" si="248"/>
        <v>-TEXT 38661.0543264451,300 3.5 0 R=80</v>
      </c>
      <c r="BH462" t="str">
        <f t="shared" si="249"/>
        <v>-TEXT 38661.0543264451,295 3.5 0 α=46.94° </v>
      </c>
      <c r="BI462" t="str">
        <f t="shared" si="250"/>
        <v>-TEXT 38661.0543264451,290 3.5 0 T=34.73 </v>
      </c>
      <c r="BJ462" t="str">
        <f t="shared" si="251"/>
        <v>-TEXT 38661.0543264451,285 3.5 0 S=65.54 </v>
      </c>
    </row>
    <row r="463" spans="1:62">
      <c r="A463">
        <v>0</v>
      </c>
      <c r="B463">
        <v>462</v>
      </c>
      <c r="C463" t="s">
        <v>442</v>
      </c>
      <c r="D463">
        <v>490679.9844</v>
      </c>
      <c r="E463">
        <v>3360131.0267</v>
      </c>
      <c r="F463">
        <v>80</v>
      </c>
      <c r="G463">
        <f t="shared" si="253"/>
        <v>39.124</v>
      </c>
      <c r="H463">
        <f t="shared" si="254"/>
        <v>28.4269471834586</v>
      </c>
      <c r="I463">
        <f t="shared" si="255"/>
        <v>54.6274093240209</v>
      </c>
      <c r="J463">
        <f t="shared" si="256"/>
        <v>130.960816774835</v>
      </c>
      <c r="K463" s="40">
        <f t="shared" si="257"/>
        <v>77420.6777621014</v>
      </c>
      <c r="L463" s="40">
        <f t="shared" si="258"/>
        <v>77447.9914667634</v>
      </c>
      <c r="M463" s="40">
        <f t="shared" si="259"/>
        <v>77475.3051714254</v>
      </c>
      <c r="N463">
        <v>445.216</v>
      </c>
      <c r="O463">
        <v>441.301</v>
      </c>
      <c r="P463">
        <v>0.002</v>
      </c>
      <c r="Q463" s="39">
        <f t="shared" si="260"/>
        <v>490659.843742666</v>
      </c>
      <c r="R463" s="39">
        <f t="shared" si="261"/>
        <v>3360151.08773807</v>
      </c>
      <c r="S463" s="39">
        <f t="shared" si="234"/>
        <v>490682.080554238</v>
      </c>
      <c r="T463" s="39">
        <f t="shared" si="235"/>
        <v>3360135.4562378</v>
      </c>
      <c r="U463" s="39">
        <f t="shared" si="236"/>
        <v>490708.267693088</v>
      </c>
      <c r="V463" s="39">
        <f t="shared" si="237"/>
        <v>3360128.17246485</v>
      </c>
      <c r="AI463" t="str">
        <f t="array" ref="AI463">IFERROR(INDEX($L$2:$L$789,SMALL(IF(ISNUMBER(FIND($AH$2,$C$2:$C$789)),ROW($2:$789)-1,4^8),ROW(A462)))&amp;"","")</f>
        <v/>
      </c>
      <c r="AS463" t="str">
        <f t="shared" si="262"/>
        <v>-text 490679.9844,3360131.0267 10 0 IP248</v>
      </c>
      <c r="AT463" t="str">
        <f t="shared" si="238"/>
        <v>490679.9844,3360131.0267</v>
      </c>
      <c r="AV463">
        <f t="shared" si="252"/>
        <v>446.701</v>
      </c>
      <c r="AX463" t="str">
        <f t="shared" si="239"/>
        <v>pl 38723.9957333817,279 38723.9957333817,400 </v>
      </c>
      <c r="AY463" t="str">
        <f t="shared" si="240"/>
        <v>38723.9957333817,441.301</v>
      </c>
      <c r="AZ463" t="str">
        <f t="shared" si="241"/>
        <v>38723.9957333817,445.216</v>
      </c>
      <c r="BA463" t="str">
        <f t="shared" si="242"/>
        <v>38723.9957333817,446.701</v>
      </c>
      <c r="BB463" t="str">
        <f t="shared" si="243"/>
        <v>-text 38722.9957333817,337 3.5 90 441.301 </v>
      </c>
      <c r="BC463" t="str">
        <f t="shared" si="244"/>
        <v>-text 38722.9957333817,320 3.5 90 446.701 </v>
      </c>
      <c r="BD463" t="str">
        <f t="shared" si="245"/>
        <v>-text 38722.9957333817,306 3.5 90 445.216 </v>
      </c>
      <c r="BE463" t="str">
        <f t="shared" si="246"/>
        <v>-text 38722.9957333817,352 3.5 90 ZG77+447.991 </v>
      </c>
      <c r="BF463" t="str">
        <f t="shared" si="247"/>
        <v>-text 38722.9957333817,280 3.5 90 IP248 </v>
      </c>
      <c r="BG463" t="str">
        <f t="shared" si="248"/>
        <v>-TEXT 38724.9957333817,300 3.5 0 R=80</v>
      </c>
      <c r="BH463" t="str">
        <f t="shared" si="249"/>
        <v>-TEXT 38724.9957333817,295 3.5 0 α=39.12° </v>
      </c>
      <c r="BI463" t="str">
        <f t="shared" si="250"/>
        <v>-TEXT 38724.9957333817,290 3.5 0 T=28.43 </v>
      </c>
      <c r="BJ463" t="str">
        <f t="shared" si="251"/>
        <v>-TEXT 38724.9957333817,285 3.5 0 S=54.63 </v>
      </c>
    </row>
    <row r="464" spans="1:62">
      <c r="A464">
        <v>0</v>
      </c>
      <c r="B464">
        <v>463</v>
      </c>
      <c r="C464" t="s">
        <v>443</v>
      </c>
      <c r="D464">
        <v>490734.7914</v>
      </c>
      <c r="E464">
        <v>3360125.4958</v>
      </c>
      <c r="F464">
        <v>80</v>
      </c>
      <c r="G464">
        <f t="shared" si="253"/>
        <v>27.517</v>
      </c>
      <c r="H464">
        <f t="shared" si="254"/>
        <v>19.588454792416</v>
      </c>
      <c r="I464">
        <f t="shared" si="255"/>
        <v>38.4209800217024</v>
      </c>
      <c r="J464">
        <f t="shared" si="256"/>
        <v>55.0853710507895</v>
      </c>
      <c r="K464" s="40">
        <f t="shared" si="257"/>
        <v>77482.3751405003</v>
      </c>
      <c r="L464" s="40">
        <f t="shared" si="258"/>
        <v>77501.5856305112</v>
      </c>
      <c r="M464" s="40">
        <f t="shared" si="259"/>
        <v>77520.796120522</v>
      </c>
      <c r="N464">
        <v>445.205</v>
      </c>
      <c r="O464">
        <v>441.29</v>
      </c>
      <c r="P464">
        <v>0.001</v>
      </c>
      <c r="Q464" s="39">
        <f t="shared" si="260"/>
        <v>490715.301934443</v>
      </c>
      <c r="R464" s="39">
        <f t="shared" si="261"/>
        <v>3360127.46259776</v>
      </c>
      <c r="S464" s="39">
        <f t="shared" si="234"/>
        <v>490734.462669583</v>
      </c>
      <c r="T464" s="39">
        <f t="shared" si="235"/>
        <v>3360127.83607175</v>
      </c>
      <c r="U464" s="39">
        <f t="shared" si="236"/>
        <v>490752.984808545</v>
      </c>
      <c r="V464" s="39">
        <f t="shared" si="237"/>
        <v>3360132.75578944</v>
      </c>
      <c r="AI464" t="str">
        <f t="array" ref="AI464">IFERROR(INDEX($L$2:$L$789,SMALL(IF(ISNUMBER(FIND($AH$2,$C$2:$C$789)),ROW($2:$789)-1,4^8),ROW(A463)))&amp;"","")</f>
        <v/>
      </c>
      <c r="AS464" t="str">
        <f t="shared" si="262"/>
        <v>-text 490734.7914,3360125.4958 10 0 IP249</v>
      </c>
      <c r="AT464" t="str">
        <f t="shared" si="238"/>
        <v>490734.7914,3360125.4958</v>
      </c>
      <c r="AV464">
        <f t="shared" si="252"/>
        <v>446.69</v>
      </c>
      <c r="AX464" t="str">
        <f t="shared" si="239"/>
        <v>pl 38750.7928152556,279 38750.7928152556,400 </v>
      </c>
      <c r="AY464" t="str">
        <f t="shared" si="240"/>
        <v>38750.7928152556,441.29</v>
      </c>
      <c r="AZ464" t="str">
        <f t="shared" si="241"/>
        <v>38750.7928152556,445.205</v>
      </c>
      <c r="BA464" t="str">
        <f t="shared" si="242"/>
        <v>38750.7928152556,446.69</v>
      </c>
      <c r="BB464" t="str">
        <f t="shared" si="243"/>
        <v>-text 38749.7928152556,337 3.5 90 441.290 </v>
      </c>
      <c r="BC464" t="str">
        <f t="shared" si="244"/>
        <v>-text 38749.7928152556,320 3.5 90 446.690 </v>
      </c>
      <c r="BD464" t="str">
        <f t="shared" si="245"/>
        <v>-text 38749.7928152556,306 3.5 90 445.205 </v>
      </c>
      <c r="BE464" t="str">
        <f t="shared" si="246"/>
        <v>-text 38749.7928152556,352 3.5 90 ZG77+501.586 </v>
      </c>
      <c r="BF464" t="str">
        <f t="shared" si="247"/>
        <v>-text 38749.7928152556,280 3.5 90 IP249 </v>
      </c>
      <c r="BG464" t="str">
        <f t="shared" si="248"/>
        <v>-TEXT 38751.7928152556,300 3.5 0 R=80</v>
      </c>
      <c r="BH464" t="str">
        <f t="shared" si="249"/>
        <v>-TEXT 38751.7928152556,295 3.5 0 α=27.52° </v>
      </c>
      <c r="BI464" t="str">
        <f t="shared" si="250"/>
        <v>-TEXT 38751.7928152556,290 3.5 0 T=19.59 </v>
      </c>
      <c r="BJ464" t="str">
        <f t="shared" si="251"/>
        <v>-TEXT 38751.7928152556,285 3.5 0 S=38.42 </v>
      </c>
    </row>
    <row r="465" spans="1:62">
      <c r="A465">
        <v>0</v>
      </c>
      <c r="B465">
        <v>464</v>
      </c>
      <c r="C465" t="s">
        <v>444</v>
      </c>
      <c r="D465">
        <v>490853.6236</v>
      </c>
      <c r="E465">
        <v>3360172.9152</v>
      </c>
      <c r="F465">
        <v>40</v>
      </c>
      <c r="G465">
        <f t="shared" si="253"/>
        <v>41.946</v>
      </c>
      <c r="H465">
        <f t="shared" si="254"/>
        <v>15.3329382431684</v>
      </c>
      <c r="I465">
        <f t="shared" si="255"/>
        <v>29.2838323216617</v>
      </c>
      <c r="J465">
        <f t="shared" si="256"/>
        <v>127.944094249021</v>
      </c>
      <c r="K465" s="40">
        <f t="shared" si="257"/>
        <v>77613.8188217355</v>
      </c>
      <c r="L465" s="40">
        <f t="shared" si="258"/>
        <v>77628.4607378963</v>
      </c>
      <c r="M465" s="40">
        <f t="shared" si="259"/>
        <v>77643.1026540571</v>
      </c>
      <c r="N465">
        <v>445.18</v>
      </c>
      <c r="O465">
        <v>441.265</v>
      </c>
      <c r="P465">
        <v>0.001</v>
      </c>
      <c r="Q465" s="39">
        <f t="shared" si="260"/>
        <v>490839.382639566</v>
      </c>
      <c r="R465" s="39">
        <f t="shared" si="261"/>
        <v>3360167.23241537</v>
      </c>
      <c r="S465" s="39">
        <f t="shared" si="234"/>
        <v>490853.662293319</v>
      </c>
      <c r="T465" s="39">
        <f t="shared" si="235"/>
        <v>3360170.07740222</v>
      </c>
      <c r="U465" s="39">
        <f t="shared" si="236"/>
        <v>490868.014206783</v>
      </c>
      <c r="V465" s="39">
        <f t="shared" si="237"/>
        <v>3360167.62280625</v>
      </c>
      <c r="AI465" t="str">
        <f t="array" ref="AI465">IFERROR(INDEX($L$2:$L$789,SMALL(IF(ISNUMBER(FIND($AH$2,$C$2:$C$789)),ROW($2:$789)-1,4^8),ROW(A464)))&amp;"","")</f>
        <v/>
      </c>
      <c r="AS465" t="str">
        <f t="shared" si="262"/>
        <v>-text 490853.6236,3360172.9152 10 0 IP250</v>
      </c>
      <c r="AT465" t="str">
        <f t="shared" si="238"/>
        <v>490853.6236,3360172.9152</v>
      </c>
      <c r="AV465">
        <f t="shared" si="252"/>
        <v>446.665</v>
      </c>
      <c r="AX465" t="str">
        <f t="shared" si="239"/>
        <v>pl 38814.2303689481,279 38814.2303689481,400 </v>
      </c>
      <c r="AY465" t="str">
        <f t="shared" si="240"/>
        <v>38814.2303689481,441.265</v>
      </c>
      <c r="AZ465" t="str">
        <f t="shared" si="241"/>
        <v>38814.2303689481,445.18</v>
      </c>
      <c r="BA465" t="str">
        <f t="shared" si="242"/>
        <v>38814.2303689481,446.665</v>
      </c>
      <c r="BB465" t="str">
        <f t="shared" si="243"/>
        <v>-text 38813.2303689481,337 3.5 90 441.265 </v>
      </c>
      <c r="BC465" t="str">
        <f t="shared" si="244"/>
        <v>-text 38813.2303689481,320 3.5 90 446.665 </v>
      </c>
      <c r="BD465" t="str">
        <f t="shared" si="245"/>
        <v>-text 38813.2303689481,306 3.5 90 445.180 </v>
      </c>
      <c r="BE465" t="str">
        <f t="shared" si="246"/>
        <v>-text 38813.2303689481,352 3.5 90 ZG77+628.461 </v>
      </c>
      <c r="BF465" t="str">
        <f t="shared" si="247"/>
        <v>-text 38813.2303689481,280 3.5 90 IP250 </v>
      </c>
      <c r="BG465" t="str">
        <f t="shared" si="248"/>
        <v>-TEXT 38815.2303689481,300 3.5 0 R=40</v>
      </c>
      <c r="BH465" t="str">
        <f t="shared" si="249"/>
        <v>-TEXT 38815.2303689481,295 3.5 0 α=41.95° </v>
      </c>
      <c r="BI465" t="str">
        <f t="shared" si="250"/>
        <v>-TEXT 38815.2303689481,290 3.5 0 T=15.33 </v>
      </c>
      <c r="BJ465" t="str">
        <f t="shared" si="251"/>
        <v>-TEXT 38815.2303689481,285 3.5 0 S=29.28 </v>
      </c>
    </row>
    <row r="466" spans="1:62">
      <c r="A466">
        <v>0</v>
      </c>
      <c r="B466">
        <v>465</v>
      </c>
      <c r="C466" t="s">
        <v>445</v>
      </c>
      <c r="D466">
        <v>490899.3876</v>
      </c>
      <c r="E466">
        <v>3360156.0847</v>
      </c>
      <c r="F466">
        <v>40</v>
      </c>
      <c r="G466">
        <f t="shared" si="253"/>
        <v>71.105</v>
      </c>
      <c r="H466">
        <f t="shared" si="254"/>
        <v>28.5870588302724</v>
      </c>
      <c r="I466">
        <f t="shared" si="255"/>
        <v>49.6406545852227</v>
      </c>
      <c r="J466">
        <f t="shared" si="256"/>
        <v>48.760736522919</v>
      </c>
      <c r="K466" s="40">
        <f t="shared" si="257"/>
        <v>77647.9433935066</v>
      </c>
      <c r="L466" s="40">
        <f t="shared" si="258"/>
        <v>77672.7637207992</v>
      </c>
      <c r="M466" s="40">
        <f t="shared" si="259"/>
        <v>77697.5840480918</v>
      </c>
      <c r="N466">
        <v>445.17</v>
      </c>
      <c r="O466">
        <v>441.255</v>
      </c>
      <c r="P466">
        <v>0.002</v>
      </c>
      <c r="Q466" s="39">
        <f t="shared" si="260"/>
        <v>490872.557444149</v>
      </c>
      <c r="R466" s="39">
        <f t="shared" si="261"/>
        <v>3360165.95195238</v>
      </c>
      <c r="S466" s="39">
        <f t="shared" si="234"/>
        <v>490891.812182144</v>
      </c>
      <c r="T466" s="39">
        <f t="shared" si="235"/>
        <v>3360150.92571919</v>
      </c>
      <c r="U466" s="39">
        <f t="shared" si="236"/>
        <v>490898.740456557</v>
      </c>
      <c r="V466" s="39">
        <f t="shared" si="237"/>
        <v>3360127.50496701</v>
      </c>
      <c r="AI466" t="str">
        <f t="array" ref="AI466">IFERROR(INDEX($L$2:$L$789,SMALL(IF(ISNUMBER(FIND($AH$2,$C$2:$C$789)),ROW($2:$789)-1,4^8),ROW(A465)))&amp;"","")</f>
        <v/>
      </c>
      <c r="AS466" t="str">
        <f t="shared" si="262"/>
        <v>-text 490899.3876,3360156.0847 10 0 IP251</v>
      </c>
      <c r="AT466" t="str">
        <f t="shared" si="238"/>
        <v>490899.3876,3360156.0847</v>
      </c>
      <c r="AV466">
        <f t="shared" si="252"/>
        <v>446.655</v>
      </c>
      <c r="AX466" t="str">
        <f t="shared" si="239"/>
        <v>pl 38836.3818603996,279 38836.3818603996,400 </v>
      </c>
      <c r="AY466" t="str">
        <f t="shared" si="240"/>
        <v>38836.3818603996,441.255</v>
      </c>
      <c r="AZ466" t="str">
        <f t="shared" si="241"/>
        <v>38836.3818603996,445.17</v>
      </c>
      <c r="BA466" t="str">
        <f t="shared" si="242"/>
        <v>38836.3818603996,446.655</v>
      </c>
      <c r="BB466" t="str">
        <f t="shared" si="243"/>
        <v>-text 38835.3818603996,337 3.5 90 441.255 </v>
      </c>
      <c r="BC466" t="str">
        <f t="shared" si="244"/>
        <v>-text 38835.3818603996,320 3.5 90 446.655 </v>
      </c>
      <c r="BD466" t="str">
        <f t="shared" si="245"/>
        <v>-text 38835.3818603996,306 3.5 90 445.170 </v>
      </c>
      <c r="BE466" t="str">
        <f t="shared" si="246"/>
        <v>-text 38835.3818603996,352 3.5 90 ZG77+672.764 </v>
      </c>
      <c r="BF466" t="str">
        <f t="shared" si="247"/>
        <v>-text 38835.3818603996,280 3.5 90 IP251 </v>
      </c>
      <c r="BG466" t="str">
        <f t="shared" si="248"/>
        <v>-TEXT 38837.3818603996,300 3.5 0 R=40</v>
      </c>
      <c r="BH466" t="str">
        <f t="shared" si="249"/>
        <v>-TEXT 38837.3818603996,295 3.5 0 α=71.11° </v>
      </c>
      <c r="BI466" t="str">
        <f t="shared" si="250"/>
        <v>-TEXT 38837.3818603996,290 3.5 0 T=28.59 </v>
      </c>
      <c r="BJ466" t="str">
        <f t="shared" si="251"/>
        <v>-TEXT 38837.3818603996,285 3.5 0 S=49.64 </v>
      </c>
    </row>
    <row r="467" spans="1:62">
      <c r="A467">
        <v>0</v>
      </c>
      <c r="B467">
        <v>466</v>
      </c>
      <c r="C467" t="s">
        <v>446</v>
      </c>
      <c r="D467">
        <v>490897.2311</v>
      </c>
      <c r="E467">
        <v>3360060.8474</v>
      </c>
      <c r="F467">
        <v>80</v>
      </c>
      <c r="G467">
        <f t="shared" si="253"/>
        <v>18.96</v>
      </c>
      <c r="H467">
        <f t="shared" si="254"/>
        <v>13.3587031275064</v>
      </c>
      <c r="I467">
        <f t="shared" si="255"/>
        <v>26.47315409425</v>
      </c>
      <c r="J467">
        <f t="shared" si="256"/>
        <v>95.2617121595524</v>
      </c>
      <c r="K467" s="40">
        <f t="shared" si="257"/>
        <v>77750.8999982936</v>
      </c>
      <c r="L467" s="40">
        <f t="shared" si="258"/>
        <v>77764.1365753407</v>
      </c>
      <c r="M467" s="40">
        <f t="shared" si="259"/>
        <v>77777.3731523879</v>
      </c>
      <c r="N467">
        <v>445.151</v>
      </c>
      <c r="O467">
        <v>441.236</v>
      </c>
      <c r="P467">
        <v>0.001</v>
      </c>
      <c r="Q467" s="39">
        <f t="shared" si="260"/>
        <v>490897.533509464</v>
      </c>
      <c r="R467" s="39">
        <f t="shared" si="261"/>
        <v>3360074.20267977</v>
      </c>
      <c r="S467" s="39">
        <f t="shared" si="234"/>
        <v>490898.327495047</v>
      </c>
      <c r="T467" s="39">
        <f t="shared" si="235"/>
        <v>3360061.00505747</v>
      </c>
      <c r="U467" s="39">
        <f t="shared" si="236"/>
        <v>490901.284324127</v>
      </c>
      <c r="V467" s="39">
        <f t="shared" si="237"/>
        <v>3360048.1184439</v>
      </c>
      <c r="AI467" t="str">
        <f t="array" ref="AI467">IFERROR(INDEX($L$2:$L$789,SMALL(IF(ISNUMBER(FIND($AH$2,$C$2:$C$789)),ROW($2:$789)-1,4^8),ROW(A466)))&amp;"","")</f>
        <v/>
      </c>
      <c r="AS467" t="str">
        <f t="shared" si="262"/>
        <v>-text 490897.2311,3360060.8474 10 0 IP252</v>
      </c>
      <c r="AT467" t="str">
        <f t="shared" si="238"/>
        <v>490897.2311,3360060.8474</v>
      </c>
      <c r="AV467">
        <f t="shared" si="252"/>
        <v>446.636</v>
      </c>
      <c r="AX467" t="str">
        <f t="shared" si="239"/>
        <v>pl 38882.0682876704,279 38882.0682876704,400 </v>
      </c>
      <c r="AY467" t="str">
        <f t="shared" si="240"/>
        <v>38882.0682876704,441.236</v>
      </c>
      <c r="AZ467" t="str">
        <f t="shared" si="241"/>
        <v>38882.0682876704,445.151</v>
      </c>
      <c r="BA467" t="str">
        <f t="shared" si="242"/>
        <v>38882.0682876704,446.636</v>
      </c>
      <c r="BB467" t="str">
        <f t="shared" si="243"/>
        <v>-text 38881.0682876704,337 3.5 90 441.236 </v>
      </c>
      <c r="BC467" t="str">
        <f t="shared" si="244"/>
        <v>-text 38881.0682876704,320 3.5 90 446.636 </v>
      </c>
      <c r="BD467" t="str">
        <f t="shared" si="245"/>
        <v>-text 38881.0682876704,306 3.5 90 445.151 </v>
      </c>
      <c r="BE467" t="str">
        <f t="shared" si="246"/>
        <v>-text 38881.0682876704,352 3.5 90 ZG77+764.137 </v>
      </c>
      <c r="BF467" t="str">
        <f t="shared" si="247"/>
        <v>-text 38881.0682876704,280 3.5 90 IP252 </v>
      </c>
      <c r="BG467" t="str">
        <f t="shared" si="248"/>
        <v>-TEXT 38883.0682876704,300 3.5 0 R=80</v>
      </c>
      <c r="BH467" t="str">
        <f t="shared" si="249"/>
        <v>-TEXT 38883.0682876704,295 3.5 0 α=18.96° </v>
      </c>
      <c r="BI467" t="str">
        <f t="shared" si="250"/>
        <v>-TEXT 38883.0682876704,290 3.5 0 T=13.36 </v>
      </c>
      <c r="BJ467" t="str">
        <f t="shared" si="251"/>
        <v>-TEXT 38883.0682876704,285 3.5 0 S=26.47 </v>
      </c>
    </row>
    <row r="468" spans="1:62">
      <c r="A468">
        <v>1</v>
      </c>
      <c r="B468">
        <v>467</v>
      </c>
      <c r="C468" t="str">
        <f>Sheet1!C427</f>
        <v>凤凰山隧进</v>
      </c>
      <c r="D468">
        <v>490920.4974</v>
      </c>
      <c r="E468">
        <v>3359987.7807</v>
      </c>
      <c r="G468">
        <f t="shared" si="253"/>
        <v>0</v>
      </c>
      <c r="H468">
        <f t="shared" si="254"/>
        <v>0</v>
      </c>
      <c r="I468">
        <f t="shared" si="255"/>
        <v>0</v>
      </c>
      <c r="J468">
        <f t="shared" si="256"/>
        <v>76.6815712186372</v>
      </c>
      <c r="K468" s="40">
        <f t="shared" si="257"/>
        <v>77840.696020479</v>
      </c>
      <c r="L468" s="40">
        <f t="shared" si="258"/>
        <v>77840.696020479</v>
      </c>
      <c r="M468" s="40">
        <f t="shared" si="259"/>
        <v>77840.696020479</v>
      </c>
      <c r="N468">
        <v>445.133</v>
      </c>
      <c r="O468">
        <v>441.244</v>
      </c>
      <c r="P468">
        <v>0</v>
      </c>
      <c r="Q468" s="39">
        <f t="shared" si="260"/>
        <v>490920.4974</v>
      </c>
      <c r="R468" s="39">
        <f t="shared" si="261"/>
        <v>3359987.7807</v>
      </c>
      <c r="S468" s="39" t="str">
        <f t="shared" si="234"/>
        <v> </v>
      </c>
      <c r="T468" s="39" t="str">
        <f t="shared" si="235"/>
        <v> </v>
      </c>
      <c r="U468" s="39" t="str">
        <f t="shared" si="236"/>
        <v> </v>
      </c>
      <c r="V468" s="39" t="str">
        <f t="shared" si="237"/>
        <v> </v>
      </c>
      <c r="AI468" t="str">
        <f t="array" ref="AI468">IFERROR(INDEX($L$2:$L$789,SMALL(IF(ISNUMBER(FIND($AH$2,$C$2:$C$789)),ROW($2:$789)-1,4^8),ROW(A467)))&amp;"","")</f>
        <v/>
      </c>
      <c r="AT468" t="str">
        <f t="shared" si="238"/>
        <v>490920.4974,3359987.7807</v>
      </c>
      <c r="AV468">
        <f t="shared" si="252"/>
        <v>446.344</v>
      </c>
      <c r="AX468" t="str">
        <f t="shared" si="239"/>
        <v>pl 38920.3480102395,279 38920.3480102395,400 </v>
      </c>
      <c r="AY468" t="str">
        <f t="shared" si="240"/>
        <v>38920.3480102395,441.244</v>
      </c>
      <c r="AZ468" t="str">
        <f t="shared" si="241"/>
        <v>38920.3480102395,445.133</v>
      </c>
      <c r="BA468" t="str">
        <f t="shared" si="242"/>
        <v>38920.3480102395,446.344</v>
      </c>
      <c r="BB468" t="str">
        <f t="shared" si="243"/>
        <v>-text 38919.3480102395,337 3.5 90 441.244 </v>
      </c>
      <c r="BC468" t="str">
        <f t="shared" si="244"/>
        <v>-text 38919.3480102395,320 3.5 90 446.344 </v>
      </c>
      <c r="BD468" t="str">
        <f t="shared" si="245"/>
        <v>-text 38919.3480102395,306 3.5 90 445.133 </v>
      </c>
      <c r="BE468" t="str">
        <f t="shared" si="246"/>
        <v>-text 38919.3480102395,352 3.5 90 ZG77+840.696 </v>
      </c>
      <c r="BF468" t="str">
        <f t="shared" si="247"/>
        <v>-text 38919.3480102395,280 3.5 90 凤凰山隧进 </v>
      </c>
      <c r="BG468" t="str">
        <f t="shared" si="248"/>
        <v/>
      </c>
      <c r="BH468" t="str">
        <f t="shared" si="249"/>
        <v> </v>
      </c>
      <c r="BI468" t="str">
        <f t="shared" si="250"/>
        <v> </v>
      </c>
      <c r="BJ468" t="str">
        <f t="shared" si="251"/>
        <v> </v>
      </c>
    </row>
    <row r="469" spans="1:62">
      <c r="A469">
        <v>1</v>
      </c>
      <c r="B469">
        <v>468</v>
      </c>
      <c r="C469" t="s">
        <v>448</v>
      </c>
      <c r="D469">
        <v>490951.878</v>
      </c>
      <c r="E469">
        <v>3359889.2319</v>
      </c>
      <c r="F469">
        <v>80</v>
      </c>
      <c r="G469">
        <f t="shared" si="253"/>
        <v>35.601</v>
      </c>
      <c r="H469">
        <f t="shared" si="254"/>
        <v>25.6859601410144</v>
      </c>
      <c r="I469">
        <f t="shared" si="255"/>
        <v>49.7083733602001</v>
      </c>
      <c r="J469">
        <f t="shared" si="256"/>
        <v>103.424407360159</v>
      </c>
      <c r="K469" s="40">
        <f t="shared" si="257"/>
        <v>77918.4344676981</v>
      </c>
      <c r="L469" s="40">
        <f t="shared" si="258"/>
        <v>77943.2886543782</v>
      </c>
      <c r="M469" s="40">
        <f t="shared" si="259"/>
        <v>77968.1428410583</v>
      </c>
      <c r="N469">
        <v>445.114</v>
      </c>
      <c r="O469">
        <v>441.225</v>
      </c>
      <c r="P469">
        <v>0.002</v>
      </c>
      <c r="Q469" s="39">
        <f t="shared" si="260"/>
        <v>490944.084473681</v>
      </c>
      <c r="R469" s="39">
        <f t="shared" si="261"/>
        <v>3359913.70697908</v>
      </c>
      <c r="S469" s="39">
        <f t="shared" si="234"/>
        <v>490955.154193054</v>
      </c>
      <c r="T469" s="39">
        <f t="shared" si="235"/>
        <v>3359891.56561482</v>
      </c>
      <c r="U469" s="39">
        <f t="shared" si="236"/>
        <v>490972.462614354</v>
      </c>
      <c r="V469" s="39">
        <f t="shared" si="237"/>
        <v>3359873.86823506</v>
      </c>
      <c r="AI469" t="str">
        <f t="array" ref="AI469">IFERROR(INDEX($L$2:$L$789,SMALL(IF(ISNUMBER(FIND($AH$2,$C$2:$C$789)),ROW($2:$789)-1,4^8),ROW(A468)))&amp;"","")</f>
        <v/>
      </c>
      <c r="AS469" t="str">
        <f>"-text"&amp;" "&amp;D469&amp;","&amp;E469&amp;" "&amp;"10"&amp;" "&amp;"0"&amp;" "&amp;C469</f>
        <v>-text 490951.878,3359889.2319 10 0 IP253</v>
      </c>
      <c r="AT469" t="str">
        <f t="shared" si="238"/>
        <v>490951.878,3359889.2319</v>
      </c>
      <c r="AV469">
        <f t="shared" si="252"/>
        <v>446.325</v>
      </c>
      <c r="AX469" t="str">
        <f t="shared" si="239"/>
        <v>pl 38971.6443271891,279 38971.6443271891,400 </v>
      </c>
      <c r="AY469" t="str">
        <f t="shared" si="240"/>
        <v>38971.6443271891,441.225</v>
      </c>
      <c r="AZ469" t="str">
        <f t="shared" si="241"/>
        <v>38971.6443271891,445.114</v>
      </c>
      <c r="BA469" t="str">
        <f t="shared" si="242"/>
        <v>38971.6443271891,446.325</v>
      </c>
      <c r="BB469" t="str">
        <f t="shared" si="243"/>
        <v>-text 38970.6443271891,337 3.5 90 441.225 </v>
      </c>
      <c r="BC469" t="str">
        <f t="shared" si="244"/>
        <v>-text 38970.6443271891,320 3.5 90 446.325 </v>
      </c>
      <c r="BD469" t="str">
        <f t="shared" si="245"/>
        <v>-text 38970.6443271891,306 3.5 90 445.114 </v>
      </c>
      <c r="BE469" t="str">
        <f t="shared" si="246"/>
        <v>-text 38970.6443271891,352 3.5 90 ZG77+943.289 </v>
      </c>
      <c r="BF469" t="str">
        <f t="shared" si="247"/>
        <v>-text 38970.6443271891,280 3.5 90 IP253 </v>
      </c>
      <c r="BG469" t="str">
        <f t="shared" si="248"/>
        <v>-TEXT 38972.6443271891,300 3.5 0 R=80</v>
      </c>
      <c r="BH469" t="str">
        <f t="shared" si="249"/>
        <v>-TEXT 38972.6443271891,295 3.5 0 α=35.60° </v>
      </c>
      <c r="BI469" t="str">
        <f t="shared" si="250"/>
        <v>-TEXT 38972.6443271891,290 3.5 0 T=25.69 </v>
      </c>
      <c r="BJ469" t="str">
        <f t="shared" si="251"/>
        <v>-TEXT 38972.6443271891,285 3.5 0 S=49.71 </v>
      </c>
    </row>
    <row r="470" spans="1:62">
      <c r="A470">
        <v>1</v>
      </c>
      <c r="B470">
        <v>469</v>
      </c>
      <c r="C470" t="str">
        <f>Sheet1!C429</f>
        <v>凤凰山隧出</v>
      </c>
      <c r="D470">
        <v>491348.7525</v>
      </c>
      <c r="E470">
        <v>3359593.0181</v>
      </c>
      <c r="G470">
        <f t="shared" si="253"/>
        <v>0</v>
      </c>
      <c r="H470">
        <f t="shared" ref="H470:H475" si="263">F470*TAN(PI()/180*G470/2)</f>
        <v>0</v>
      </c>
      <c r="I470">
        <f t="shared" ref="I470:I475" si="264">F470*G470/180*PI()</f>
        <v>0</v>
      </c>
      <c r="J470">
        <f t="shared" si="256"/>
        <v>495.229223754704</v>
      </c>
      <c r="K470" s="40">
        <f t="shared" ref="K470:K475" si="265">L470-I470/2</f>
        <v>78437.686104672</v>
      </c>
      <c r="L470" s="40">
        <f t="shared" si="258"/>
        <v>78437.686104672</v>
      </c>
      <c r="M470" s="40">
        <f t="shared" ref="M470:M475" si="266">K470+I470</f>
        <v>78437.686104672</v>
      </c>
      <c r="N470">
        <v>445.023</v>
      </c>
      <c r="O470">
        <v>441.134</v>
      </c>
      <c r="P470">
        <v>0</v>
      </c>
      <c r="Q470" s="39">
        <f t="shared" si="260"/>
        <v>491348.7525</v>
      </c>
      <c r="R470" s="39">
        <f t="shared" si="261"/>
        <v>3359593.0181</v>
      </c>
      <c r="S470" s="39" t="str">
        <f t="shared" si="234"/>
        <v> </v>
      </c>
      <c r="T470" s="39" t="str">
        <f t="shared" si="235"/>
        <v> </v>
      </c>
      <c r="U470" s="39" t="str">
        <f t="shared" si="236"/>
        <v> </v>
      </c>
      <c r="V470" s="39" t="str">
        <f t="shared" si="237"/>
        <v> </v>
      </c>
      <c r="AI470" t="str">
        <f t="array" ref="AI470">IFERROR(INDEX($L$2:$L$789,SMALL(IF(ISNUMBER(FIND($AH$2,$C$2:$C$789)),ROW($2:$789)-1,4^8),ROW(A469)))&amp;"","")</f>
        <v/>
      </c>
      <c r="AT470" t="str">
        <f t="shared" si="238"/>
        <v>491348.7525,3359593.0181</v>
      </c>
      <c r="AV470">
        <f t="shared" si="252"/>
        <v>446.234</v>
      </c>
      <c r="AX470" t="str">
        <f t="shared" si="239"/>
        <v>pl 39218.843052336,279 39218.843052336,400 </v>
      </c>
      <c r="AY470" t="str">
        <f t="shared" si="240"/>
        <v>39218.843052336,441.134</v>
      </c>
      <c r="AZ470" t="str">
        <f t="shared" si="241"/>
        <v>39218.843052336,445.023</v>
      </c>
      <c r="BA470" t="str">
        <f t="shared" si="242"/>
        <v>39218.843052336,446.234</v>
      </c>
      <c r="BB470" t="str">
        <f t="shared" si="243"/>
        <v>-text 39217.843052336,337 3.5 90 441.134 </v>
      </c>
      <c r="BC470" t="str">
        <f t="shared" si="244"/>
        <v>-text 39217.843052336,320 3.5 90 446.234 </v>
      </c>
      <c r="BD470" t="str">
        <f t="shared" si="245"/>
        <v>-text 39217.843052336,306 3.5 90 445.023 </v>
      </c>
      <c r="BE470" t="str">
        <f t="shared" si="246"/>
        <v>-text 39217.843052336,352 3.5 90 ZG78+437.686 </v>
      </c>
      <c r="BF470" t="str">
        <f t="shared" si="247"/>
        <v>-text 39217.843052336,280 3.5 90 凤凰山隧出 </v>
      </c>
      <c r="BG470" t="str">
        <f t="shared" si="248"/>
        <v/>
      </c>
      <c r="BH470" t="str">
        <f t="shared" si="249"/>
        <v> </v>
      </c>
      <c r="BI470" t="str">
        <f t="shared" si="250"/>
        <v> </v>
      </c>
      <c r="BJ470" t="str">
        <f t="shared" si="251"/>
        <v> </v>
      </c>
    </row>
    <row r="471" spans="1:62">
      <c r="A471">
        <v>0</v>
      </c>
      <c r="B471">
        <v>470</v>
      </c>
      <c r="C471" t="s">
        <v>450</v>
      </c>
      <c r="D471">
        <v>491381.6368</v>
      </c>
      <c r="E471">
        <v>3359568.4743</v>
      </c>
      <c r="F471">
        <v>80</v>
      </c>
      <c r="G471">
        <f t="shared" si="253"/>
        <v>13.457</v>
      </c>
      <c r="H471">
        <f t="shared" si="263"/>
        <v>9.43818512607251</v>
      </c>
      <c r="I471">
        <f t="shared" si="264"/>
        <v>18.7895165952702</v>
      </c>
      <c r="J471">
        <f t="shared" si="256"/>
        <v>41.0338312241667</v>
      </c>
      <c r="K471" s="40">
        <f t="shared" si="265"/>
        <v>78469.2817507701</v>
      </c>
      <c r="L471" s="40">
        <f t="shared" si="258"/>
        <v>78478.6765090678</v>
      </c>
      <c r="M471" s="40">
        <f t="shared" si="266"/>
        <v>78488.0712673654</v>
      </c>
      <c r="N471">
        <v>445.018</v>
      </c>
      <c r="O471">
        <v>441.103</v>
      </c>
      <c r="P471">
        <v>0.001</v>
      </c>
      <c r="Q471" s="39">
        <f t="shared" si="260"/>
        <v>491374.073087281</v>
      </c>
      <c r="R471" s="39">
        <f t="shared" si="261"/>
        <v>3359574.11961561</v>
      </c>
      <c r="S471" s="39">
        <f t="shared" si="234"/>
        <v>491381.914276989</v>
      </c>
      <c r="T471" s="39">
        <f t="shared" si="235"/>
        <v>3359568.95474881</v>
      </c>
      <c r="U471" s="39">
        <f t="shared" si="236"/>
        <v>491390.306598426</v>
      </c>
      <c r="V471" s="39">
        <f t="shared" si="237"/>
        <v>3359564.74416143</v>
      </c>
      <c r="AI471" t="str">
        <f t="array" ref="AI471">IFERROR(INDEX($L$2:$L$789,SMALL(IF(ISNUMBER(FIND($AH$2,$C$2:$C$789)),ROW($2:$789)-1,4^8),ROW(A470)))&amp;"","")</f>
        <v/>
      </c>
      <c r="AS471" t="str">
        <f>"-text"&amp;" "&amp;D471&amp;","&amp;E471&amp;" "&amp;"10"&amp;" "&amp;"0"&amp;" "&amp;C471</f>
        <v>-text 491381.6368,3359568.4743 10 0 IP254</v>
      </c>
      <c r="AT471" t="str">
        <f t="shared" si="238"/>
        <v>491381.6368,3359568.4743</v>
      </c>
      <c r="AV471">
        <f t="shared" si="252"/>
        <v>446.503</v>
      </c>
      <c r="AX471" t="str">
        <f t="shared" si="239"/>
        <v>pl 39239.3382545339,279 39239.3382545339,400 </v>
      </c>
      <c r="AY471" t="str">
        <f t="shared" si="240"/>
        <v>39239.3382545339,441.103</v>
      </c>
      <c r="AZ471" t="str">
        <f t="shared" si="241"/>
        <v>39239.3382545339,445.018</v>
      </c>
      <c r="BA471" t="str">
        <f t="shared" si="242"/>
        <v>39239.3382545339,446.503</v>
      </c>
      <c r="BB471" t="str">
        <f t="shared" si="243"/>
        <v>-text 39238.3382545339,337 3.5 90 441.103 </v>
      </c>
      <c r="BC471" t="str">
        <f t="shared" si="244"/>
        <v>-text 39238.3382545339,320 3.5 90 446.503 </v>
      </c>
      <c r="BD471" t="str">
        <f t="shared" si="245"/>
        <v>-text 39238.3382545339,306 3.5 90 445.018 </v>
      </c>
      <c r="BE471" t="str">
        <f t="shared" si="246"/>
        <v>-text 39238.3382545339,352 3.5 90 ZG78+478.677 </v>
      </c>
      <c r="BF471" t="str">
        <f t="shared" si="247"/>
        <v>-text 39238.3382545339,280 3.5 90 IP254 </v>
      </c>
      <c r="BG471" t="str">
        <f t="shared" si="248"/>
        <v>-TEXT 39240.3382545339,300 3.5 0 R=80</v>
      </c>
      <c r="BH471" t="str">
        <f t="shared" si="249"/>
        <v>-TEXT 39240.3382545339,295 3.5 0 α=13.46° </v>
      </c>
      <c r="BI471" t="str">
        <f t="shared" si="250"/>
        <v>-TEXT 39240.3382545339,290 3.5 0 T=9.44 </v>
      </c>
      <c r="BJ471" t="str">
        <f t="shared" si="251"/>
        <v>-TEXT 39240.3382545339,285 3.5 0 S=18.79 </v>
      </c>
    </row>
    <row r="472" spans="1:62">
      <c r="A472">
        <v>0</v>
      </c>
      <c r="B472">
        <v>471</v>
      </c>
      <c r="C472" t="s">
        <v>451</v>
      </c>
      <c r="D472">
        <v>491468.382</v>
      </c>
      <c r="E472">
        <v>3359531.1526</v>
      </c>
      <c r="F472">
        <v>80</v>
      </c>
      <c r="G472">
        <f t="shared" si="253"/>
        <v>29.196</v>
      </c>
      <c r="H472">
        <f t="shared" si="263"/>
        <v>20.8354571724395</v>
      </c>
      <c r="I472">
        <f t="shared" si="264"/>
        <v>40.7653062729812</v>
      </c>
      <c r="J472">
        <f t="shared" si="256"/>
        <v>94.4332516326284</v>
      </c>
      <c r="K472" s="40">
        <f t="shared" si="265"/>
        <v>78552.2308766995</v>
      </c>
      <c r="L472" s="40">
        <f t="shared" si="258"/>
        <v>78572.613529836</v>
      </c>
      <c r="M472" s="40">
        <f t="shared" si="266"/>
        <v>78592.9961829725</v>
      </c>
      <c r="N472">
        <v>445</v>
      </c>
      <c r="O472">
        <v>441.085</v>
      </c>
      <c r="P472">
        <v>0.001</v>
      </c>
      <c r="Q472" s="39">
        <f t="shared" si="260"/>
        <v>491449.242810485</v>
      </c>
      <c r="R472" s="39">
        <f t="shared" si="261"/>
        <v>3359539.38714311</v>
      </c>
      <c r="S472" s="39">
        <f t="shared" si="234"/>
        <v>491466.743499356</v>
      </c>
      <c r="T472" s="39">
        <f t="shared" si="235"/>
        <v>3359529.04613815</v>
      </c>
      <c r="U472" s="39">
        <f t="shared" si="236"/>
        <v>491481.072975197</v>
      </c>
      <c r="V472" s="39">
        <f t="shared" si="237"/>
        <v>3359514.62821123</v>
      </c>
      <c r="AI472" t="str">
        <f t="array" ref="AI472">IFERROR(INDEX($L$2:$L$789,SMALL(IF(ISNUMBER(FIND($AH$2,$C$2:$C$789)),ROW($2:$789)-1,4^8),ROW(A471)))&amp;"","")</f>
        <v/>
      </c>
      <c r="AS472" t="str">
        <f>"-text"&amp;" "&amp;D472&amp;","&amp;E472&amp;" "&amp;"10"&amp;" "&amp;"0"&amp;" "&amp;C472</f>
        <v>-text 491468.382,3359531.1526 10 0 IP255</v>
      </c>
      <c r="AT472" t="str">
        <f t="shared" si="238"/>
        <v>491468.382,3359531.1526</v>
      </c>
      <c r="AV472">
        <f t="shared" si="252"/>
        <v>446.485</v>
      </c>
      <c r="AX472" t="str">
        <f t="shared" si="239"/>
        <v>pl 39286.306764918,279 39286.306764918,400 </v>
      </c>
      <c r="AY472" t="str">
        <f t="shared" si="240"/>
        <v>39286.306764918,441.085</v>
      </c>
      <c r="AZ472" t="str">
        <f t="shared" si="241"/>
        <v>39286.306764918,445</v>
      </c>
      <c r="BA472" t="str">
        <f t="shared" si="242"/>
        <v>39286.306764918,446.485</v>
      </c>
      <c r="BB472" t="str">
        <f t="shared" si="243"/>
        <v>-text 39285.306764918,337 3.5 90 441.085 </v>
      </c>
      <c r="BC472" t="str">
        <f t="shared" si="244"/>
        <v>-text 39285.306764918,320 3.5 90 446.485 </v>
      </c>
      <c r="BD472" t="str">
        <f t="shared" si="245"/>
        <v>-text 39285.306764918,306 3.5 90 445.000 </v>
      </c>
      <c r="BE472" t="str">
        <f t="shared" si="246"/>
        <v>-text 39285.306764918,352 3.5 90 ZG78+572.614 </v>
      </c>
      <c r="BF472" t="str">
        <f t="shared" si="247"/>
        <v>-text 39285.306764918,280 3.5 90 IP255 </v>
      </c>
      <c r="BG472" t="str">
        <f t="shared" si="248"/>
        <v>-TEXT 39287.306764918,300 3.5 0 R=80</v>
      </c>
      <c r="BH472" t="str">
        <f t="shared" si="249"/>
        <v>-TEXT 39287.306764918,295 3.5 0 α=29.20° </v>
      </c>
      <c r="BI472" t="str">
        <f t="shared" si="250"/>
        <v>-TEXT 39287.306764918,290 3.5 0 T=20.84 </v>
      </c>
      <c r="BJ472" t="str">
        <f t="shared" si="251"/>
        <v>-TEXT 39287.306764918,285 3.5 0 S=40.77 </v>
      </c>
    </row>
    <row r="473" spans="1:62">
      <c r="A473">
        <v>0</v>
      </c>
      <c r="B473">
        <v>472</v>
      </c>
      <c r="C473" t="s">
        <v>452</v>
      </c>
      <c r="D473">
        <v>491497.2271</v>
      </c>
      <c r="E473">
        <v>3359493.5946</v>
      </c>
      <c r="F473">
        <v>80</v>
      </c>
      <c r="G473">
        <f t="shared" si="253"/>
        <v>33.037</v>
      </c>
      <c r="H473">
        <f t="shared" si="263"/>
        <v>23.7251796221264</v>
      </c>
      <c r="I473">
        <f t="shared" si="264"/>
        <v>46.1283539985093</v>
      </c>
      <c r="J473">
        <f t="shared" si="256"/>
        <v>47.3565534855164</v>
      </c>
      <c r="K473" s="40">
        <f t="shared" si="265"/>
        <v>78595.7920996634</v>
      </c>
      <c r="L473" s="40">
        <f t="shared" si="258"/>
        <v>78618.8562766627</v>
      </c>
      <c r="M473" s="40">
        <f t="shared" si="266"/>
        <v>78641.920453662</v>
      </c>
      <c r="N473">
        <v>444.99</v>
      </c>
      <c r="O473">
        <v>441.075</v>
      </c>
      <c r="P473">
        <v>0.001</v>
      </c>
      <c r="Q473" s="39">
        <f t="shared" si="260"/>
        <v>491482.775981235</v>
      </c>
      <c r="R473" s="39">
        <f t="shared" si="261"/>
        <v>3359512.4107982</v>
      </c>
      <c r="S473" s="39">
        <f t="shared" si="234"/>
        <v>491499.249259094</v>
      </c>
      <c r="T473" s="39">
        <f t="shared" si="235"/>
        <v>3359496.38227977</v>
      </c>
      <c r="U473" s="39">
        <f t="shared" si="236"/>
        <v>491519.59993796</v>
      </c>
      <c r="V473" s="39">
        <f t="shared" si="237"/>
        <v>3359485.69901454</v>
      </c>
      <c r="AI473" t="str">
        <f t="array" ref="AI473">IFERROR(INDEX($L$2:$L$789,SMALL(IF(ISNUMBER(FIND($AH$2,$C$2:$C$789)),ROW($2:$789)-1,4^8),ROW(A472)))&amp;"","")</f>
        <v/>
      </c>
      <c r="AS473" t="str">
        <f>"-text"&amp;" "&amp;D473&amp;","&amp;E473&amp;" "&amp;"10"&amp;" "&amp;"0"&amp;" "&amp;C473</f>
        <v>-text 491497.2271,3359493.5946 10 0 IP256</v>
      </c>
      <c r="AT473" t="str">
        <f t="shared" si="238"/>
        <v>491497.2271,3359493.5946</v>
      </c>
      <c r="AV473">
        <f t="shared" si="252"/>
        <v>446.475</v>
      </c>
      <c r="AX473" t="str">
        <f t="shared" si="239"/>
        <v>pl 39309.4281383314,279 39309.4281383314,400 </v>
      </c>
      <c r="AY473" t="str">
        <f t="shared" si="240"/>
        <v>39309.4281383314,441.075</v>
      </c>
      <c r="AZ473" t="str">
        <f t="shared" si="241"/>
        <v>39309.4281383314,444.99</v>
      </c>
      <c r="BA473" t="str">
        <f t="shared" si="242"/>
        <v>39309.4281383314,446.475</v>
      </c>
      <c r="BB473" t="str">
        <f t="shared" si="243"/>
        <v>-text 39308.4281383314,337 3.5 90 441.075 </v>
      </c>
      <c r="BC473" t="str">
        <f t="shared" si="244"/>
        <v>-text 39308.4281383314,320 3.5 90 446.475 </v>
      </c>
      <c r="BD473" t="str">
        <f t="shared" si="245"/>
        <v>-text 39308.4281383314,306 3.5 90 444.990 </v>
      </c>
      <c r="BE473" t="str">
        <f t="shared" si="246"/>
        <v>-text 39308.4281383314,352 3.5 90 ZG78+618.856 </v>
      </c>
      <c r="BF473" t="str">
        <f t="shared" si="247"/>
        <v>-text 39308.4281383314,280 3.5 90 IP256 </v>
      </c>
      <c r="BG473" t="str">
        <f t="shared" si="248"/>
        <v>-TEXT 39310.4281383314,300 3.5 0 R=80</v>
      </c>
      <c r="BH473" t="str">
        <f t="shared" si="249"/>
        <v>-TEXT 39310.4281383314,295 3.5 0 α=33.04° </v>
      </c>
      <c r="BI473" t="str">
        <f t="shared" si="250"/>
        <v>-TEXT 39310.4281383314,290 3.5 0 T=23.73 </v>
      </c>
      <c r="BJ473" t="str">
        <f t="shared" si="251"/>
        <v>-TEXT 39310.4281383314,285 3.5 0 S=46.13 </v>
      </c>
    </row>
    <row r="474" spans="1:62">
      <c r="A474">
        <v>0</v>
      </c>
      <c r="B474">
        <v>473</v>
      </c>
      <c r="C474" t="s">
        <v>453</v>
      </c>
      <c r="D474">
        <v>491552.8119</v>
      </c>
      <c r="E474">
        <v>3359473.9782</v>
      </c>
      <c r="F474">
        <v>40</v>
      </c>
      <c r="G474">
        <f t="shared" si="253"/>
        <v>34.208</v>
      </c>
      <c r="H474">
        <f t="shared" si="263"/>
        <v>12.3086636705031</v>
      </c>
      <c r="I474">
        <f t="shared" si="264"/>
        <v>23.8816892208888</v>
      </c>
      <c r="J474">
        <f t="shared" si="256"/>
        <v>58.9446616751815</v>
      </c>
      <c r="K474" s="40">
        <f t="shared" si="265"/>
        <v>78664.8312720445</v>
      </c>
      <c r="L474" s="40">
        <f t="shared" si="258"/>
        <v>78676.772116655</v>
      </c>
      <c r="M474" s="40">
        <f t="shared" si="266"/>
        <v>78688.7129612654</v>
      </c>
      <c r="N474">
        <v>444.978</v>
      </c>
      <c r="O474">
        <v>441.062</v>
      </c>
      <c r="P474">
        <v>0.001</v>
      </c>
      <c r="Q474" s="39">
        <f t="shared" si="260"/>
        <v>491541.204833491</v>
      </c>
      <c r="R474" s="39">
        <f t="shared" si="261"/>
        <v>3359478.07444321</v>
      </c>
      <c r="S474" s="39" t="e">
        <f t="shared" si="234"/>
        <v>#DIV/0!</v>
      </c>
      <c r="T474" s="39" t="e">
        <f t="shared" si="235"/>
        <v>#DIV/0!</v>
      </c>
      <c r="U474" s="39" t="e">
        <f>IF(G474=0," ",D474+(D476-D474)/J476*H474)</f>
        <v>#DIV/0!</v>
      </c>
      <c r="V474" s="39" t="e">
        <f>IF(G474=0," ",E474+(E476-E474)/J476*H474)</f>
        <v>#DIV/0!</v>
      </c>
      <c r="AI474" t="str">
        <f t="array" ref="AI474">IFERROR(INDEX($L$2:$L$789,SMALL(IF(ISNUMBER(FIND($AH$2,$C$2:$C$789)),ROW($2:$789)-1,4^8),ROW(A473)))&amp;"","")</f>
        <v/>
      </c>
      <c r="AS474" t="str">
        <f>"-text"&amp;" "&amp;D474&amp;","&amp;E474&amp;" "&amp;"10"&amp;" "&amp;"0"&amp;" "&amp;C474</f>
        <v>-text 491552.8119,3359473.9782 10 0 IP257</v>
      </c>
      <c r="AT474" t="str">
        <f t="shared" si="238"/>
        <v>491552.8119,3359473.9782</v>
      </c>
      <c r="AV474">
        <f t="shared" si="252"/>
        <v>446.462</v>
      </c>
      <c r="AX474" t="str">
        <f t="shared" si="239"/>
        <v>pl 39338.3860583275,279 39338.3860583275,400 </v>
      </c>
      <c r="AY474" t="str">
        <f t="shared" si="240"/>
        <v>39338.3860583275,441.062</v>
      </c>
      <c r="AZ474" t="str">
        <f t="shared" si="241"/>
        <v>39338.3860583275,444.978</v>
      </c>
      <c r="BA474" t="str">
        <f t="shared" si="242"/>
        <v>39338.3860583275,446.462</v>
      </c>
      <c r="BB474" t="str">
        <f t="shared" si="243"/>
        <v>-text 39337.3860583275,337 3.5 90 441.062 </v>
      </c>
      <c r="BC474" t="str">
        <f t="shared" si="244"/>
        <v>-text 39337.3860583275,320 3.5 90 446.462 </v>
      </c>
      <c r="BD474" t="str">
        <f t="shared" si="245"/>
        <v>-text 39337.3860583275,306 3.5 90 444.978 </v>
      </c>
      <c r="BE474" t="str">
        <f t="shared" si="246"/>
        <v>-text 39337.3860583275,352 3.5 90 ZG78+676.772 </v>
      </c>
      <c r="BF474" t="str">
        <f t="shared" si="247"/>
        <v>-text 39337.3860583275,280 3.5 90 IP257 </v>
      </c>
      <c r="BG474" t="str">
        <f t="shared" si="248"/>
        <v>-TEXT 39339.3860583275,300 3.5 0 R=40</v>
      </c>
      <c r="BH474" t="str">
        <f t="shared" si="249"/>
        <v>-TEXT 39339.3860583275,295 3.5 0 α=34.21° </v>
      </c>
      <c r="BI474" t="str">
        <f t="shared" si="250"/>
        <v>-TEXT 39339.3860583275,290 3.5 0 T=12.31 </v>
      </c>
      <c r="BJ474" t="str">
        <f t="shared" si="251"/>
        <v>-TEXT 39339.3860583275,285 3.5 0 S=23.88 </v>
      </c>
    </row>
    <row r="475" s="37" customFormat="1" spans="1:62">
      <c r="A475" s="37">
        <v>1</v>
      </c>
      <c r="B475" s="37">
        <v>474</v>
      </c>
      <c r="C475" s="37" t="s">
        <v>853</v>
      </c>
      <c r="D475" s="37">
        <v>491565.5581</v>
      </c>
      <c r="E475" s="37">
        <v>3359456.6604</v>
      </c>
      <c r="F475" s="37"/>
      <c r="G475" s="37">
        <f t="shared" si="253"/>
        <v>0</v>
      </c>
      <c r="H475" s="37">
        <f t="shared" si="263"/>
        <v>0</v>
      </c>
      <c r="I475" s="37">
        <f t="shared" si="264"/>
        <v>0</v>
      </c>
      <c r="J475" s="37">
        <f t="shared" si="256"/>
        <v>21.5028326337704</v>
      </c>
      <c r="K475" s="52">
        <f t="shared" si="265"/>
        <v>78697.9071302287</v>
      </c>
      <c r="L475" s="52">
        <f t="shared" si="258"/>
        <v>78697.9071302287</v>
      </c>
      <c r="M475" s="52">
        <f t="shared" si="266"/>
        <v>78697.9071302287</v>
      </c>
      <c r="N475" s="37">
        <v>444.97</v>
      </c>
      <c r="O475" s="37">
        <v>441.081</v>
      </c>
      <c r="P475" s="37">
        <v>0</v>
      </c>
      <c r="Q475" s="51">
        <f>IF(G475=0,D475,D473+(D475-D473)/J475*(J475-H475))</f>
        <v>491565.5581</v>
      </c>
      <c r="R475" s="51">
        <f>IF(G475=0,E475,E473+(E475-E473)/J475*(J475-H475))</f>
        <v>3359456.6604</v>
      </c>
      <c r="S475" s="51"/>
      <c r="T475" s="51"/>
      <c r="U475" s="51"/>
      <c r="V475" s="51"/>
    </row>
    <row r="476" s="37" customFormat="1" spans="1:62">
      <c r="A476" s="37">
        <v>1</v>
      </c>
      <c r="B476" s="37">
        <v>475</v>
      </c>
      <c r="C476" s="37" t="str">
        <f>Sheet1!C434</f>
        <v>书房湾隧进</v>
      </c>
      <c r="D476" s="37">
        <v>491565.5581</v>
      </c>
      <c r="E476" s="37">
        <v>3359456.6604</v>
      </c>
      <c r="G476" s="37">
        <f t="shared" si="253"/>
        <v>0</v>
      </c>
      <c r="H476" s="37">
        <f t="shared" ref="H476:H511" si="267">F476*TAN(PI()/180*G476/2)</f>
        <v>0</v>
      </c>
      <c r="I476" s="37">
        <f t="shared" ref="I476:I511" si="268">F476*G476/180*PI()</f>
        <v>0</v>
      </c>
      <c r="J476" s="37">
        <f t="shared" si="256"/>
        <v>0</v>
      </c>
      <c r="K476" s="52">
        <f t="shared" ref="K476:K510" si="269">L476-I476/2</f>
        <v>78697.9071302287</v>
      </c>
      <c r="L476" s="52">
        <f t="shared" si="258"/>
        <v>78697.9071302287</v>
      </c>
      <c r="M476" s="52">
        <f t="shared" ref="M476:M510" si="270">K476+I476</f>
        <v>78697.9071302287</v>
      </c>
      <c r="N476" s="37">
        <v>444.97</v>
      </c>
      <c r="O476" s="37">
        <v>441.081</v>
      </c>
      <c r="P476" s="37">
        <v>0</v>
      </c>
      <c r="Q476" s="51">
        <f>IF(G476=0,D476,D474+(D476-D474)/J476*(J476-H476))</f>
        <v>491565.5581</v>
      </c>
      <c r="R476" s="51">
        <f>IF(G476=0,E476,E474+(E476-E474)/J476*(J476-H476))</f>
        <v>3359456.6604</v>
      </c>
      <c r="S476" s="51" t="str">
        <f t="shared" ref="S476:S510" si="271">IF(G476=0," ",(Q476+U476)/2+(D476-(Q476+U476)/2)/(H476*SIN(G476/360*PI()))*(F476-F476*COS(G476/360*PI())))</f>
        <v> </v>
      </c>
      <c r="T476" s="51" t="str">
        <f t="shared" ref="T476:T510" si="272">IF(G476=0," ",(R476+V476)/2+(E476-(R476+V476)/2)/(H476*SIN(G476/360*PI()))*(F476-F476*COS(G476/360*PI())))</f>
        <v> </v>
      </c>
      <c r="U476" s="51" t="str">
        <f t="shared" ref="U476:U510" si="273">IF(G476=0," ",D476+(D477-D476)/J477*H476)</f>
        <v> </v>
      </c>
      <c r="V476" s="51" t="str">
        <f t="shared" ref="V476:V510" si="274">IF(G476=0," ",E476+(E477-E476)/J477*H476)</f>
        <v> </v>
      </c>
      <c r="AI476" s="37" t="str">
        <f t="array" ref="AI476">IFERROR(INDEX($L$2:$L$789,SMALL(IF(ISNUMBER(FIND($AH$2,$C$2:$C$789)),ROW($2:$789)-1,4^8),ROW(A474)))&amp;"","")</f>
        <v/>
      </c>
      <c r="AT476" s="37" t="str">
        <f t="shared" ref="AT476:AT513" si="275">D476&amp;","&amp;E476</f>
        <v>491565.5581,3359456.6604</v>
      </c>
      <c r="AV476" s="37">
        <f t="shared" ref="AV476:AV496" si="276">IF(A476=0,O476+5.4,IF(A476=1,O476+5.1,O476+4.25))</f>
        <v>446.181</v>
      </c>
      <c r="AX476" s="37" t="str">
        <f t="shared" ref="AX476:AX513" si="277">"pl "&amp;L476/2&amp;",279 "&amp;L476/2&amp;",400 "</f>
        <v>pl 39348.9535651144,279 39348.9535651144,400 </v>
      </c>
      <c r="AY476" s="37" t="str">
        <f t="shared" ref="AY476:AY513" si="278">L476/2&amp;","&amp;O476</f>
        <v>39348.9535651144,441.081</v>
      </c>
      <c r="AZ476" s="37" t="str">
        <f t="shared" ref="AZ476:AZ513" si="279">L476/2&amp;","&amp;N476</f>
        <v>39348.9535651144,444.97</v>
      </c>
      <c r="BA476" s="37" t="str">
        <f t="shared" ref="BA476:BA513" si="280">L476/2&amp;","&amp;AV476</f>
        <v>39348.9535651144,446.181</v>
      </c>
      <c r="BB476" s="37" t="str">
        <f t="shared" ref="BB476:BB513" si="281">"-text "&amp;L476/2-1&amp;",337 3.5 90 "&amp;FIXED(O476,3)&amp;" "</f>
        <v>-text 39347.9535651144,337 3.5 90 441.081 </v>
      </c>
      <c r="BC476" s="37" t="str">
        <f t="shared" ref="BC476:BC513" si="282">"-text "&amp;L476/2-1&amp;",320 3.5 90 "&amp;FIXED(AV476,3)&amp;" "</f>
        <v>-text 39347.9535651144,320 3.5 90 446.181 </v>
      </c>
      <c r="BD476" s="37" t="str">
        <f t="shared" ref="BD476:BD513" si="283">"-text "&amp;L476/2-1&amp;",306 3.5 90 "&amp;FIXED(N476,3)&amp;" "</f>
        <v>-text 39347.9535651144,306 3.5 90 444.970 </v>
      </c>
      <c r="BE476" s="37" t="str">
        <f t="shared" ref="BE476:BE513" si="284">"-text "&amp;L476/2-1&amp;",352 3.5 90 "&amp;"ZG"&amp;TEXT(L476,"0+000.000")&amp;" "</f>
        <v>-text 39347.9535651144,352 3.5 90 ZG78+697.907 </v>
      </c>
      <c r="BF476" s="37" t="str">
        <f t="shared" ref="BF476:BF513" si="285">"-text "&amp;L476/2-1&amp;",280 3.5 90 "&amp;C476&amp;" "</f>
        <v>-text 39347.9535651144,280 3.5 90 书房湾隧进 </v>
      </c>
      <c r="BG476" s="37" t="str">
        <f t="shared" ref="BG476:BG513" si="286">IF(G476&lt;0.01,"",("-TEXT "&amp;L476/2+1&amp;",300 3.5 0 "&amp;"R="&amp;FIXED(F476,0)))</f>
        <v/>
      </c>
      <c r="BH476" s="37" t="str">
        <f t="shared" ref="BH476:BH513" si="287">IF(G476&lt;0.01," ",("-TEXT "&amp;L476/2+1&amp;",295 3.5 0 "&amp;"α="&amp;FIXED(G476,2)&amp;"° "))</f>
        <v> </v>
      </c>
      <c r="BI476" s="37" t="str">
        <f t="shared" ref="BI476:BI513" si="288">IF(G476&lt;0.01," ",("-TEXT "&amp;L476/2+1&amp;",290 3.5 0 "&amp;"T="&amp;FIXED(H476,2)&amp;" "))</f>
        <v> </v>
      </c>
      <c r="BJ476" s="37" t="str">
        <f t="shared" ref="BJ476:BJ513" si="289">IF(G476&lt;0.01," ",("-TEXT "&amp;L476/2+1&amp;",285 3.5 0 "&amp;"S="&amp;FIXED(I476,2)&amp;" "))</f>
        <v> </v>
      </c>
    </row>
    <row r="477" spans="1:62">
      <c r="A477">
        <v>1</v>
      </c>
      <c r="B477">
        <v>476</v>
      </c>
      <c r="C477" t="s">
        <v>455</v>
      </c>
      <c r="D477">
        <v>491651.166</v>
      </c>
      <c r="E477">
        <v>3359340.3486</v>
      </c>
      <c r="F477">
        <v>80</v>
      </c>
      <c r="G477">
        <f t="shared" ref="G476:G510" si="290">ROUND(IF((2*SQRT((D476-D477)^2+(E476-E477)^2)*SQRT((D478-D477)^2+(E478-E477)^2))=0,0,180-ACOS(((D476-D477)^2+(E476-E477)^2+(D478-D477)^2+(E478-E477)^2-(D478-D476)^2-(E478-E476)^2)/(2*SQRT((D476-D477)^2+(E476-E477)^2)*SQRT((D478-D477)^2+(E478-E477)^2)))/PI()*180),3)</f>
        <v>14.992</v>
      </c>
      <c r="H477">
        <f t="shared" si="267"/>
        <v>10.5265180033259</v>
      </c>
      <c r="I477">
        <f t="shared" si="268"/>
        <v>20.9327809167192</v>
      </c>
      <c r="J477">
        <f t="shared" si="256"/>
        <v>144.420037950425</v>
      </c>
      <c r="K477" s="40">
        <f t="shared" si="269"/>
        <v>78831.8006501758</v>
      </c>
      <c r="L477" s="40">
        <f t="shared" si="258"/>
        <v>78842.2670406341</v>
      </c>
      <c r="M477" s="40">
        <f t="shared" si="270"/>
        <v>78852.7334310925</v>
      </c>
      <c r="N477">
        <v>444.943</v>
      </c>
      <c r="O477">
        <v>441.054</v>
      </c>
      <c r="P477">
        <v>0.001</v>
      </c>
      <c r="Q477" s="39">
        <f t="shared" ref="Q476:Q511" si="291">IF(G477=0,D477,D476+(D477-D476)/J477*(J477-H477))</f>
        <v>491644.926193437</v>
      </c>
      <c r="R477" s="39">
        <f t="shared" ref="R476:R511" si="292">IF(G477=0,E477,E476+(E477-E476)/J477*(J477-H477))</f>
        <v>3359348.82635886</v>
      </c>
      <c r="S477" s="39">
        <f t="shared" si="271"/>
        <v>491650.562044637</v>
      </c>
      <c r="T477" s="39">
        <f t="shared" si="272"/>
        <v>3359340.01578017</v>
      </c>
      <c r="U477" s="39">
        <f t="shared" si="273"/>
        <v>491655.000307951</v>
      </c>
      <c r="V477" s="39">
        <f t="shared" si="274"/>
        <v>3359330.54525038</v>
      </c>
      <c r="AI477" t="str">
        <f t="array" ref="AI477">IFERROR(INDEX($L$2:$L$789,SMALL(IF(ISNUMBER(FIND($AH$2,$C$2:$C$789)),ROW($2:$789)-1,4^8),ROW(A476)))&amp;"","")</f>
        <v/>
      </c>
      <c r="AS477" t="str">
        <f>"-text"&amp;" "&amp;D477&amp;","&amp;E477&amp;" "&amp;"10"&amp;" "&amp;"0"&amp;" "&amp;C477</f>
        <v>-text 491651.166,3359340.3486 10 0 IP258</v>
      </c>
      <c r="AT477" t="str">
        <f t="shared" si="275"/>
        <v>491651.166,3359340.3486</v>
      </c>
      <c r="AV477">
        <f t="shared" si="276"/>
        <v>446.154</v>
      </c>
      <c r="AX477" t="str">
        <f t="shared" si="277"/>
        <v>pl 39421.1335203171,279 39421.1335203171,400 </v>
      </c>
      <c r="AY477" t="str">
        <f t="shared" si="278"/>
        <v>39421.1335203171,441.054</v>
      </c>
      <c r="AZ477" t="str">
        <f t="shared" si="279"/>
        <v>39421.1335203171,444.943</v>
      </c>
      <c r="BA477" t="str">
        <f t="shared" si="280"/>
        <v>39421.1335203171,446.154</v>
      </c>
      <c r="BB477" t="str">
        <f t="shared" si="281"/>
        <v>-text 39420.1335203171,337 3.5 90 441.054 </v>
      </c>
      <c r="BC477" t="str">
        <f t="shared" si="282"/>
        <v>-text 39420.1335203171,320 3.5 90 446.154 </v>
      </c>
      <c r="BD477" t="str">
        <f t="shared" si="283"/>
        <v>-text 39420.1335203171,306 3.5 90 444.943 </v>
      </c>
      <c r="BE477" t="str">
        <f t="shared" si="284"/>
        <v>-text 39420.1335203171,352 3.5 90 ZG78+842.267 </v>
      </c>
      <c r="BF477" t="str">
        <f t="shared" si="285"/>
        <v>-text 39420.1335203171,280 3.5 90 IP258 </v>
      </c>
      <c r="BG477" t="str">
        <f t="shared" si="286"/>
        <v>-TEXT 39422.1335203171,300 3.5 0 R=80</v>
      </c>
      <c r="BH477" t="str">
        <f t="shared" si="287"/>
        <v>-TEXT 39422.1335203171,295 3.5 0 α=14.99° </v>
      </c>
      <c r="BI477" t="str">
        <f t="shared" si="288"/>
        <v>-TEXT 39422.1335203171,290 3.5 0 T=10.53 </v>
      </c>
      <c r="BJ477" t="str">
        <f t="shared" si="289"/>
        <v>-TEXT 39422.1335203171,285 3.5 0 S=20.93 </v>
      </c>
    </row>
    <row r="478" spans="1:62">
      <c r="A478">
        <v>1</v>
      </c>
      <c r="B478">
        <v>477</v>
      </c>
      <c r="C478" t="str">
        <f>Sheet1!C436</f>
        <v>书房湾隧出</v>
      </c>
      <c r="D478">
        <v>491743.1213</v>
      </c>
      <c r="E478">
        <v>3359105.2423</v>
      </c>
      <c r="G478">
        <f t="shared" si="290"/>
        <v>0</v>
      </c>
      <c r="H478">
        <f t="shared" si="267"/>
        <v>0</v>
      </c>
      <c r="I478">
        <f t="shared" si="268"/>
        <v>0</v>
      </c>
      <c r="J478">
        <f t="shared" si="256"/>
        <v>252.449498905865</v>
      </c>
      <c r="K478" s="40">
        <f t="shared" si="269"/>
        <v>79094.656411995</v>
      </c>
      <c r="L478" s="40">
        <f t="shared" si="258"/>
        <v>79094.656411995</v>
      </c>
      <c r="M478" s="40">
        <f t="shared" si="270"/>
        <v>79094.656411995</v>
      </c>
      <c r="N478">
        <v>444.897</v>
      </c>
      <c r="O478">
        <v>441.008</v>
      </c>
      <c r="P478">
        <v>0</v>
      </c>
      <c r="Q478" s="39">
        <f t="shared" si="291"/>
        <v>491743.1213</v>
      </c>
      <c r="R478" s="39">
        <f t="shared" si="292"/>
        <v>3359105.2423</v>
      </c>
      <c r="S478" s="39" t="str">
        <f t="shared" si="271"/>
        <v> </v>
      </c>
      <c r="T478" s="39" t="str">
        <f t="shared" si="272"/>
        <v> </v>
      </c>
      <c r="U478" s="39" t="str">
        <f t="shared" si="273"/>
        <v> </v>
      </c>
      <c r="V478" s="39" t="str">
        <f t="shared" si="274"/>
        <v> </v>
      </c>
      <c r="AI478" t="str">
        <f t="array" ref="AI478">IFERROR(INDEX($L$2:$L$789,SMALL(IF(ISNUMBER(FIND($AH$2,$C$2:$C$789)),ROW($2:$789)-1,4^8),ROW(A477)))&amp;"","")</f>
        <v/>
      </c>
      <c r="AT478" t="str">
        <f t="shared" si="275"/>
        <v>491743.1213,3359105.2423</v>
      </c>
      <c r="AV478">
        <f t="shared" si="276"/>
        <v>446.108</v>
      </c>
      <c r="AX478" t="str">
        <f t="shared" si="277"/>
        <v>pl 39547.3282059975,279 39547.3282059975,400 </v>
      </c>
      <c r="AY478" t="str">
        <f t="shared" si="278"/>
        <v>39547.3282059975,441.008</v>
      </c>
      <c r="AZ478" t="str">
        <f t="shared" si="279"/>
        <v>39547.3282059975,444.897</v>
      </c>
      <c r="BA478" t="str">
        <f t="shared" si="280"/>
        <v>39547.3282059975,446.108</v>
      </c>
      <c r="BB478" t="str">
        <f t="shared" si="281"/>
        <v>-text 39546.3282059975,337 3.5 90 441.008 </v>
      </c>
      <c r="BC478" t="str">
        <f t="shared" si="282"/>
        <v>-text 39546.3282059975,320 3.5 90 446.108 </v>
      </c>
      <c r="BD478" t="str">
        <f t="shared" si="283"/>
        <v>-text 39546.3282059975,306 3.5 90 444.897 </v>
      </c>
      <c r="BE478" t="str">
        <f t="shared" si="284"/>
        <v>-text 39546.3282059975,352 3.5 90 ZG79+094.656 </v>
      </c>
      <c r="BF478" t="str">
        <f t="shared" si="285"/>
        <v>-text 39546.3282059975,280 3.5 90 书房湾隧出 </v>
      </c>
      <c r="BG478" t="str">
        <f t="shared" si="286"/>
        <v/>
      </c>
      <c r="BH478" t="str">
        <f t="shared" si="287"/>
        <v> </v>
      </c>
      <c r="BI478" t="str">
        <f t="shared" si="288"/>
        <v> </v>
      </c>
      <c r="BJ478" t="str">
        <f t="shared" si="289"/>
        <v> </v>
      </c>
    </row>
    <row r="479" spans="1:62">
      <c r="A479">
        <v>0</v>
      </c>
      <c r="B479">
        <v>478</v>
      </c>
      <c r="C479" t="s">
        <v>457</v>
      </c>
      <c r="D479">
        <v>491755.8429</v>
      </c>
      <c r="E479">
        <v>3359072.7164</v>
      </c>
      <c r="F479">
        <v>80</v>
      </c>
      <c r="G479">
        <f t="shared" si="290"/>
        <v>14.775</v>
      </c>
      <c r="H479">
        <f t="shared" si="267"/>
        <v>10.372438703197</v>
      </c>
      <c r="I479">
        <f t="shared" si="268"/>
        <v>20.629791758573</v>
      </c>
      <c r="J479">
        <f t="shared" si="256"/>
        <v>34.9252527175595</v>
      </c>
      <c r="K479" s="40">
        <f t="shared" si="269"/>
        <v>79119.2092260094</v>
      </c>
      <c r="L479" s="40">
        <f t="shared" si="258"/>
        <v>79129.5241218887</v>
      </c>
      <c r="M479" s="40">
        <f t="shared" si="270"/>
        <v>79139.839017768</v>
      </c>
      <c r="N479">
        <v>444.893</v>
      </c>
      <c r="O479">
        <v>440.978</v>
      </c>
      <c r="P479">
        <v>0.001</v>
      </c>
      <c r="Q479" s="39">
        <f t="shared" si="291"/>
        <v>491752.064716424</v>
      </c>
      <c r="R479" s="39">
        <f t="shared" si="292"/>
        <v>3359082.37625577</v>
      </c>
      <c r="S479" s="39">
        <f t="shared" si="271"/>
        <v>491756.429977709</v>
      </c>
      <c r="T479" s="39">
        <f t="shared" si="272"/>
        <v>3359073.03846932</v>
      </c>
      <c r="U479" s="39">
        <f t="shared" si="273"/>
        <v>491761.959648028</v>
      </c>
      <c r="V479" s="39">
        <f t="shared" si="274"/>
        <v>3359064.33947466</v>
      </c>
      <c r="AI479" t="str">
        <f t="array" ref="AI479">IFERROR(INDEX($L$2:$L$789,SMALL(IF(ISNUMBER(FIND($AH$2,$C$2:$C$789)),ROW($2:$789)-1,4^8),ROW(A478)))&amp;"","")</f>
        <v/>
      </c>
      <c r="AS479" t="str">
        <f>"-text"&amp;" "&amp;D479&amp;","&amp;E479&amp;" "&amp;"10"&amp;" "&amp;"0"&amp;" "&amp;C479</f>
        <v>-text 491755.8429,3359072.7164 10 0 IP259</v>
      </c>
      <c r="AT479" t="str">
        <f t="shared" si="275"/>
        <v>491755.8429,3359072.7164</v>
      </c>
      <c r="AV479">
        <f t="shared" si="276"/>
        <v>446.378</v>
      </c>
      <c r="AX479" t="str">
        <f t="shared" si="277"/>
        <v>pl 39564.7620609443,279 39564.7620609443,400 </v>
      </c>
      <c r="AY479" t="str">
        <f t="shared" si="278"/>
        <v>39564.7620609443,440.978</v>
      </c>
      <c r="AZ479" t="str">
        <f t="shared" si="279"/>
        <v>39564.7620609443,444.893</v>
      </c>
      <c r="BA479" t="str">
        <f t="shared" si="280"/>
        <v>39564.7620609443,446.378</v>
      </c>
      <c r="BB479" t="str">
        <f t="shared" si="281"/>
        <v>-text 39563.7620609443,337 3.5 90 440.978 </v>
      </c>
      <c r="BC479" t="str">
        <f t="shared" si="282"/>
        <v>-text 39563.7620609443,320 3.5 90 446.378 </v>
      </c>
      <c r="BD479" t="str">
        <f t="shared" si="283"/>
        <v>-text 39563.7620609443,306 3.5 90 444.893 </v>
      </c>
      <c r="BE479" t="str">
        <f t="shared" si="284"/>
        <v>-text 39563.7620609443,352 3.5 90 ZG79+129.524 </v>
      </c>
      <c r="BF479" t="str">
        <f t="shared" si="285"/>
        <v>-text 39563.7620609443,280 3.5 90 IP259 </v>
      </c>
      <c r="BG479" t="str">
        <f t="shared" si="286"/>
        <v>-TEXT 39565.7620609443,300 3.5 0 R=80</v>
      </c>
      <c r="BH479" t="str">
        <f t="shared" si="287"/>
        <v>-TEXT 39565.7620609443,295 3.5 0 α=14.78° </v>
      </c>
      <c r="BI479" t="str">
        <f t="shared" si="288"/>
        <v>-TEXT 39565.7620609443,290 3.5 0 T=10.37 </v>
      </c>
      <c r="BJ479" t="str">
        <f t="shared" si="289"/>
        <v>-TEXT 39565.7620609443,285 3.5 0 S=20.63 </v>
      </c>
    </row>
    <row r="480" spans="1:62">
      <c r="A480">
        <v>2</v>
      </c>
      <c r="B480">
        <v>479</v>
      </c>
      <c r="C480" t="str">
        <f>Sheet1!C438</f>
        <v>大龙沟渡槽进</v>
      </c>
      <c r="D480">
        <v>491770.3961</v>
      </c>
      <c r="E480">
        <v>3359052.7857</v>
      </c>
      <c r="G480">
        <f t="shared" si="290"/>
        <v>0</v>
      </c>
      <c r="H480">
        <f t="shared" si="267"/>
        <v>0</v>
      </c>
      <c r="I480">
        <f t="shared" si="268"/>
        <v>0</v>
      </c>
      <c r="J480">
        <f t="shared" si="256"/>
        <v>24.6785014279049</v>
      </c>
      <c r="K480" s="40">
        <f t="shared" si="269"/>
        <v>79154.1450804927</v>
      </c>
      <c r="L480" s="40">
        <f t="shared" si="258"/>
        <v>79154.1450804927</v>
      </c>
      <c r="M480" s="40">
        <f t="shared" si="270"/>
        <v>79154.1450804927</v>
      </c>
      <c r="N480">
        <v>444.845</v>
      </c>
      <c r="O480">
        <v>441.298</v>
      </c>
      <c r="P480">
        <v>0</v>
      </c>
      <c r="Q480" s="39">
        <f t="shared" si="291"/>
        <v>491770.3961</v>
      </c>
      <c r="R480" s="39">
        <f t="shared" si="292"/>
        <v>3359052.7857</v>
      </c>
      <c r="S480" s="39" t="str">
        <f t="shared" si="271"/>
        <v> </v>
      </c>
      <c r="T480" s="39" t="str">
        <f t="shared" si="272"/>
        <v> </v>
      </c>
      <c r="U480" s="39" t="str">
        <f t="shared" si="273"/>
        <v> </v>
      </c>
      <c r="V480" s="39" t="str">
        <f t="shared" si="274"/>
        <v> </v>
      </c>
      <c r="AI480" t="str">
        <f t="array" ref="AI480">IFERROR(INDEX($L$2:$L$789,SMALL(IF(ISNUMBER(FIND($AH$2,$C$2:$C$789)),ROW($2:$789)-1,4^8),ROW(A479)))&amp;"","")</f>
        <v/>
      </c>
      <c r="AT480" t="str">
        <f t="shared" si="275"/>
        <v>491770.3961,3359052.7857</v>
      </c>
      <c r="AV480">
        <f t="shared" si="276"/>
        <v>445.548</v>
      </c>
      <c r="AX480" t="str">
        <f t="shared" si="277"/>
        <v>pl 39577.0725402463,279 39577.0725402463,400 </v>
      </c>
      <c r="AY480" t="str">
        <f t="shared" si="278"/>
        <v>39577.0725402463,441.298</v>
      </c>
      <c r="AZ480" t="str">
        <f t="shared" si="279"/>
        <v>39577.0725402463,444.845</v>
      </c>
      <c r="BA480" t="str">
        <f t="shared" si="280"/>
        <v>39577.0725402463,445.548</v>
      </c>
      <c r="BB480" t="str">
        <f t="shared" si="281"/>
        <v>-text 39576.0725402463,337 3.5 90 441.298 </v>
      </c>
      <c r="BC480" t="str">
        <f t="shared" si="282"/>
        <v>-text 39576.0725402463,320 3.5 90 445.548 </v>
      </c>
      <c r="BD480" t="str">
        <f t="shared" si="283"/>
        <v>-text 39576.0725402463,306 3.5 90 444.845 </v>
      </c>
      <c r="BE480" t="str">
        <f t="shared" si="284"/>
        <v>-text 39576.0725402463,352 3.5 90 ZG79+154.145 </v>
      </c>
      <c r="BF480" t="str">
        <f t="shared" si="285"/>
        <v>-text 39576.0725402463,280 3.5 90 大龙沟渡槽进 </v>
      </c>
      <c r="BG480" t="str">
        <f t="shared" si="286"/>
        <v/>
      </c>
      <c r="BH480" t="str">
        <f t="shared" si="287"/>
        <v> </v>
      </c>
      <c r="BI480" t="str">
        <f t="shared" si="288"/>
        <v> </v>
      </c>
      <c r="BJ480" t="str">
        <f t="shared" si="289"/>
        <v> </v>
      </c>
    </row>
    <row r="481" spans="1:62">
      <c r="A481">
        <v>2</v>
      </c>
      <c r="B481">
        <v>480</v>
      </c>
      <c r="C481" t="str">
        <f>Sheet1!C439</f>
        <v>大龙沟渡槽出</v>
      </c>
      <c r="D481">
        <v>491917.2937</v>
      </c>
      <c r="E481">
        <v>3358851.6081</v>
      </c>
      <c r="G481">
        <f t="shared" si="290"/>
        <v>0</v>
      </c>
      <c r="H481">
        <f t="shared" si="267"/>
        <v>0</v>
      </c>
      <c r="I481">
        <f t="shared" si="268"/>
        <v>0</v>
      </c>
      <c r="J481">
        <f t="shared" si="256"/>
        <v>249.101047022151</v>
      </c>
      <c r="K481" s="40">
        <f t="shared" si="269"/>
        <v>79403.2461275148</v>
      </c>
      <c r="L481" s="40">
        <f t="shared" si="258"/>
        <v>79403.2461275148</v>
      </c>
      <c r="M481" s="40">
        <f t="shared" si="270"/>
        <v>79403.2461275148</v>
      </c>
      <c r="N481">
        <v>444.774</v>
      </c>
      <c r="O481">
        <v>441.227</v>
      </c>
      <c r="P481">
        <v>0</v>
      </c>
      <c r="Q481" s="39">
        <f t="shared" si="291"/>
        <v>491917.2937</v>
      </c>
      <c r="R481" s="39">
        <f t="shared" si="292"/>
        <v>3358851.6081</v>
      </c>
      <c r="S481" s="39" t="str">
        <f t="shared" si="271"/>
        <v> </v>
      </c>
      <c r="T481" s="39" t="str">
        <f t="shared" si="272"/>
        <v> </v>
      </c>
      <c r="U481" s="39" t="str">
        <f t="shared" si="273"/>
        <v> </v>
      </c>
      <c r="V481" s="39" t="str">
        <f t="shared" si="274"/>
        <v> </v>
      </c>
      <c r="AI481" t="str">
        <f t="array" ref="AI481">IFERROR(INDEX($L$2:$L$789,SMALL(IF(ISNUMBER(FIND($AH$2,$C$2:$C$789)),ROW($2:$789)-1,4^8),ROW(A480)))&amp;"","")</f>
        <v/>
      </c>
      <c r="AT481" t="str">
        <f t="shared" si="275"/>
        <v>491917.2937,3358851.6081</v>
      </c>
      <c r="AV481">
        <f t="shared" si="276"/>
        <v>445.477</v>
      </c>
      <c r="AX481" t="str">
        <f t="shared" si="277"/>
        <v>pl 39701.6230637574,279 39701.6230637574,400 </v>
      </c>
      <c r="AY481" t="str">
        <f t="shared" si="278"/>
        <v>39701.6230637574,441.227</v>
      </c>
      <c r="AZ481" t="str">
        <f t="shared" si="279"/>
        <v>39701.6230637574,444.774</v>
      </c>
      <c r="BA481" t="str">
        <f t="shared" si="280"/>
        <v>39701.6230637574,445.477</v>
      </c>
      <c r="BB481" t="str">
        <f t="shared" si="281"/>
        <v>-text 39700.6230637574,337 3.5 90 441.227 </v>
      </c>
      <c r="BC481" t="str">
        <f t="shared" si="282"/>
        <v>-text 39700.6230637574,320 3.5 90 445.477 </v>
      </c>
      <c r="BD481" t="str">
        <f t="shared" si="283"/>
        <v>-text 39700.6230637574,306 3.5 90 444.774 </v>
      </c>
      <c r="BE481" t="str">
        <f t="shared" si="284"/>
        <v>-text 39700.6230637574,352 3.5 90 ZG79+403.246 </v>
      </c>
      <c r="BF481" t="str">
        <f t="shared" si="285"/>
        <v>-text 39700.6230637574,280 3.5 90 大龙沟渡槽出 </v>
      </c>
      <c r="BG481" t="str">
        <f t="shared" si="286"/>
        <v/>
      </c>
      <c r="BH481" t="str">
        <f t="shared" si="287"/>
        <v> </v>
      </c>
      <c r="BI481" t="str">
        <f t="shared" si="288"/>
        <v> </v>
      </c>
      <c r="BJ481" t="str">
        <f t="shared" si="289"/>
        <v> </v>
      </c>
    </row>
    <row r="482" spans="1:62">
      <c r="A482">
        <v>0</v>
      </c>
      <c r="B482">
        <v>481</v>
      </c>
      <c r="C482" t="s">
        <v>460</v>
      </c>
      <c r="D482">
        <v>491932.6879</v>
      </c>
      <c r="E482">
        <v>3358830.5257</v>
      </c>
      <c r="F482">
        <v>80</v>
      </c>
      <c r="G482">
        <f t="shared" si="290"/>
        <v>25.863</v>
      </c>
      <c r="H482">
        <f t="shared" si="267"/>
        <v>18.3687411584908</v>
      </c>
      <c r="I482">
        <f t="shared" si="268"/>
        <v>36.1115603554635</v>
      </c>
      <c r="J482">
        <f t="shared" si="256"/>
        <v>26.1045778243876</v>
      </c>
      <c r="K482" s="40">
        <f t="shared" si="269"/>
        <v>79410.9819641807</v>
      </c>
      <c r="L482" s="40">
        <f t="shared" si="258"/>
        <v>79429.0377443584</v>
      </c>
      <c r="M482" s="40">
        <f t="shared" si="270"/>
        <v>79447.0935245362</v>
      </c>
      <c r="N482">
        <v>444.792</v>
      </c>
      <c r="O482">
        <v>440.877</v>
      </c>
      <c r="P482">
        <v>0.001</v>
      </c>
      <c r="Q482" s="39">
        <f t="shared" si="291"/>
        <v>491921.85562081</v>
      </c>
      <c r="R482" s="39">
        <f t="shared" si="292"/>
        <v>3358845.36053668</v>
      </c>
      <c r="S482" s="39">
        <f t="shared" si="271"/>
        <v>491934.051755878</v>
      </c>
      <c r="T482" s="39">
        <f t="shared" si="272"/>
        <v>3358832.09839904</v>
      </c>
      <c r="U482" s="39">
        <f t="shared" si="273"/>
        <v>491948.90642332</v>
      </c>
      <c r="V482" s="39">
        <f t="shared" si="274"/>
        <v>3358821.90188686</v>
      </c>
      <c r="AI482" t="str">
        <f t="array" ref="AI482">IFERROR(INDEX($L$2:$L$789,SMALL(IF(ISNUMBER(FIND($AH$2,$C$2:$C$789)),ROW($2:$789)-1,4^8),ROW(A481)))&amp;"","")</f>
        <v/>
      </c>
      <c r="AS482" t="str">
        <f>"-text"&amp;" "&amp;D482&amp;","&amp;E482&amp;" "&amp;"10"&amp;" "&amp;"0"&amp;" "&amp;C482</f>
        <v>-text 491932.6879,3358830.5257 10 0 IP260</v>
      </c>
      <c r="AT482" t="str">
        <f t="shared" si="275"/>
        <v>491932.6879,3358830.5257</v>
      </c>
      <c r="AV482">
        <f t="shared" si="276"/>
        <v>446.277</v>
      </c>
      <c r="AX482" t="str">
        <f t="shared" si="277"/>
        <v>pl 39714.5188721792,279 39714.5188721792,400 </v>
      </c>
      <c r="AY482" t="str">
        <f t="shared" si="278"/>
        <v>39714.5188721792,440.877</v>
      </c>
      <c r="AZ482" t="str">
        <f t="shared" si="279"/>
        <v>39714.5188721792,444.792</v>
      </c>
      <c r="BA482" t="str">
        <f t="shared" si="280"/>
        <v>39714.5188721792,446.277</v>
      </c>
      <c r="BB482" t="str">
        <f t="shared" si="281"/>
        <v>-text 39713.5188721792,337 3.5 90 440.877 </v>
      </c>
      <c r="BC482" t="str">
        <f t="shared" si="282"/>
        <v>-text 39713.5188721792,320 3.5 90 446.277 </v>
      </c>
      <c r="BD482" t="str">
        <f t="shared" si="283"/>
        <v>-text 39713.5188721792,306 3.5 90 444.792 </v>
      </c>
      <c r="BE482" t="str">
        <f t="shared" si="284"/>
        <v>-text 39713.5188721792,352 3.5 90 ZG79+429.038 </v>
      </c>
      <c r="BF482" t="str">
        <f t="shared" si="285"/>
        <v>-text 39713.5188721792,280 3.5 90 IP260 </v>
      </c>
      <c r="BG482" t="str">
        <f t="shared" si="286"/>
        <v>-TEXT 39715.5188721792,300 3.5 0 R=80</v>
      </c>
      <c r="BH482" t="str">
        <f t="shared" si="287"/>
        <v>-TEXT 39715.5188721792,295 3.5 0 α=25.86° </v>
      </c>
      <c r="BI482" t="str">
        <f t="shared" si="288"/>
        <v>-TEXT 39715.5188721792,290 3.5 0 T=18.37 </v>
      </c>
      <c r="BJ482" t="str">
        <f t="shared" si="289"/>
        <v>-TEXT 39715.5188721792,285 3.5 0 S=36.11 </v>
      </c>
    </row>
    <row r="483" spans="1:62">
      <c r="A483">
        <v>1</v>
      </c>
      <c r="B483">
        <v>482</v>
      </c>
      <c r="C483" t="str">
        <f>Sheet1!C441</f>
        <v>苏家湾隧进</v>
      </c>
      <c r="D483">
        <v>491970.8709</v>
      </c>
      <c r="E483">
        <v>3358810.2228</v>
      </c>
      <c r="G483">
        <f t="shared" si="290"/>
        <v>0</v>
      </c>
      <c r="H483">
        <f t="shared" si="267"/>
        <v>0</v>
      </c>
      <c r="I483">
        <f t="shared" si="268"/>
        <v>0</v>
      </c>
      <c r="J483">
        <f t="shared" si="256"/>
        <v>43.2452221338659</v>
      </c>
      <c r="K483" s="40">
        <f t="shared" si="269"/>
        <v>79471.9700055115</v>
      </c>
      <c r="L483" s="40">
        <f t="shared" si="258"/>
        <v>79471.9700055115</v>
      </c>
      <c r="M483" s="40">
        <f t="shared" si="270"/>
        <v>79471.9700055115</v>
      </c>
      <c r="N483">
        <v>444.781</v>
      </c>
      <c r="O483">
        <v>440.892</v>
      </c>
      <c r="P483">
        <v>0</v>
      </c>
      <c r="Q483" s="39">
        <f t="shared" si="291"/>
        <v>491970.8709</v>
      </c>
      <c r="R483" s="39">
        <f t="shared" si="292"/>
        <v>3358810.2228</v>
      </c>
      <c r="S483" s="39" t="str">
        <f t="shared" si="271"/>
        <v> </v>
      </c>
      <c r="T483" s="39" t="str">
        <f t="shared" si="272"/>
        <v> </v>
      </c>
      <c r="U483" s="39" t="str">
        <f t="shared" si="273"/>
        <v> </v>
      </c>
      <c r="V483" s="39" t="str">
        <f t="shared" si="274"/>
        <v> </v>
      </c>
      <c r="AI483" t="str">
        <f t="array" ref="AI483">IFERROR(INDEX($L$2:$L$789,SMALL(IF(ISNUMBER(FIND($AH$2,$C$2:$C$789)),ROW($2:$789)-1,4^8),ROW(A482)))&amp;"","")</f>
        <v/>
      </c>
      <c r="AT483" t="str">
        <f t="shared" si="275"/>
        <v>491970.8709,3358810.2228</v>
      </c>
      <c r="AV483">
        <f t="shared" si="276"/>
        <v>445.992</v>
      </c>
      <c r="AX483" t="str">
        <f t="shared" si="277"/>
        <v>pl 39735.9850027558,279 39735.9850027558,400 </v>
      </c>
      <c r="AY483" t="str">
        <f t="shared" si="278"/>
        <v>39735.9850027558,440.892</v>
      </c>
      <c r="AZ483" t="str">
        <f t="shared" si="279"/>
        <v>39735.9850027558,444.781</v>
      </c>
      <c r="BA483" t="str">
        <f t="shared" si="280"/>
        <v>39735.9850027558,445.992</v>
      </c>
      <c r="BB483" t="str">
        <f t="shared" si="281"/>
        <v>-text 39734.9850027558,337 3.5 90 440.892 </v>
      </c>
      <c r="BC483" t="str">
        <f t="shared" si="282"/>
        <v>-text 39734.9850027558,320 3.5 90 445.992 </v>
      </c>
      <c r="BD483" t="str">
        <f t="shared" si="283"/>
        <v>-text 39734.9850027558,306 3.5 90 444.781 </v>
      </c>
      <c r="BE483" t="str">
        <f t="shared" si="284"/>
        <v>-text 39734.9850027558,352 3.5 90 ZG79+471.970 </v>
      </c>
      <c r="BF483" t="str">
        <f t="shared" si="285"/>
        <v>-text 39734.9850027558,280 3.5 90 苏家湾隧进 </v>
      </c>
      <c r="BG483" t="str">
        <f t="shared" si="286"/>
        <v/>
      </c>
      <c r="BH483" t="str">
        <f t="shared" si="287"/>
        <v> </v>
      </c>
      <c r="BI483" t="str">
        <f t="shared" si="288"/>
        <v> </v>
      </c>
      <c r="BJ483" t="str">
        <f t="shared" si="289"/>
        <v> </v>
      </c>
    </row>
    <row r="484" spans="1:62">
      <c r="A484">
        <v>1</v>
      </c>
      <c r="B484">
        <v>483</v>
      </c>
      <c r="C484" t="s">
        <v>462</v>
      </c>
      <c r="D484">
        <v>492492.2607</v>
      </c>
      <c r="E484">
        <v>3358532.9862</v>
      </c>
      <c r="F484">
        <v>80</v>
      </c>
      <c r="G484">
        <f t="shared" si="290"/>
        <v>45.895</v>
      </c>
      <c r="H484">
        <f t="shared" si="267"/>
        <v>33.8715072782354</v>
      </c>
      <c r="I484">
        <f t="shared" si="268"/>
        <v>64.0815088162238</v>
      </c>
      <c r="J484">
        <f t="shared" si="256"/>
        <v>590.514568764882</v>
      </c>
      <c r="K484" s="40">
        <f t="shared" si="269"/>
        <v>80028.6130669982</v>
      </c>
      <c r="L484" s="40">
        <f t="shared" si="258"/>
        <v>80060.6538214063</v>
      </c>
      <c r="M484" s="40">
        <f t="shared" si="270"/>
        <v>80092.6945758144</v>
      </c>
      <c r="N484">
        <v>444.672</v>
      </c>
      <c r="O484">
        <v>440.783</v>
      </c>
      <c r="P484">
        <v>0.002</v>
      </c>
      <c r="Q484" s="39">
        <f t="shared" si="291"/>
        <v>492462.354141653</v>
      </c>
      <c r="R484" s="39">
        <f t="shared" si="292"/>
        <v>3358548.88829965</v>
      </c>
      <c r="S484" s="39">
        <f t="shared" si="271"/>
        <v>492486.921637226</v>
      </c>
      <c r="T484" s="39">
        <f t="shared" si="272"/>
        <v>3358528.6547396</v>
      </c>
      <c r="U484" s="39">
        <f t="shared" si="273"/>
        <v>492501.656047486</v>
      </c>
      <c r="V484" s="39">
        <f t="shared" si="274"/>
        <v>3358500.44382069</v>
      </c>
      <c r="AI484" t="str">
        <f t="array" ref="AI484">IFERROR(INDEX($L$2:$L$789,SMALL(IF(ISNUMBER(FIND($AH$2,$C$2:$C$789)),ROW($2:$789)-1,4^8),ROW(A483)))&amp;"","")</f>
        <v/>
      </c>
      <c r="AS484" t="str">
        <f>"-text"&amp;" "&amp;D484&amp;","&amp;E484&amp;" "&amp;"10"&amp;" "&amp;"0"&amp;" "&amp;C484</f>
        <v>-text 492492.2607,3358532.9862 10 0 IP261</v>
      </c>
      <c r="AT484" t="str">
        <f t="shared" si="275"/>
        <v>492492.2607,3358532.9862</v>
      </c>
      <c r="AV484">
        <f t="shared" si="276"/>
        <v>445.883</v>
      </c>
      <c r="AX484" t="str">
        <f t="shared" si="277"/>
        <v>pl 40030.3269107031,279 40030.3269107031,400 </v>
      </c>
      <c r="AY484" t="str">
        <f t="shared" si="278"/>
        <v>40030.3269107031,440.783</v>
      </c>
      <c r="AZ484" t="str">
        <f t="shared" si="279"/>
        <v>40030.3269107031,444.672</v>
      </c>
      <c r="BA484" t="str">
        <f t="shared" si="280"/>
        <v>40030.3269107031,445.883</v>
      </c>
      <c r="BB484" t="str">
        <f t="shared" si="281"/>
        <v>-text 40029.3269107031,337 3.5 90 440.783 </v>
      </c>
      <c r="BC484" t="str">
        <f t="shared" si="282"/>
        <v>-text 40029.3269107031,320 3.5 90 445.883 </v>
      </c>
      <c r="BD484" t="str">
        <f t="shared" si="283"/>
        <v>-text 40029.3269107031,306 3.5 90 444.672 </v>
      </c>
      <c r="BE484" t="str">
        <f t="shared" si="284"/>
        <v>-text 40029.3269107031,352 3.5 90 ZG80+060.654 </v>
      </c>
      <c r="BF484" t="str">
        <f t="shared" si="285"/>
        <v>-text 40029.3269107031,280 3.5 90 IP261 </v>
      </c>
      <c r="BG484" t="str">
        <f t="shared" si="286"/>
        <v>-TEXT 40031.3269107031,300 3.5 0 R=80</v>
      </c>
      <c r="BH484" t="str">
        <f t="shared" si="287"/>
        <v>-TEXT 40031.3269107031,295 3.5 0 α=45.90° </v>
      </c>
      <c r="BI484" t="str">
        <f t="shared" si="288"/>
        <v>-TEXT 40031.3269107031,290 3.5 0 T=33.87 </v>
      </c>
      <c r="BJ484" t="str">
        <f t="shared" si="289"/>
        <v>-TEXT 40031.3269107031,285 3.5 0 S=64.08 </v>
      </c>
    </row>
    <row r="485" spans="1:62">
      <c r="A485">
        <v>1</v>
      </c>
      <c r="B485">
        <v>484</v>
      </c>
      <c r="C485" t="s">
        <v>463</v>
      </c>
      <c r="D485">
        <v>492669.1304</v>
      </c>
      <c r="E485">
        <v>3357920.368</v>
      </c>
      <c r="F485">
        <v>80</v>
      </c>
      <c r="G485">
        <f t="shared" si="290"/>
        <v>29.619</v>
      </c>
      <c r="H485">
        <f t="shared" si="267"/>
        <v>21.1511028298473</v>
      </c>
      <c r="I485">
        <f t="shared" si="268"/>
        <v>41.355925691856</v>
      </c>
      <c r="J485">
        <f t="shared" si="256"/>
        <v>637.639357121095</v>
      </c>
      <c r="K485" s="40">
        <f t="shared" si="269"/>
        <v>80675.3113228274</v>
      </c>
      <c r="L485" s="40">
        <f t="shared" si="258"/>
        <v>80695.9892856733</v>
      </c>
      <c r="M485" s="40">
        <f t="shared" si="270"/>
        <v>80716.6672485193</v>
      </c>
      <c r="N485">
        <v>444.555</v>
      </c>
      <c r="O485">
        <v>440.666</v>
      </c>
      <c r="P485">
        <v>0.001</v>
      </c>
      <c r="Q485" s="39">
        <f t="shared" si="291"/>
        <v>492663.263464137</v>
      </c>
      <c r="R485" s="39">
        <f t="shared" si="292"/>
        <v>3357940.68912729</v>
      </c>
      <c r="S485" s="39">
        <f t="shared" si="271"/>
        <v>492671.488714252</v>
      </c>
      <c r="T485" s="39">
        <f t="shared" si="272"/>
        <v>3357921.78016555</v>
      </c>
      <c r="U485" s="39">
        <f t="shared" si="273"/>
        <v>492684.273911286</v>
      </c>
      <c r="V485" s="39">
        <f t="shared" si="274"/>
        <v>3357905.60171351</v>
      </c>
      <c r="AI485" t="str">
        <f t="array" ref="AI485">IFERROR(INDEX($L$2:$L$789,SMALL(IF(ISNUMBER(FIND($AH$2,$C$2:$C$789)),ROW($2:$789)-1,4^8),ROW(A484)))&amp;"","")</f>
        <v/>
      </c>
      <c r="AS485" t="str">
        <f>"-text"&amp;" "&amp;D485&amp;","&amp;E485&amp;" "&amp;"10"&amp;" "&amp;"0"&amp;" "&amp;C485</f>
        <v>-text 492669.1304,3357920.368 10 0 IP262</v>
      </c>
      <c r="AT485" t="str">
        <f t="shared" si="275"/>
        <v>492669.1304,3357920.368</v>
      </c>
      <c r="AV485">
        <f t="shared" si="276"/>
        <v>445.766</v>
      </c>
      <c r="AX485" t="str">
        <f t="shared" si="277"/>
        <v>pl 40347.9946428367,279 40347.9946428367,400 </v>
      </c>
      <c r="AY485" t="str">
        <f t="shared" si="278"/>
        <v>40347.9946428367,440.666</v>
      </c>
      <c r="AZ485" t="str">
        <f t="shared" si="279"/>
        <v>40347.9946428367,444.555</v>
      </c>
      <c r="BA485" t="str">
        <f t="shared" si="280"/>
        <v>40347.9946428367,445.766</v>
      </c>
      <c r="BB485" t="str">
        <f t="shared" si="281"/>
        <v>-text 40346.9946428367,337 3.5 90 440.666 </v>
      </c>
      <c r="BC485" t="str">
        <f t="shared" si="282"/>
        <v>-text 40346.9946428367,320 3.5 90 445.766 </v>
      </c>
      <c r="BD485" t="str">
        <f t="shared" si="283"/>
        <v>-text 40346.9946428367,306 3.5 90 444.555 </v>
      </c>
      <c r="BE485" t="str">
        <f t="shared" si="284"/>
        <v>-text 40346.9946428367,352 3.5 90 ZG80+695.989 </v>
      </c>
      <c r="BF485" t="str">
        <f t="shared" si="285"/>
        <v>-text 40346.9946428367,280 3.5 90 IP262 </v>
      </c>
      <c r="BG485" t="str">
        <f t="shared" si="286"/>
        <v>-TEXT 40348.9946428367,300 3.5 0 R=80</v>
      </c>
      <c r="BH485" t="str">
        <f t="shared" si="287"/>
        <v>-TEXT 40348.9946428367,295 3.5 0 α=29.62° </v>
      </c>
      <c r="BI485" t="str">
        <f t="shared" si="288"/>
        <v>-TEXT 40348.9946428367,290 3.5 0 T=21.15 </v>
      </c>
      <c r="BJ485" t="str">
        <f t="shared" si="289"/>
        <v>-TEXT 40348.9946428367,285 3.5 0 S=41.36 </v>
      </c>
    </row>
    <row r="486" spans="1:62">
      <c r="A486">
        <v>1</v>
      </c>
      <c r="B486">
        <v>485</v>
      </c>
      <c r="C486" t="str">
        <f>Sheet1!C444</f>
        <v>苏家湾隧出</v>
      </c>
      <c r="D486">
        <v>492777.2356</v>
      </c>
      <c r="E486">
        <v>3357814.9557</v>
      </c>
      <c r="G486">
        <f t="shared" si="290"/>
        <v>0</v>
      </c>
      <c r="H486">
        <f t="shared" si="267"/>
        <v>0</v>
      </c>
      <c r="I486">
        <f t="shared" si="268"/>
        <v>0</v>
      </c>
      <c r="J486">
        <f t="shared" si="256"/>
        <v>150.991679434071</v>
      </c>
      <c r="K486" s="40">
        <f t="shared" si="269"/>
        <v>80846.5078251235</v>
      </c>
      <c r="L486" s="40">
        <f t="shared" si="258"/>
        <v>80846.5078251235</v>
      </c>
      <c r="M486" s="40">
        <f t="shared" si="270"/>
        <v>80846.5078251235</v>
      </c>
      <c r="N486">
        <v>444.527</v>
      </c>
      <c r="O486">
        <v>440.638</v>
      </c>
      <c r="P486">
        <v>0</v>
      </c>
      <c r="Q486" s="39">
        <f t="shared" si="291"/>
        <v>492777.2356</v>
      </c>
      <c r="R486" s="39">
        <f t="shared" si="292"/>
        <v>3357814.9557</v>
      </c>
      <c r="S486" s="39" t="str">
        <f t="shared" si="271"/>
        <v> </v>
      </c>
      <c r="T486" s="39" t="str">
        <f t="shared" si="272"/>
        <v> </v>
      </c>
      <c r="U486" s="39" t="str">
        <f t="shared" si="273"/>
        <v> </v>
      </c>
      <c r="V486" s="39" t="str">
        <f t="shared" si="274"/>
        <v> </v>
      </c>
      <c r="AI486" t="str">
        <f t="array" ref="AI486">IFERROR(INDEX($L$2:$L$789,SMALL(IF(ISNUMBER(FIND($AH$2,$C$2:$C$789)),ROW($2:$789)-1,4^8),ROW(A485)))&amp;"","")</f>
        <v/>
      </c>
      <c r="AT486" t="str">
        <f t="shared" si="275"/>
        <v>492777.2356,3357814.9557</v>
      </c>
      <c r="AV486">
        <f t="shared" si="276"/>
        <v>445.738</v>
      </c>
      <c r="AX486" t="str">
        <f t="shared" si="277"/>
        <v>pl 40423.2539125618,279 40423.2539125618,400 </v>
      </c>
      <c r="AY486" t="str">
        <f t="shared" si="278"/>
        <v>40423.2539125618,440.638</v>
      </c>
      <c r="AZ486" t="str">
        <f t="shared" si="279"/>
        <v>40423.2539125618,444.527</v>
      </c>
      <c r="BA486" t="str">
        <f t="shared" si="280"/>
        <v>40423.2539125618,445.738</v>
      </c>
      <c r="BB486" t="str">
        <f t="shared" si="281"/>
        <v>-text 40422.2539125618,337 3.5 90 440.638 </v>
      </c>
      <c r="BC486" t="str">
        <f t="shared" si="282"/>
        <v>-text 40422.2539125618,320 3.5 90 445.738 </v>
      </c>
      <c r="BD486" t="str">
        <f t="shared" si="283"/>
        <v>-text 40422.2539125618,306 3.5 90 444.527 </v>
      </c>
      <c r="BE486" t="str">
        <f t="shared" si="284"/>
        <v>-text 40422.2539125618,352 3.5 90 ZG80+846.508 </v>
      </c>
      <c r="BF486" t="str">
        <f t="shared" si="285"/>
        <v>-text 40422.2539125618,280 3.5 90 苏家湾隧出 </v>
      </c>
      <c r="BG486" t="str">
        <f t="shared" si="286"/>
        <v/>
      </c>
      <c r="BH486" t="str">
        <f t="shared" si="287"/>
        <v> </v>
      </c>
      <c r="BI486" t="str">
        <f t="shared" si="288"/>
        <v> </v>
      </c>
      <c r="BJ486" t="str">
        <f t="shared" si="289"/>
        <v> </v>
      </c>
    </row>
    <row r="487" spans="1:62">
      <c r="A487">
        <v>2</v>
      </c>
      <c r="B487">
        <v>486</v>
      </c>
      <c r="C487" t="str">
        <f>Sheet1!C445</f>
        <v>袁家沟渡槽进</v>
      </c>
      <c r="D487">
        <v>492813.9858</v>
      </c>
      <c r="E487">
        <v>3357779.121</v>
      </c>
      <c r="G487">
        <f t="shared" si="290"/>
        <v>0</v>
      </c>
      <c r="H487">
        <f t="shared" si="267"/>
        <v>0</v>
      </c>
      <c r="I487">
        <f t="shared" si="268"/>
        <v>0</v>
      </c>
      <c r="J487">
        <f t="shared" si="256"/>
        <v>51.3293573321465</v>
      </c>
      <c r="K487" s="40">
        <f t="shared" si="269"/>
        <v>80897.8371824557</v>
      </c>
      <c r="L487" s="40">
        <f t="shared" si="258"/>
        <v>80897.8371824557</v>
      </c>
      <c r="M487" s="40">
        <f t="shared" si="270"/>
        <v>80897.8371824557</v>
      </c>
      <c r="N487">
        <v>444.477</v>
      </c>
      <c r="O487">
        <v>440.93</v>
      </c>
      <c r="P487">
        <v>0</v>
      </c>
      <c r="Q487" s="39">
        <f t="shared" si="291"/>
        <v>492813.9858</v>
      </c>
      <c r="R487" s="39">
        <f t="shared" si="292"/>
        <v>3357779.121</v>
      </c>
      <c r="S487" s="39" t="str">
        <f t="shared" si="271"/>
        <v> </v>
      </c>
      <c r="T487" s="39" t="str">
        <f t="shared" si="272"/>
        <v> </v>
      </c>
      <c r="U487" s="39" t="str">
        <f t="shared" si="273"/>
        <v> </v>
      </c>
      <c r="V487" s="39" t="str">
        <f t="shared" si="274"/>
        <v> </v>
      </c>
      <c r="AI487" t="str">
        <f t="array" ref="AI487">IFERROR(INDEX($L$2:$L$789,SMALL(IF(ISNUMBER(FIND($AH$2,$C$2:$C$789)),ROW($2:$789)-1,4^8),ROW(A486)))&amp;"","")</f>
        <v/>
      </c>
      <c r="AT487" t="str">
        <f t="shared" si="275"/>
        <v>492813.9858,3357779.121</v>
      </c>
      <c r="AV487">
        <f t="shared" si="276"/>
        <v>445.18</v>
      </c>
      <c r="AX487" t="str">
        <f t="shared" si="277"/>
        <v>pl 40448.9185912278,279 40448.9185912278,400 </v>
      </c>
      <c r="AY487" t="str">
        <f t="shared" si="278"/>
        <v>40448.9185912278,440.93</v>
      </c>
      <c r="AZ487" t="str">
        <f t="shared" si="279"/>
        <v>40448.9185912278,444.477</v>
      </c>
      <c r="BA487" t="str">
        <f t="shared" si="280"/>
        <v>40448.9185912278,445.18</v>
      </c>
      <c r="BB487" t="str">
        <f t="shared" si="281"/>
        <v>-text 40447.9185912278,337 3.5 90 440.930 </v>
      </c>
      <c r="BC487" t="str">
        <f t="shared" si="282"/>
        <v>-text 40447.9185912278,320 3.5 90 445.180 </v>
      </c>
      <c r="BD487" t="str">
        <f t="shared" si="283"/>
        <v>-text 40447.9185912278,306 3.5 90 444.477 </v>
      </c>
      <c r="BE487" t="str">
        <f t="shared" si="284"/>
        <v>-text 40447.9185912278,352 3.5 90 ZG80+897.837 </v>
      </c>
      <c r="BF487" t="str">
        <f t="shared" si="285"/>
        <v>-text 40447.9185912278,280 3.5 90 袁家沟渡槽进 </v>
      </c>
      <c r="BG487" t="str">
        <f t="shared" si="286"/>
        <v/>
      </c>
      <c r="BH487" t="str">
        <f t="shared" si="287"/>
        <v> </v>
      </c>
      <c r="BI487" t="str">
        <f t="shared" si="288"/>
        <v> </v>
      </c>
      <c r="BJ487" t="str">
        <f t="shared" si="289"/>
        <v> </v>
      </c>
    </row>
    <row r="488" spans="1:62">
      <c r="A488">
        <v>2</v>
      </c>
      <c r="B488">
        <v>487</v>
      </c>
      <c r="C488" t="str">
        <f>Sheet1!C446</f>
        <v>袁家沟渡槽出</v>
      </c>
      <c r="D488">
        <v>492906.8425</v>
      </c>
      <c r="E488">
        <v>3357688.5774</v>
      </c>
      <c r="G488">
        <f t="shared" si="290"/>
        <v>0</v>
      </c>
      <c r="H488">
        <f t="shared" si="267"/>
        <v>0</v>
      </c>
      <c r="I488">
        <f t="shared" si="268"/>
        <v>0</v>
      </c>
      <c r="J488">
        <f t="shared" si="256"/>
        <v>129.69390978703</v>
      </c>
      <c r="K488" s="40">
        <f t="shared" si="269"/>
        <v>81027.5310922427</v>
      </c>
      <c r="L488" s="40">
        <f t="shared" si="258"/>
        <v>81027.5310922427</v>
      </c>
      <c r="M488" s="40">
        <f t="shared" si="270"/>
        <v>81027.5310922427</v>
      </c>
      <c r="N488">
        <v>444.44</v>
      </c>
      <c r="O488">
        <v>440.893</v>
      </c>
      <c r="P488">
        <v>0</v>
      </c>
      <c r="Q488" s="39">
        <f t="shared" si="291"/>
        <v>492906.8425</v>
      </c>
      <c r="R488" s="39">
        <f t="shared" si="292"/>
        <v>3357688.5774</v>
      </c>
      <c r="S488" s="39" t="str">
        <f t="shared" si="271"/>
        <v> </v>
      </c>
      <c r="T488" s="39" t="str">
        <f t="shared" si="272"/>
        <v> </v>
      </c>
      <c r="U488" s="39" t="str">
        <f t="shared" si="273"/>
        <v> </v>
      </c>
      <c r="V488" s="39" t="str">
        <f t="shared" si="274"/>
        <v> </v>
      </c>
      <c r="AI488" t="str">
        <f t="array" ref="AI488">IFERROR(INDEX($L$2:$L$789,SMALL(IF(ISNUMBER(FIND($AH$2,$C$2:$C$789)),ROW($2:$789)-1,4^8),ROW(A487)))&amp;"","")</f>
        <v/>
      </c>
      <c r="AT488" t="str">
        <f t="shared" si="275"/>
        <v>492906.8425,3357688.5774</v>
      </c>
      <c r="AV488">
        <f t="shared" si="276"/>
        <v>445.143</v>
      </c>
      <c r="AX488" t="str">
        <f t="shared" si="277"/>
        <v>pl 40513.7655461213,279 40513.7655461213,400 </v>
      </c>
      <c r="AY488" t="str">
        <f t="shared" si="278"/>
        <v>40513.7655461213,440.893</v>
      </c>
      <c r="AZ488" t="str">
        <f t="shared" si="279"/>
        <v>40513.7655461213,444.44</v>
      </c>
      <c r="BA488" t="str">
        <f t="shared" si="280"/>
        <v>40513.7655461213,445.143</v>
      </c>
      <c r="BB488" t="str">
        <f t="shared" si="281"/>
        <v>-text 40512.7655461213,337 3.5 90 440.893 </v>
      </c>
      <c r="BC488" t="str">
        <f t="shared" si="282"/>
        <v>-text 40512.7655461213,320 3.5 90 445.143 </v>
      </c>
      <c r="BD488" t="str">
        <f t="shared" si="283"/>
        <v>-text 40512.7655461213,306 3.5 90 444.440 </v>
      </c>
      <c r="BE488" t="str">
        <f t="shared" si="284"/>
        <v>-text 40512.7655461213,352 3.5 90 ZG81+027.531 </v>
      </c>
      <c r="BF488" t="str">
        <f t="shared" si="285"/>
        <v>-text 40512.7655461213,280 3.5 90 袁家沟渡槽出 </v>
      </c>
      <c r="BG488" t="str">
        <f t="shared" si="286"/>
        <v/>
      </c>
      <c r="BH488" t="str">
        <f t="shared" si="287"/>
        <v> </v>
      </c>
      <c r="BI488" t="str">
        <f t="shared" si="288"/>
        <v> </v>
      </c>
      <c r="BJ488" t="str">
        <f t="shared" si="289"/>
        <v> </v>
      </c>
    </row>
    <row r="489" spans="1:62">
      <c r="A489">
        <v>1</v>
      </c>
      <c r="B489">
        <v>488</v>
      </c>
      <c r="C489" t="str">
        <f>Sheet1!C447</f>
        <v>坐牛堂隧进</v>
      </c>
      <c r="D489">
        <v>492924.0723</v>
      </c>
      <c r="E489">
        <v>3357671.7768</v>
      </c>
      <c r="G489">
        <f t="shared" si="290"/>
        <v>0</v>
      </c>
      <c r="H489">
        <f t="shared" si="267"/>
        <v>0</v>
      </c>
      <c r="I489">
        <f t="shared" si="268"/>
        <v>0</v>
      </c>
      <c r="J489">
        <f t="shared" si="256"/>
        <v>24.0650403778971</v>
      </c>
      <c r="K489" s="40">
        <f t="shared" si="269"/>
        <v>81051.5961326206</v>
      </c>
      <c r="L489" s="40">
        <f t="shared" si="258"/>
        <v>81051.5961326206</v>
      </c>
      <c r="M489" s="40">
        <f t="shared" si="270"/>
        <v>81051.5961326206</v>
      </c>
      <c r="N489">
        <v>444.457</v>
      </c>
      <c r="O489">
        <v>440.568</v>
      </c>
      <c r="P489">
        <v>0</v>
      </c>
      <c r="Q489" s="39">
        <f t="shared" si="291"/>
        <v>492924.0723</v>
      </c>
      <c r="R489" s="39">
        <f t="shared" si="292"/>
        <v>3357671.7768</v>
      </c>
      <c r="S489" s="39" t="str">
        <f t="shared" si="271"/>
        <v> </v>
      </c>
      <c r="T489" s="39" t="str">
        <f t="shared" si="272"/>
        <v> </v>
      </c>
      <c r="U489" s="39" t="str">
        <f t="shared" si="273"/>
        <v> </v>
      </c>
      <c r="V489" s="39" t="str">
        <f t="shared" si="274"/>
        <v> </v>
      </c>
      <c r="AI489" t="str">
        <f t="array" ref="AI489">IFERROR(INDEX($L$2:$L$789,SMALL(IF(ISNUMBER(FIND($AH$2,$C$2:$C$789)),ROW($2:$789)-1,4^8),ROW(A488)))&amp;"","")</f>
        <v/>
      </c>
      <c r="AT489" t="str">
        <f t="shared" si="275"/>
        <v>492924.0723,3357671.7768</v>
      </c>
      <c r="AV489">
        <f t="shared" si="276"/>
        <v>445.668</v>
      </c>
      <c r="AX489" t="str">
        <f t="shared" si="277"/>
        <v>pl 40525.7980663103,279 40525.7980663103,400 </v>
      </c>
      <c r="AY489" t="str">
        <f t="shared" si="278"/>
        <v>40525.7980663103,440.568</v>
      </c>
      <c r="AZ489" t="str">
        <f t="shared" si="279"/>
        <v>40525.7980663103,444.457</v>
      </c>
      <c r="BA489" t="str">
        <f t="shared" si="280"/>
        <v>40525.7980663103,445.668</v>
      </c>
      <c r="BB489" t="str">
        <f t="shared" si="281"/>
        <v>-text 40524.7980663103,337 3.5 90 440.568 </v>
      </c>
      <c r="BC489" t="str">
        <f t="shared" si="282"/>
        <v>-text 40524.7980663103,320 3.5 90 445.668 </v>
      </c>
      <c r="BD489" t="str">
        <f t="shared" si="283"/>
        <v>-text 40524.7980663103,306 3.5 90 444.457 </v>
      </c>
      <c r="BE489" t="str">
        <f t="shared" si="284"/>
        <v>-text 40524.7980663103,352 3.5 90 ZG81+051.596 </v>
      </c>
      <c r="BF489" t="str">
        <f t="shared" si="285"/>
        <v>-text 40524.7980663103,280 3.5 90 坐牛堂隧进 </v>
      </c>
      <c r="BG489" t="str">
        <f t="shared" si="286"/>
        <v/>
      </c>
      <c r="BH489" t="str">
        <f t="shared" si="287"/>
        <v> </v>
      </c>
      <c r="BI489" t="str">
        <f t="shared" si="288"/>
        <v> </v>
      </c>
      <c r="BJ489" t="str">
        <f t="shared" si="289"/>
        <v> </v>
      </c>
    </row>
    <row r="490" spans="1:62">
      <c r="A490">
        <v>1</v>
      </c>
      <c r="B490">
        <v>489</v>
      </c>
      <c r="C490" t="s">
        <v>468</v>
      </c>
      <c r="D490">
        <v>493002.0744</v>
      </c>
      <c r="E490">
        <v>3357595.7178</v>
      </c>
      <c r="F490">
        <v>80</v>
      </c>
      <c r="G490">
        <f t="shared" si="290"/>
        <v>16.126</v>
      </c>
      <c r="H490">
        <f t="shared" si="267"/>
        <v>11.332982723281</v>
      </c>
      <c r="I490">
        <f t="shared" si="268"/>
        <v>22.5161436141284</v>
      </c>
      <c r="J490">
        <f t="shared" si="256"/>
        <v>108.946312858173</v>
      </c>
      <c r="K490" s="40">
        <f t="shared" si="269"/>
        <v>81149.2094627555</v>
      </c>
      <c r="L490" s="40">
        <f t="shared" si="258"/>
        <v>81160.4675345625</v>
      </c>
      <c r="M490" s="40">
        <f t="shared" si="270"/>
        <v>81171.7256063696</v>
      </c>
      <c r="N490">
        <v>444.436</v>
      </c>
      <c r="O490">
        <v>440.547</v>
      </c>
      <c r="P490">
        <v>0.001</v>
      </c>
      <c r="Q490" s="39">
        <f t="shared" si="291"/>
        <v>492993.960344292</v>
      </c>
      <c r="R490" s="39">
        <f t="shared" si="292"/>
        <v>3357603.62972754</v>
      </c>
      <c r="S490" s="39">
        <f t="shared" si="271"/>
        <v>493001.442084069</v>
      </c>
      <c r="T490" s="39">
        <f t="shared" si="272"/>
        <v>3357595.22980022</v>
      </c>
      <c r="U490" s="39">
        <f t="shared" si="273"/>
        <v>493007.671693576</v>
      </c>
      <c r="V490" s="39">
        <f t="shared" si="274"/>
        <v>3357585.86352164</v>
      </c>
      <c r="AI490" t="str">
        <f t="array" ref="AI490">IFERROR(INDEX($L$2:$L$789,SMALL(IF(ISNUMBER(FIND($AH$2,$C$2:$C$789)),ROW($2:$789)-1,4^8),ROW(A489)))&amp;"","")</f>
        <v/>
      </c>
      <c r="AS490" t="str">
        <f>"-text"&amp;" "&amp;D490&amp;","&amp;E490&amp;" "&amp;"10"&amp;" "&amp;"0"&amp;" "&amp;C490</f>
        <v>-text 493002.0744,3357595.7178 10 0 IP263</v>
      </c>
      <c r="AT490" t="str">
        <f t="shared" si="275"/>
        <v>493002.0744,3357595.7178</v>
      </c>
      <c r="AV490">
        <f t="shared" si="276"/>
        <v>445.647</v>
      </c>
      <c r="AX490" t="str">
        <f t="shared" si="277"/>
        <v>pl 40580.2337672813,279 40580.2337672813,400 </v>
      </c>
      <c r="AY490" t="str">
        <f t="shared" si="278"/>
        <v>40580.2337672813,440.547</v>
      </c>
      <c r="AZ490" t="str">
        <f t="shared" si="279"/>
        <v>40580.2337672813,444.436</v>
      </c>
      <c r="BA490" t="str">
        <f t="shared" si="280"/>
        <v>40580.2337672813,445.647</v>
      </c>
      <c r="BB490" t="str">
        <f t="shared" si="281"/>
        <v>-text 40579.2337672813,337 3.5 90 440.547 </v>
      </c>
      <c r="BC490" t="str">
        <f t="shared" si="282"/>
        <v>-text 40579.2337672813,320 3.5 90 445.647 </v>
      </c>
      <c r="BD490" t="str">
        <f t="shared" si="283"/>
        <v>-text 40579.2337672813,306 3.5 90 444.436 </v>
      </c>
      <c r="BE490" t="str">
        <f t="shared" si="284"/>
        <v>-text 40579.2337672813,352 3.5 90 ZG81+160.468 </v>
      </c>
      <c r="BF490" t="str">
        <f t="shared" si="285"/>
        <v>-text 40579.2337672813,280 3.5 90 IP263 </v>
      </c>
      <c r="BG490" t="str">
        <f t="shared" si="286"/>
        <v>-TEXT 40581.2337672813,300 3.5 0 R=80</v>
      </c>
      <c r="BH490" t="str">
        <f t="shared" si="287"/>
        <v>-TEXT 40581.2337672813,295 3.5 0 α=16.13° </v>
      </c>
      <c r="BI490" t="str">
        <f t="shared" si="288"/>
        <v>-TEXT 40581.2337672813,290 3.5 0 T=11.33 </v>
      </c>
      <c r="BJ490" t="str">
        <f t="shared" si="289"/>
        <v>-TEXT 40581.2337672813,285 3.5 0 S=22.52 </v>
      </c>
    </row>
    <row r="491" spans="1:62">
      <c r="A491">
        <v>1</v>
      </c>
      <c r="B491">
        <v>490</v>
      </c>
      <c r="C491" t="s">
        <v>469</v>
      </c>
      <c r="D491">
        <v>493321.6885</v>
      </c>
      <c r="E491">
        <v>3357033.0233</v>
      </c>
      <c r="F491">
        <v>80</v>
      </c>
      <c r="G491">
        <f t="shared" si="290"/>
        <v>34.905</v>
      </c>
      <c r="H491">
        <f t="shared" si="267"/>
        <v>25.1510062952478</v>
      </c>
      <c r="I491">
        <f t="shared" si="268"/>
        <v>48.7365740326897</v>
      </c>
      <c r="J491">
        <f t="shared" si="256"/>
        <v>647.130800726798</v>
      </c>
      <c r="K491" s="40">
        <f t="shared" si="269"/>
        <v>81782.3724180779</v>
      </c>
      <c r="L491" s="40">
        <f t="shared" si="258"/>
        <v>81806.7407050942</v>
      </c>
      <c r="M491" s="40">
        <f t="shared" si="270"/>
        <v>81831.1089921106</v>
      </c>
      <c r="N491">
        <v>444.318</v>
      </c>
      <c r="O491">
        <v>440.429</v>
      </c>
      <c r="P491">
        <v>0.002</v>
      </c>
      <c r="Q491" s="39">
        <f t="shared" si="291"/>
        <v>493309.266565776</v>
      </c>
      <c r="R491" s="39">
        <f t="shared" si="292"/>
        <v>3357054.89265454</v>
      </c>
      <c r="S491" s="39">
        <f t="shared" si="271"/>
        <v>493324.318883816</v>
      </c>
      <c r="T491" s="39">
        <f t="shared" si="272"/>
        <v>3357035.84892147</v>
      </c>
      <c r="U491" s="39">
        <f t="shared" si="273"/>
        <v>493344.389794878</v>
      </c>
      <c r="V491" s="39">
        <f t="shared" si="274"/>
        <v>3357022.19628155</v>
      </c>
      <c r="AI491" t="str">
        <f t="array" ref="AI491">IFERROR(INDEX($L$2:$L$789,SMALL(IF(ISNUMBER(FIND($AH$2,$C$2:$C$789)),ROW($2:$789)-1,4^8),ROW(A490)))&amp;"","")</f>
        <v/>
      </c>
      <c r="AS491" t="str">
        <f>"-text"&amp;" "&amp;D491&amp;","&amp;E491&amp;" "&amp;"10"&amp;" "&amp;"0"&amp;" "&amp;C491</f>
        <v>-text 493321.6885,3357033.0233 10 0 IP264</v>
      </c>
      <c r="AT491" t="str">
        <f t="shared" si="275"/>
        <v>493321.6885,3357033.0233</v>
      </c>
      <c r="AV491">
        <f t="shared" si="276"/>
        <v>445.529</v>
      </c>
      <c r="AX491" t="str">
        <f t="shared" si="277"/>
        <v>pl 40903.3703525471,279 40903.3703525471,400 </v>
      </c>
      <c r="AY491" t="str">
        <f t="shared" si="278"/>
        <v>40903.3703525471,440.429</v>
      </c>
      <c r="AZ491" t="str">
        <f t="shared" si="279"/>
        <v>40903.3703525471,444.318</v>
      </c>
      <c r="BA491" t="str">
        <f t="shared" si="280"/>
        <v>40903.3703525471,445.529</v>
      </c>
      <c r="BB491" t="str">
        <f t="shared" si="281"/>
        <v>-text 40902.3703525471,337 3.5 90 440.429 </v>
      </c>
      <c r="BC491" t="str">
        <f t="shared" si="282"/>
        <v>-text 40902.3703525471,320 3.5 90 445.529 </v>
      </c>
      <c r="BD491" t="str">
        <f t="shared" si="283"/>
        <v>-text 40902.3703525471,306 3.5 90 444.318 </v>
      </c>
      <c r="BE491" t="str">
        <f t="shared" si="284"/>
        <v>-text 40902.3703525471,352 3.5 90 ZG81+806.741 </v>
      </c>
      <c r="BF491" t="str">
        <f t="shared" si="285"/>
        <v>-text 40902.3703525471,280 3.5 90 IP264 </v>
      </c>
      <c r="BG491" t="str">
        <f t="shared" si="286"/>
        <v>-TEXT 40904.3703525471,300 3.5 0 R=80</v>
      </c>
      <c r="BH491" t="str">
        <f t="shared" si="287"/>
        <v>-TEXT 40904.3703525471,295 3.5 0 α=34.91° </v>
      </c>
      <c r="BI491" t="str">
        <f t="shared" si="288"/>
        <v>-TEXT 40904.3703525471,290 3.5 0 T=25.15 </v>
      </c>
      <c r="BJ491" t="str">
        <f t="shared" si="289"/>
        <v>-TEXT 40904.3703525471,285 3.5 0 S=48.74 </v>
      </c>
    </row>
    <row r="492" spans="1:62">
      <c r="A492">
        <v>1</v>
      </c>
      <c r="B492">
        <v>491</v>
      </c>
      <c r="C492" t="str">
        <f>Sheet1!C450</f>
        <v>坐牛堂隧出</v>
      </c>
      <c r="D492">
        <v>493413.579</v>
      </c>
      <c r="E492">
        <v>3356989.1976</v>
      </c>
      <c r="G492">
        <f t="shared" si="290"/>
        <v>0</v>
      </c>
      <c r="H492">
        <f t="shared" si="267"/>
        <v>0</v>
      </c>
      <c r="I492">
        <f t="shared" si="268"/>
        <v>0</v>
      </c>
      <c r="J492">
        <f t="shared" si="256"/>
        <v>101.806463305336</v>
      </c>
      <c r="K492" s="40">
        <f t="shared" si="269"/>
        <v>81907.7644491207</v>
      </c>
      <c r="L492" s="40">
        <f t="shared" si="258"/>
        <v>81907.7644491207</v>
      </c>
      <c r="M492" s="40">
        <f t="shared" si="270"/>
        <v>81907.7644491207</v>
      </c>
      <c r="N492">
        <v>444.299</v>
      </c>
      <c r="O492">
        <v>440.41</v>
      </c>
      <c r="P492">
        <v>0</v>
      </c>
      <c r="Q492" s="39">
        <f t="shared" si="291"/>
        <v>493413.579</v>
      </c>
      <c r="R492" s="39">
        <f t="shared" si="292"/>
        <v>3356989.1976</v>
      </c>
      <c r="S492" s="39" t="str">
        <f t="shared" si="271"/>
        <v> </v>
      </c>
      <c r="T492" s="39" t="str">
        <f t="shared" si="272"/>
        <v> </v>
      </c>
      <c r="U492" s="39" t="str">
        <f t="shared" si="273"/>
        <v> </v>
      </c>
      <c r="V492" s="39" t="str">
        <f t="shared" si="274"/>
        <v> </v>
      </c>
      <c r="AI492" t="str">
        <f t="array" ref="AI492">IFERROR(INDEX($L$2:$L$789,SMALL(IF(ISNUMBER(FIND($AH$2,$C$2:$C$789)),ROW($2:$789)-1,4^8),ROW(A491)))&amp;"","")</f>
        <v/>
      </c>
      <c r="AT492" t="str">
        <f t="shared" si="275"/>
        <v>493413.579,3356989.1976</v>
      </c>
      <c r="AV492">
        <f t="shared" si="276"/>
        <v>445.51</v>
      </c>
      <c r="AX492" t="str">
        <f t="shared" si="277"/>
        <v>pl 40953.8822245603,279 40953.8822245603,400 </v>
      </c>
      <c r="AY492" t="str">
        <f t="shared" si="278"/>
        <v>40953.8822245603,440.41</v>
      </c>
      <c r="AZ492" t="str">
        <f t="shared" si="279"/>
        <v>40953.8822245603,444.299</v>
      </c>
      <c r="BA492" t="str">
        <f t="shared" si="280"/>
        <v>40953.8822245603,445.51</v>
      </c>
      <c r="BB492" t="str">
        <f t="shared" si="281"/>
        <v>-text 40952.8822245603,337 3.5 90 440.410 </v>
      </c>
      <c r="BC492" t="str">
        <f t="shared" si="282"/>
        <v>-text 40952.8822245603,320 3.5 90 445.510 </v>
      </c>
      <c r="BD492" t="str">
        <f t="shared" si="283"/>
        <v>-text 40952.8822245603,306 3.5 90 444.299 </v>
      </c>
      <c r="BE492" t="str">
        <f t="shared" si="284"/>
        <v>-text 40952.8822245603,352 3.5 90 ZG81+907.764 </v>
      </c>
      <c r="BF492" t="str">
        <f t="shared" si="285"/>
        <v>-text 40952.8822245603,280 3.5 90 坐牛堂隧出 </v>
      </c>
      <c r="BG492" t="str">
        <f t="shared" si="286"/>
        <v/>
      </c>
      <c r="BH492" t="str">
        <f t="shared" si="287"/>
        <v> </v>
      </c>
      <c r="BI492" t="str">
        <f t="shared" si="288"/>
        <v> </v>
      </c>
      <c r="BJ492" t="str">
        <f t="shared" si="289"/>
        <v> </v>
      </c>
    </row>
    <row r="493" spans="1:62">
      <c r="A493">
        <v>0</v>
      </c>
      <c r="B493">
        <v>492</v>
      </c>
      <c r="C493" s="42" t="str">
        <f>Sheet1!C451</f>
        <v>邓家湾泄水闸进</v>
      </c>
      <c r="D493" s="42">
        <v>493427.4476</v>
      </c>
      <c r="E493" s="42">
        <v>3356982.5832</v>
      </c>
      <c r="G493">
        <f t="shared" si="290"/>
        <v>0</v>
      </c>
      <c r="H493">
        <f t="shared" si="267"/>
        <v>0</v>
      </c>
      <c r="I493">
        <f t="shared" si="268"/>
        <v>0</v>
      </c>
      <c r="J493">
        <f t="shared" si="256"/>
        <v>15.3651668821917</v>
      </c>
      <c r="K493" s="40">
        <f t="shared" si="269"/>
        <v>81923.1296160029</v>
      </c>
      <c r="L493" s="40">
        <f t="shared" si="258"/>
        <v>81923.1296160029</v>
      </c>
      <c r="M493" s="40">
        <f t="shared" si="270"/>
        <v>81923.1296160029</v>
      </c>
      <c r="N493">
        <v>444.3</v>
      </c>
      <c r="O493">
        <v>440.385</v>
      </c>
      <c r="P493">
        <v>0</v>
      </c>
      <c r="Q493" s="39">
        <f t="shared" si="291"/>
        <v>493427.4476</v>
      </c>
      <c r="R493" s="39">
        <f t="shared" si="292"/>
        <v>3356982.5832</v>
      </c>
      <c r="S493" s="39" t="str">
        <f t="shared" si="271"/>
        <v> </v>
      </c>
      <c r="T493" s="39" t="str">
        <f t="shared" si="272"/>
        <v> </v>
      </c>
      <c r="U493" s="39" t="str">
        <f t="shared" si="273"/>
        <v> </v>
      </c>
      <c r="V493" s="39" t="str">
        <f t="shared" si="274"/>
        <v> </v>
      </c>
      <c r="AI493" t="str">
        <f t="array" ref="AI493">IFERROR(INDEX($L$2:$L$789,SMALL(IF(ISNUMBER(FIND($AH$2,$C$2:$C$789)),ROW($2:$789)-1,4^8),ROW(A492)))&amp;"","")</f>
        <v/>
      </c>
      <c r="AT493" t="str">
        <f t="shared" si="275"/>
        <v>493427.4476,3356982.5832</v>
      </c>
      <c r="AV493">
        <f t="shared" si="276"/>
        <v>445.785</v>
      </c>
      <c r="AX493" t="str">
        <f t="shared" si="277"/>
        <v>pl 40961.5648080014,279 40961.5648080014,400 </v>
      </c>
      <c r="AY493" t="str">
        <f t="shared" si="278"/>
        <v>40961.5648080014,440.385</v>
      </c>
      <c r="AZ493" t="str">
        <f t="shared" si="279"/>
        <v>40961.5648080014,444.3</v>
      </c>
      <c r="BA493" t="str">
        <f t="shared" si="280"/>
        <v>40961.5648080014,445.785</v>
      </c>
      <c r="BB493" t="str">
        <f t="shared" si="281"/>
        <v>-text 40960.5648080014,337 3.5 90 440.385 </v>
      </c>
      <c r="BC493" t="str">
        <f t="shared" si="282"/>
        <v>-text 40960.5648080014,320 3.5 90 445.785 </v>
      </c>
      <c r="BD493" t="str">
        <f t="shared" si="283"/>
        <v>-text 40960.5648080014,306 3.5 90 444.300 </v>
      </c>
      <c r="BE493" t="str">
        <f t="shared" si="284"/>
        <v>-text 40960.5648080014,352 3.5 90 ZG81+923.130 </v>
      </c>
      <c r="BF493" t="str">
        <f t="shared" si="285"/>
        <v>-text 40960.5648080014,280 3.5 90 邓家湾泄水闸进 </v>
      </c>
      <c r="BG493" t="str">
        <f t="shared" si="286"/>
        <v/>
      </c>
      <c r="BH493" t="str">
        <f t="shared" si="287"/>
        <v> </v>
      </c>
      <c r="BI493" t="str">
        <f t="shared" si="288"/>
        <v> </v>
      </c>
      <c r="BJ493" t="str">
        <f t="shared" si="289"/>
        <v> </v>
      </c>
    </row>
    <row r="494" spans="1:62">
      <c r="A494">
        <v>0</v>
      </c>
      <c r="B494">
        <v>493</v>
      </c>
      <c r="C494" s="42" t="str">
        <f>Sheet1!C452</f>
        <v>邓家湾泄水闸出</v>
      </c>
      <c r="D494" s="42">
        <v>493427.4476</v>
      </c>
      <c r="E494" s="42">
        <v>3356982.5832</v>
      </c>
      <c r="G494">
        <f t="shared" si="290"/>
        <v>0</v>
      </c>
      <c r="H494">
        <f t="shared" si="267"/>
        <v>0</v>
      </c>
      <c r="I494">
        <f t="shared" si="268"/>
        <v>0</v>
      </c>
      <c r="J494">
        <f t="shared" ref="J494:J511" si="293">SQRT((D494-D493)^2+(E494-E493)^2)</f>
        <v>0</v>
      </c>
      <c r="K494" s="40">
        <f t="shared" ref="K494:K511" si="294">L494-I494/2</f>
        <v>81923.1296160029</v>
      </c>
      <c r="L494" s="40">
        <f t="shared" ref="L494:L511" si="295">L493+J494-H494+I494/2+I493/2-H493</f>
        <v>81923.1296160029</v>
      </c>
      <c r="M494" s="40">
        <f t="shared" ref="M494:M511" si="296">K494+I494</f>
        <v>81923.1296160029</v>
      </c>
      <c r="N494">
        <v>444.27</v>
      </c>
      <c r="O494">
        <v>440.355</v>
      </c>
      <c r="P494">
        <v>0</v>
      </c>
      <c r="Q494" s="39">
        <f t="shared" si="291"/>
        <v>493427.4476</v>
      </c>
      <c r="R494" s="39">
        <f t="shared" si="292"/>
        <v>3356982.5832</v>
      </c>
      <c r="S494" s="39" t="str">
        <f t="shared" si="271"/>
        <v> </v>
      </c>
      <c r="T494" s="39" t="str">
        <f t="shared" si="272"/>
        <v> </v>
      </c>
      <c r="U494" s="39" t="str">
        <f t="shared" si="273"/>
        <v> </v>
      </c>
      <c r="V494" s="39" t="str">
        <f t="shared" si="274"/>
        <v> </v>
      </c>
      <c r="AI494" t="str">
        <f t="array" ref="AI494">IFERROR(INDEX($L$2:$L$789,SMALL(IF(ISNUMBER(FIND($AH$2,$C$2:$C$789)),ROW($2:$789)-1,4^8),ROW(A493)))&amp;"","")</f>
        <v/>
      </c>
      <c r="AT494" t="str">
        <f t="shared" si="275"/>
        <v>493427.4476,3356982.5832</v>
      </c>
      <c r="AV494">
        <f t="shared" si="276"/>
        <v>445.755</v>
      </c>
      <c r="AX494" t="str">
        <f t="shared" si="277"/>
        <v>pl 40961.5648080014,279 40961.5648080014,400 </v>
      </c>
      <c r="AY494" t="str">
        <f t="shared" si="278"/>
        <v>40961.5648080014,440.355</v>
      </c>
      <c r="AZ494" t="str">
        <f t="shared" si="279"/>
        <v>40961.5648080014,444.27</v>
      </c>
      <c r="BA494" t="str">
        <f t="shared" si="280"/>
        <v>40961.5648080014,445.755</v>
      </c>
      <c r="BB494" t="str">
        <f t="shared" si="281"/>
        <v>-text 40960.5648080014,337 3.5 90 440.355 </v>
      </c>
      <c r="BC494" t="str">
        <f t="shared" si="282"/>
        <v>-text 40960.5648080014,320 3.5 90 445.755 </v>
      </c>
      <c r="BD494" t="str">
        <f t="shared" si="283"/>
        <v>-text 40960.5648080014,306 3.5 90 444.270 </v>
      </c>
      <c r="BE494" t="str">
        <f t="shared" si="284"/>
        <v>-text 40960.5648080014,352 3.5 90 ZG81+923.130 </v>
      </c>
      <c r="BF494" t="str">
        <f t="shared" si="285"/>
        <v>-text 40960.5648080014,280 3.5 90 邓家湾泄水闸出 </v>
      </c>
      <c r="BG494" t="str">
        <f t="shared" si="286"/>
        <v/>
      </c>
      <c r="BH494" t="str">
        <f t="shared" si="287"/>
        <v> </v>
      </c>
      <c r="BI494" t="str">
        <f t="shared" si="288"/>
        <v> </v>
      </c>
      <c r="BJ494" t="str">
        <f t="shared" si="289"/>
        <v> </v>
      </c>
    </row>
    <row r="495" spans="1:62">
      <c r="A495">
        <v>2</v>
      </c>
      <c r="B495">
        <v>494</v>
      </c>
      <c r="C495" t="str">
        <f>Sheet1!C453</f>
        <v>邓家湾渡槽进</v>
      </c>
      <c r="D495">
        <v>493479.0034</v>
      </c>
      <c r="E495">
        <v>3356957.9945</v>
      </c>
      <c r="G495">
        <f t="shared" si="290"/>
        <v>0</v>
      </c>
      <c r="H495">
        <f t="shared" si="267"/>
        <v>0</v>
      </c>
      <c r="I495">
        <f t="shared" si="268"/>
        <v>0</v>
      </c>
      <c r="J495">
        <f t="shared" si="293"/>
        <v>57.1192146421576</v>
      </c>
      <c r="K495" s="40">
        <f t="shared" si="294"/>
        <v>81980.248830645</v>
      </c>
      <c r="L495" s="40">
        <f t="shared" si="295"/>
        <v>81980.248830645</v>
      </c>
      <c r="M495" s="40">
        <f t="shared" si="296"/>
        <v>81980.248830645</v>
      </c>
      <c r="N495">
        <v>444.217</v>
      </c>
      <c r="O495">
        <v>440.67</v>
      </c>
      <c r="P495">
        <v>0</v>
      </c>
      <c r="Q495" s="39">
        <f t="shared" si="291"/>
        <v>493479.0034</v>
      </c>
      <c r="R495" s="39">
        <f t="shared" si="292"/>
        <v>3356957.9945</v>
      </c>
      <c r="S495" s="39" t="str">
        <f t="shared" si="271"/>
        <v> </v>
      </c>
      <c r="T495" s="39" t="str">
        <f t="shared" si="272"/>
        <v> </v>
      </c>
      <c r="U495" s="39" t="str">
        <f t="shared" si="273"/>
        <v> </v>
      </c>
      <c r="V495" s="39" t="str">
        <f t="shared" si="274"/>
        <v> </v>
      </c>
      <c r="AI495" t="str">
        <f t="array" ref="AI495">IFERROR(INDEX($L$2:$L$789,SMALL(IF(ISNUMBER(FIND($AH$2,$C$2:$C$789)),ROW($2:$789)-1,4^8),ROW(A494)))&amp;"","")</f>
        <v/>
      </c>
      <c r="AT495" t="str">
        <f t="shared" si="275"/>
        <v>493479.0034,3356957.9945</v>
      </c>
      <c r="AV495">
        <f t="shared" si="276"/>
        <v>444.92</v>
      </c>
      <c r="AX495" t="str">
        <f t="shared" si="277"/>
        <v>pl 40990.1244153225,279 40990.1244153225,400 </v>
      </c>
      <c r="AY495" t="str">
        <f t="shared" si="278"/>
        <v>40990.1244153225,440.67</v>
      </c>
      <c r="AZ495" t="str">
        <f t="shared" si="279"/>
        <v>40990.1244153225,444.217</v>
      </c>
      <c r="BA495" t="str">
        <f t="shared" si="280"/>
        <v>40990.1244153225,444.92</v>
      </c>
      <c r="BB495" t="str">
        <f t="shared" si="281"/>
        <v>-text 40989.1244153225,337 3.5 90 440.670 </v>
      </c>
      <c r="BC495" t="str">
        <f t="shared" si="282"/>
        <v>-text 40989.1244153225,320 3.5 90 444.920 </v>
      </c>
      <c r="BD495" t="str">
        <f t="shared" si="283"/>
        <v>-text 40989.1244153225,306 3.5 90 444.217 </v>
      </c>
      <c r="BE495" t="str">
        <f t="shared" si="284"/>
        <v>-text 40989.1244153225,352 3.5 90 ZG81+980.249 </v>
      </c>
      <c r="BF495" t="str">
        <f t="shared" si="285"/>
        <v>-text 40989.1244153225,280 3.5 90 邓家湾渡槽进 </v>
      </c>
      <c r="BG495" t="str">
        <f t="shared" si="286"/>
        <v/>
      </c>
      <c r="BH495" t="str">
        <f t="shared" si="287"/>
        <v> </v>
      </c>
      <c r="BI495" t="str">
        <f t="shared" si="288"/>
        <v> </v>
      </c>
      <c r="BJ495" t="str">
        <f t="shared" si="289"/>
        <v> </v>
      </c>
    </row>
    <row r="496" spans="1:62">
      <c r="A496">
        <v>2</v>
      </c>
      <c r="B496">
        <v>495</v>
      </c>
      <c r="C496" t="str">
        <f>Sheet1!C454</f>
        <v>邓家湾渡槽出</v>
      </c>
      <c r="D496">
        <v>493703.6309</v>
      </c>
      <c r="E496">
        <v>3356850.8621</v>
      </c>
      <c r="G496">
        <f t="shared" ref="G496:G511" si="297">ROUND(IF((2*SQRT((D495-D496)^2+(E495-E496)^2)*SQRT((D497-D496)^2+(E497-E496)^2))=0,0,180-ACOS(((D495-D496)^2+(E495-E496)^2+(D497-D496)^2+(E497-E496)^2-(D497-D495)^2-(E497-E495)^2)/(2*SQRT((D495-D496)^2+(E495-E496)^2)*SQRT((D497-D496)^2+(E497-E496)^2)))/PI()*180),3)</f>
        <v>0</v>
      </c>
      <c r="H496">
        <f t="shared" si="267"/>
        <v>0</v>
      </c>
      <c r="I496">
        <f t="shared" si="268"/>
        <v>0</v>
      </c>
      <c r="J496">
        <f t="shared" si="293"/>
        <v>248.86716313329</v>
      </c>
      <c r="K496" s="40">
        <f t="shared" si="294"/>
        <v>82229.1159937783</v>
      </c>
      <c r="L496" s="40">
        <f t="shared" si="295"/>
        <v>82229.1159937783</v>
      </c>
      <c r="M496" s="40">
        <f t="shared" si="296"/>
        <v>82229.1159937783</v>
      </c>
      <c r="N496">
        <v>444.146</v>
      </c>
      <c r="O496">
        <v>440.599</v>
      </c>
      <c r="P496">
        <v>0</v>
      </c>
      <c r="Q496" s="39">
        <f t="shared" si="291"/>
        <v>493703.6309</v>
      </c>
      <c r="R496" s="39">
        <f t="shared" si="292"/>
        <v>3356850.8621</v>
      </c>
      <c r="S496" s="39" t="str">
        <f t="shared" si="271"/>
        <v> </v>
      </c>
      <c r="T496" s="39" t="str">
        <f t="shared" si="272"/>
        <v> </v>
      </c>
      <c r="U496" s="39" t="str">
        <f>IF(G496=0," ",D496+(D498-D496)/J498*H496)</f>
        <v> </v>
      </c>
      <c r="V496" s="39" t="str">
        <f>IF(G496=0," ",E496+(E498-E496)/J498*H496)</f>
        <v> </v>
      </c>
      <c r="AI496" t="str">
        <f t="array" ref="AI496">IFERROR(INDEX($L$2:$L$789,SMALL(IF(ISNUMBER(FIND($AH$2,$C$2:$C$789)),ROW($2:$789)-1,4^8),ROW(A495)))&amp;"","")</f>
        <v/>
      </c>
      <c r="AT496" t="str">
        <f t="shared" si="275"/>
        <v>493703.6309,3356850.8621</v>
      </c>
      <c r="AV496">
        <f t="shared" si="276"/>
        <v>444.849</v>
      </c>
      <c r="AX496" t="str">
        <f t="shared" si="277"/>
        <v>pl 41114.5579968891,279 41114.5579968891,400 </v>
      </c>
      <c r="AY496" t="str">
        <f t="shared" si="278"/>
        <v>41114.5579968891,440.599</v>
      </c>
      <c r="AZ496" t="str">
        <f t="shared" si="279"/>
        <v>41114.5579968891,444.146</v>
      </c>
      <c r="BA496" t="str">
        <f t="shared" si="280"/>
        <v>41114.5579968891,444.849</v>
      </c>
      <c r="BB496" t="str">
        <f t="shared" si="281"/>
        <v>-text 41113.5579968891,337 3.5 90 440.599 </v>
      </c>
      <c r="BC496" t="str">
        <f t="shared" si="282"/>
        <v>-text 41113.5579968891,320 3.5 90 444.849 </v>
      </c>
      <c r="BD496" t="str">
        <f t="shared" si="283"/>
        <v>-text 41113.5579968891,306 3.5 90 444.146 </v>
      </c>
      <c r="BE496" t="str">
        <f t="shared" si="284"/>
        <v>-text 41113.5579968891,352 3.5 90 ZG82+229.116 </v>
      </c>
      <c r="BF496" t="str">
        <f t="shared" si="285"/>
        <v>-text 41113.5579968891,280 3.5 90 邓家湾渡槽出 </v>
      </c>
      <c r="BG496" t="str">
        <f t="shared" si="286"/>
        <v/>
      </c>
      <c r="BH496" t="str">
        <f t="shared" si="287"/>
        <v> </v>
      </c>
      <c r="BI496" t="str">
        <f t="shared" si="288"/>
        <v> </v>
      </c>
      <c r="BJ496" t="str">
        <f t="shared" si="289"/>
        <v> </v>
      </c>
    </row>
    <row r="497" s="37" customFormat="1" spans="1:62">
      <c r="A497" s="37">
        <v>0</v>
      </c>
      <c r="B497" s="37">
        <v>496</v>
      </c>
      <c r="C497" s="37" t="s">
        <v>854</v>
      </c>
      <c r="D497" s="37">
        <v>493740.2475</v>
      </c>
      <c r="E497" s="37">
        <v>3356833.3984</v>
      </c>
      <c r="G497" s="37">
        <f t="shared" si="297"/>
        <v>0</v>
      </c>
      <c r="H497" s="37">
        <f t="shared" si="267"/>
        <v>0</v>
      </c>
      <c r="I497" s="37">
        <f t="shared" si="268"/>
        <v>0</v>
      </c>
      <c r="J497" s="37">
        <f t="shared" si="293"/>
        <v>40.5679209876164</v>
      </c>
      <c r="K497" s="52">
        <f t="shared" si="294"/>
        <v>82269.6839147659</v>
      </c>
      <c r="L497" s="52">
        <f t="shared" si="295"/>
        <v>82269.6839147659</v>
      </c>
      <c r="M497" s="52">
        <f t="shared" si="296"/>
        <v>82269.6839147659</v>
      </c>
      <c r="N497" s="37">
        <v>444.146</v>
      </c>
      <c r="O497" s="37">
        <v>440.599</v>
      </c>
      <c r="P497" s="37"/>
      <c r="Q497" s="51">
        <f t="shared" si="291"/>
        <v>493740.2475</v>
      </c>
      <c r="R497" s="51">
        <f t="shared" si="292"/>
        <v>3356833.3984</v>
      </c>
      <c r="S497" s="51"/>
      <c r="T497" s="51"/>
      <c r="U497" s="51"/>
      <c r="V497" s="51"/>
    </row>
    <row r="498" spans="1:62">
      <c r="A498">
        <v>0</v>
      </c>
      <c r="B498">
        <v>497</v>
      </c>
      <c r="C498" t="s">
        <v>475</v>
      </c>
      <c r="D498">
        <v>493773.7394</v>
      </c>
      <c r="E498">
        <v>3356817.4251</v>
      </c>
      <c r="F498">
        <v>80</v>
      </c>
      <c r="G498">
        <f t="shared" si="297"/>
        <v>28.417</v>
      </c>
      <c r="H498">
        <f t="shared" si="267"/>
        <v>20.2557406976543</v>
      </c>
      <c r="I498">
        <f t="shared" si="268"/>
        <v>39.6776170831383</v>
      </c>
      <c r="J498">
        <f t="shared" si="293"/>
        <v>37.1059790127227</v>
      </c>
      <c r="K498" s="40">
        <f t="shared" si="294"/>
        <v>82286.534153081</v>
      </c>
      <c r="L498" s="40">
        <f t="shared" si="295"/>
        <v>82306.3729616225</v>
      </c>
      <c r="M498" s="40">
        <f t="shared" si="296"/>
        <v>82326.2117701641</v>
      </c>
      <c r="N498">
        <v>446.146</v>
      </c>
      <c r="O498">
        <v>442.599</v>
      </c>
      <c r="P498">
        <v>2</v>
      </c>
      <c r="Q498" s="39">
        <f t="shared" si="291"/>
        <v>493755.456544786</v>
      </c>
      <c r="R498" s="39">
        <f t="shared" si="292"/>
        <v>3356826.14474658</v>
      </c>
      <c r="S498" s="39">
        <f t="shared" ref="S498:S511" si="298">IF(G498=0," ",(Q498+U498)/2+(D498-(Q498+U498)/2)/(H498*SIN(G498/360*PI()))*(F498-F498*COS(G498/360*PI())))</f>
        <v>493772.126614182</v>
      </c>
      <c r="T498" s="39">
        <f t="shared" ref="T498:T511" si="299">IF(G498=0," ",(R498+V498)/2+(E498-(R498+V498)/2)/(H498*SIN(G498/360*PI()))*(F498-F498*COS(G498/360*PI())))</f>
        <v>3356815.48292702</v>
      </c>
      <c r="U498" s="39">
        <f t="shared" ref="U498:U511" si="300">IF(G498=0," ",D498+(D499-D498)/J499*H498)</f>
        <v>493785.669785574</v>
      </c>
      <c r="V498" s="39">
        <f t="shared" ref="V498:V511" si="301">IF(G498=0," ",E498+(E499-E498)/J499*H498)</f>
        <v>3356801.05558775</v>
      </c>
      <c r="AI498" t="str">
        <f t="array" ref="AI498">IFERROR(INDEX($L$2:$L$789,SMALL(IF(ISNUMBER(FIND($AH$2,$C$2:$C$789)),ROW($2:$789)-1,4^8),ROW(A496)))&amp;"","")</f>
        <v/>
      </c>
      <c r="AS498" t="str">
        <f>"-text"&amp;" "&amp;D498&amp;","&amp;E498&amp;" "&amp;"10"&amp;" "&amp;"0"&amp;" "&amp;C498</f>
        <v>-text 493773.7394,3356817.4251 10 0 IP265</v>
      </c>
      <c r="AT498" t="str">
        <f t="shared" ref="AT498:AT514" si="302">D498&amp;","&amp;E498</f>
        <v>493773.7394,3356817.4251</v>
      </c>
      <c r="AV498">
        <f>IF(A498=0,O498+5.4,IF(A498=1,O498+5.1,O498+4.25))</f>
        <v>447.999</v>
      </c>
      <c r="AX498" t="str">
        <f t="shared" ref="AX498:AX514" si="303">"pl "&amp;L498/2&amp;",279 "&amp;L498/2&amp;",400 "</f>
        <v>pl 41153.1864808113,279 41153.1864808113,400 </v>
      </c>
      <c r="AY498" t="str">
        <f t="shared" ref="AY498:AY514" si="304">L498/2&amp;","&amp;O498</f>
        <v>41153.1864808113,442.599</v>
      </c>
      <c r="AZ498" t="str">
        <f t="shared" ref="AZ498:AZ514" si="305">L498/2&amp;","&amp;N498</f>
        <v>41153.1864808113,446.146</v>
      </c>
      <c r="BA498" t="str">
        <f t="shared" ref="BA498:BA514" si="306">L498/2&amp;","&amp;AV498</f>
        <v>41153.1864808113,447.999</v>
      </c>
      <c r="BB498" t="str">
        <f t="shared" ref="BB498:BB514" si="307">"-text "&amp;L498/2-1&amp;",337 3.5 90 "&amp;FIXED(O498,3)&amp;" "</f>
        <v>-text 41152.1864808113,337 3.5 90 442.599 </v>
      </c>
      <c r="BC498" t="str">
        <f t="shared" ref="BC498:BC514" si="308">"-text "&amp;L498/2-1&amp;",320 3.5 90 "&amp;FIXED(AV498,3)&amp;" "</f>
        <v>-text 41152.1864808113,320 3.5 90 447.999 </v>
      </c>
      <c r="BD498" t="str">
        <f t="shared" ref="BD498:BD514" si="309">"-text "&amp;L498/2-1&amp;",306 3.5 90 "&amp;FIXED(N498,3)&amp;" "</f>
        <v>-text 41152.1864808113,306 3.5 90 446.146 </v>
      </c>
      <c r="BE498" t="str">
        <f t="shared" ref="BE498:BE514" si="310">"-text "&amp;L498/2-1&amp;",352 3.5 90 "&amp;"ZG"&amp;TEXT(L498,"0+000.000")&amp;" "</f>
        <v>-text 41152.1864808113,352 3.5 90 ZG82+306.373 </v>
      </c>
      <c r="BF498" t="str">
        <f t="shared" ref="BF498:BF514" si="311">"-text "&amp;L498/2-1&amp;",280 3.5 90 "&amp;C498&amp;" "</f>
        <v>-text 41152.1864808113,280 3.5 90 IP265 </v>
      </c>
      <c r="BG498" t="str">
        <f t="shared" ref="BG498:BG514" si="312">IF(G498&lt;0.01,"",("-TEXT "&amp;L498/2+1&amp;",300 3.5 0 "&amp;"R="&amp;FIXED(F498,0)))</f>
        <v>-TEXT 41154.1864808113,300 3.5 0 R=80</v>
      </c>
      <c r="BH498" t="str">
        <f t="shared" ref="BH498:BH514" si="313">IF(G498&lt;0.01," ",("-TEXT "&amp;L498/2+1&amp;",295 3.5 0 "&amp;"α="&amp;FIXED(G498,2)&amp;"° "))</f>
        <v>-TEXT 41154.1864808113,295 3.5 0 α=28.42° </v>
      </c>
      <c r="BI498" t="str">
        <f t="shared" ref="BI498:BI514" si="314">IF(G498&lt;0.01," ",("-TEXT "&amp;L498/2+1&amp;",290 3.5 0 "&amp;"T="&amp;FIXED(H498,2)&amp;" "))</f>
        <v>-TEXT 41154.1864808113,290 3.5 0 T=20.26 </v>
      </c>
      <c r="BJ498" t="str">
        <f t="shared" ref="BJ498:BJ514" si="315">IF(G498&lt;0.01," ",("-TEXT "&amp;L498/2+1&amp;",285 3.5 0 "&amp;"S="&amp;FIXED(I498,2)&amp;" "))</f>
        <v>-TEXT 41154.1864808113,285 3.5 0 S=39.68 </v>
      </c>
    </row>
    <row r="499" spans="1:62">
      <c r="A499">
        <v>1</v>
      </c>
      <c r="B499">
        <v>498</v>
      </c>
      <c r="C499" t="str">
        <f>Sheet1!C456</f>
        <v>姚家大坡隧进</v>
      </c>
      <c r="D499">
        <v>493804.1891</v>
      </c>
      <c r="E499">
        <v>3356775.6455</v>
      </c>
      <c r="G499">
        <f t="shared" si="297"/>
        <v>0</v>
      </c>
      <c r="H499">
        <f t="shared" si="267"/>
        <v>0</v>
      </c>
      <c r="I499">
        <f t="shared" si="268"/>
        <v>0</v>
      </c>
      <c r="J499">
        <f t="shared" si="293"/>
        <v>51.698348196539</v>
      </c>
      <c r="K499" s="40">
        <f t="shared" si="294"/>
        <v>82357.654377663</v>
      </c>
      <c r="L499" s="40">
        <f t="shared" si="295"/>
        <v>82357.654377663</v>
      </c>
      <c r="M499" s="40">
        <f t="shared" si="296"/>
        <v>82357.654377663</v>
      </c>
      <c r="N499">
        <v>444.141</v>
      </c>
      <c r="O499">
        <v>440.252</v>
      </c>
      <c r="P499">
        <v>0</v>
      </c>
      <c r="Q499" s="39">
        <f t="shared" si="291"/>
        <v>493804.1891</v>
      </c>
      <c r="R499" s="39">
        <f t="shared" si="292"/>
        <v>3356775.6455</v>
      </c>
      <c r="S499" s="39" t="str">
        <f t="shared" si="298"/>
        <v> </v>
      </c>
      <c r="T499" s="39" t="str">
        <f t="shared" si="299"/>
        <v> </v>
      </c>
      <c r="U499" s="39" t="str">
        <f t="shared" si="300"/>
        <v> </v>
      </c>
      <c r="V499" s="39" t="str">
        <f t="shared" si="301"/>
        <v> </v>
      </c>
      <c r="AI499" t="str">
        <f t="array" ref="AI499">IFERROR(INDEX($L$2:$L$789,SMALL(IF(ISNUMBER(FIND($AH$2,$C$2:$C$789)),ROW($2:$789)-1,4^8),ROW(A498)))&amp;"","")</f>
        <v/>
      </c>
      <c r="AT499" t="str">
        <f t="shared" si="302"/>
        <v>493804.1891,3356775.6455</v>
      </c>
      <c r="AV499">
        <f>IF(A499=0,O499+5.4,IF(A499=1,O499+5.1,O499+4.25))</f>
        <v>445.352</v>
      </c>
      <c r="AX499" t="str">
        <f t="shared" si="303"/>
        <v>pl 41178.8271888315,279 41178.8271888315,400 </v>
      </c>
      <c r="AY499" t="str">
        <f t="shared" si="304"/>
        <v>41178.8271888315,440.252</v>
      </c>
      <c r="AZ499" t="str">
        <f t="shared" si="305"/>
        <v>41178.8271888315,444.141</v>
      </c>
      <c r="BA499" t="str">
        <f t="shared" si="306"/>
        <v>41178.8271888315,445.352</v>
      </c>
      <c r="BB499" t="str">
        <f t="shared" si="307"/>
        <v>-text 41177.8271888315,337 3.5 90 440.252 </v>
      </c>
      <c r="BC499" t="str">
        <f t="shared" si="308"/>
        <v>-text 41177.8271888315,320 3.5 90 445.352 </v>
      </c>
      <c r="BD499" t="str">
        <f t="shared" si="309"/>
        <v>-text 41177.8271888315,306 3.5 90 444.141 </v>
      </c>
      <c r="BE499" t="str">
        <f t="shared" si="310"/>
        <v>-text 41177.8271888315,352 3.5 90 ZG82+357.654 </v>
      </c>
      <c r="BF499" t="str">
        <f t="shared" si="311"/>
        <v>-text 41177.8271888315,280 3.5 90 姚家大坡隧进 </v>
      </c>
      <c r="BG499" t="str">
        <f t="shared" si="312"/>
        <v/>
      </c>
      <c r="BH499" t="str">
        <f t="shared" si="313"/>
        <v> </v>
      </c>
      <c r="BI499" t="str">
        <f t="shared" si="314"/>
        <v> </v>
      </c>
      <c r="BJ499" t="str">
        <f t="shared" si="315"/>
        <v> </v>
      </c>
    </row>
    <row r="500" spans="1:62">
      <c r="A500">
        <v>1</v>
      </c>
      <c r="B500">
        <v>499</v>
      </c>
      <c r="C500" t="s">
        <v>477</v>
      </c>
      <c r="D500">
        <v>494329.072</v>
      </c>
      <c r="E500">
        <v>3356055.4599</v>
      </c>
      <c r="F500">
        <v>80</v>
      </c>
      <c r="G500">
        <f t="shared" si="297"/>
        <v>7.589</v>
      </c>
      <c r="H500">
        <f t="shared" si="267"/>
        <v>5.30588085893298</v>
      </c>
      <c r="I500">
        <f t="shared" si="268"/>
        <v>10.596242954708</v>
      </c>
      <c r="J500">
        <f t="shared" si="293"/>
        <v>891.161801896653</v>
      </c>
      <c r="K500" s="40">
        <f t="shared" si="294"/>
        <v>83243.5102987007</v>
      </c>
      <c r="L500" s="40">
        <f t="shared" si="295"/>
        <v>83248.8084201781</v>
      </c>
      <c r="M500" s="40">
        <f t="shared" si="296"/>
        <v>83254.1065416554</v>
      </c>
      <c r="N500">
        <v>443.979</v>
      </c>
      <c r="O500">
        <v>440.09</v>
      </c>
      <c r="P500">
        <v>0</v>
      </c>
      <c r="Q500" s="39">
        <f t="shared" si="291"/>
        <v>494325.946904056</v>
      </c>
      <c r="R500" s="39">
        <f t="shared" si="292"/>
        <v>3356059.74780707</v>
      </c>
      <c r="S500" s="39">
        <f t="shared" si="298"/>
        <v>494328.923423528</v>
      </c>
      <c r="T500" s="39">
        <f t="shared" si="299"/>
        <v>3356055.36600759</v>
      </c>
      <c r="U500" s="39">
        <f t="shared" si="300"/>
        <v>494331.603441466</v>
      </c>
      <c r="V500" s="39">
        <f t="shared" si="301"/>
        <v>3356050.79683494</v>
      </c>
      <c r="AI500" t="str">
        <f t="array" ref="AI500">IFERROR(INDEX($L$2:$L$789,SMALL(IF(ISNUMBER(FIND($AH$2,$C$2:$C$789)),ROW($2:$789)-1,4^8),ROW(A501)))&amp;"","")</f>
        <v/>
      </c>
      <c r="AS500" t="str">
        <f>"-text"&amp;" "&amp;D500&amp;","&amp;E500&amp;" "&amp;"10"&amp;" "&amp;"0"&amp;" "&amp;C500</f>
        <v>-text 494329.072,3356055.4599 10 0 IP266</v>
      </c>
      <c r="AT500" t="str">
        <f t="shared" si="302"/>
        <v>494329.072,3356055.4599</v>
      </c>
      <c r="AV500">
        <f>IF(A500=0,O500+5.4,IF(A500=1,O500+5.1,O500+4.25))</f>
        <v>445.19</v>
      </c>
      <c r="AX500" t="str">
        <f t="shared" si="303"/>
        <v>pl 41624.404210089,279 41624.404210089,400 </v>
      </c>
      <c r="AY500" t="str">
        <f t="shared" si="304"/>
        <v>41624.404210089,440.09</v>
      </c>
      <c r="AZ500" t="str">
        <f t="shared" si="305"/>
        <v>41624.404210089,443.979</v>
      </c>
      <c r="BA500" t="str">
        <f t="shared" si="306"/>
        <v>41624.404210089,445.19</v>
      </c>
      <c r="BB500" t="str">
        <f t="shared" si="307"/>
        <v>-text 41623.404210089,337 3.5 90 440.090 </v>
      </c>
      <c r="BC500" t="str">
        <f t="shared" si="308"/>
        <v>-text 41623.404210089,320 3.5 90 445.190 </v>
      </c>
      <c r="BD500" t="str">
        <f t="shared" si="309"/>
        <v>-text 41623.404210089,306 3.5 90 443.979 </v>
      </c>
      <c r="BE500" t="str">
        <f t="shared" si="310"/>
        <v>-text 41623.404210089,352 3.5 90 ZG83+248.808 </v>
      </c>
      <c r="BF500" t="str">
        <f t="shared" si="311"/>
        <v>-text 41623.404210089,280 3.5 90 IP266 </v>
      </c>
      <c r="BG500" t="str">
        <f t="shared" si="312"/>
        <v>-TEXT 41625.404210089,300 3.5 0 R=80</v>
      </c>
      <c r="BH500" t="str">
        <f t="shared" si="313"/>
        <v>-TEXT 41625.404210089,295 3.5 0 α=7.59° </v>
      </c>
      <c r="BI500" t="str">
        <f t="shared" si="314"/>
        <v>-TEXT 41625.404210089,290 3.5 0 T=5.31 </v>
      </c>
      <c r="BJ500" t="str">
        <f t="shared" si="315"/>
        <v>-TEXT 41625.404210089,285 3.5 0 S=10.60 </v>
      </c>
    </row>
    <row r="501" spans="1:62">
      <c r="A501">
        <v>1</v>
      </c>
      <c r="B501">
        <v>500</v>
      </c>
      <c r="C501" t="str">
        <f>Sheet1!C458</f>
        <v>姚家大坡隧出</v>
      </c>
      <c r="D501">
        <v>494484.4948</v>
      </c>
      <c r="E501">
        <v>3355769.1619</v>
      </c>
      <c r="G501">
        <f t="shared" si="297"/>
        <v>0</v>
      </c>
      <c r="H501">
        <f t="shared" si="267"/>
        <v>0</v>
      </c>
      <c r="I501">
        <f t="shared" si="268"/>
        <v>0</v>
      </c>
      <c r="J501">
        <f t="shared" si="293"/>
        <v>325.764932986674</v>
      </c>
      <c r="K501" s="40">
        <f t="shared" si="294"/>
        <v>83574.5655937832</v>
      </c>
      <c r="L501" s="40">
        <f t="shared" si="295"/>
        <v>83574.5655937832</v>
      </c>
      <c r="M501" s="40">
        <f t="shared" si="296"/>
        <v>83574.5655937832</v>
      </c>
      <c r="N501">
        <v>443.92</v>
      </c>
      <c r="O501">
        <v>440.031</v>
      </c>
      <c r="P501">
        <v>0</v>
      </c>
      <c r="Q501" s="39">
        <f t="shared" si="291"/>
        <v>494484.4948</v>
      </c>
      <c r="R501" s="39">
        <f t="shared" si="292"/>
        <v>3355769.1619</v>
      </c>
      <c r="S501" s="39" t="str">
        <f t="shared" si="298"/>
        <v> </v>
      </c>
      <c r="T501" s="39" t="str">
        <f t="shared" si="299"/>
        <v> </v>
      </c>
      <c r="U501" s="39" t="str">
        <f t="shared" si="300"/>
        <v> </v>
      </c>
      <c r="V501" s="39" t="str">
        <f t="shared" si="301"/>
        <v> </v>
      </c>
      <c r="AI501" t="str">
        <f t="array" ref="AI501">IFERROR(INDEX($L$2:$L$789,SMALL(IF(ISNUMBER(FIND($AH$2,$C$2:$C$789)),ROW($2:$789)-1,4^8),ROW(A500)))&amp;"","")</f>
        <v/>
      </c>
      <c r="AT501" t="str">
        <f t="shared" si="302"/>
        <v>494484.4948,3355769.1619</v>
      </c>
      <c r="AV501">
        <f>IF(A501=0,O501+5.4,IF(A501=1,O501+5.1,O501+4.25))</f>
        <v>445.131</v>
      </c>
      <c r="AX501" t="str">
        <f t="shared" si="303"/>
        <v>pl 41787.2827968916,279 41787.2827968916,400 </v>
      </c>
      <c r="AY501" t="str">
        <f t="shared" si="304"/>
        <v>41787.2827968916,440.031</v>
      </c>
      <c r="AZ501" t="str">
        <f t="shared" si="305"/>
        <v>41787.2827968916,443.92</v>
      </c>
      <c r="BA501" t="str">
        <f t="shared" si="306"/>
        <v>41787.2827968916,445.131</v>
      </c>
      <c r="BB501" t="str">
        <f t="shared" si="307"/>
        <v>-text 41786.2827968916,337 3.5 90 440.031 </v>
      </c>
      <c r="BC501" t="str">
        <f t="shared" si="308"/>
        <v>-text 41786.2827968916,320 3.5 90 445.131 </v>
      </c>
      <c r="BD501" t="str">
        <f t="shared" si="309"/>
        <v>-text 41786.2827968916,306 3.5 90 443.920 </v>
      </c>
      <c r="BE501" t="str">
        <f t="shared" si="310"/>
        <v>-text 41786.2827968916,352 3.5 90 ZG83+574.566 </v>
      </c>
      <c r="BF501" t="str">
        <f t="shared" si="311"/>
        <v>-text 41786.2827968916,280 3.5 90 姚家大坡隧出 </v>
      </c>
      <c r="BG501" t="str">
        <f t="shared" si="312"/>
        <v/>
      </c>
      <c r="BH501" t="str">
        <f t="shared" si="313"/>
        <v> </v>
      </c>
      <c r="BI501" t="str">
        <f t="shared" si="314"/>
        <v> </v>
      </c>
      <c r="BJ501" t="str">
        <f t="shared" si="315"/>
        <v> </v>
      </c>
    </row>
    <row r="502" spans="1:62">
      <c r="A502">
        <v>0</v>
      </c>
      <c r="B502">
        <v>501</v>
      </c>
      <c r="C502" t="s">
        <v>479</v>
      </c>
      <c r="D502">
        <v>494564.3455</v>
      </c>
      <c r="E502">
        <v>3355622.0722</v>
      </c>
      <c r="F502">
        <v>80</v>
      </c>
      <c r="G502">
        <f t="shared" si="297"/>
        <v>1.44</v>
      </c>
      <c r="H502">
        <f t="shared" si="267"/>
        <v>1.00536256987037</v>
      </c>
      <c r="I502">
        <f t="shared" si="268"/>
        <v>2.01061929829747</v>
      </c>
      <c r="J502">
        <f t="shared" si="293"/>
        <v>167.366406834489</v>
      </c>
      <c r="K502" s="40">
        <f t="shared" si="294"/>
        <v>83740.9266380478</v>
      </c>
      <c r="L502" s="40">
        <f t="shared" si="295"/>
        <v>83741.931947697</v>
      </c>
      <c r="M502" s="40">
        <f t="shared" si="296"/>
        <v>83742.9372573461</v>
      </c>
      <c r="N502">
        <v>443.891</v>
      </c>
      <c r="O502">
        <v>439.976</v>
      </c>
      <c r="P502">
        <v>0</v>
      </c>
      <c r="Q502" s="39">
        <f t="shared" si="291"/>
        <v>494563.865840393</v>
      </c>
      <c r="R502" s="39">
        <f t="shared" si="292"/>
        <v>3355622.95576129</v>
      </c>
      <c r="S502" s="39">
        <f t="shared" si="298"/>
        <v>494564.339912369</v>
      </c>
      <c r="T502" s="39">
        <f t="shared" si="299"/>
        <v>3355622.06925691</v>
      </c>
      <c r="U502" s="39">
        <f t="shared" si="300"/>
        <v>494564.802809967</v>
      </c>
      <c r="V502" s="39">
        <f t="shared" si="301"/>
        <v>3355621.17686683</v>
      </c>
      <c r="AI502" t="str">
        <f t="array" ref="AI502">IFERROR(INDEX($L$2:$L$789,SMALL(IF(ISNUMBER(FIND($AH$2,$C$2:$C$789)),ROW($2:$789)-1,4^8),ROW(#REF!)))&amp;"","")</f>
        <v/>
      </c>
      <c r="AS502" t="str">
        <f>"-text"&amp;" "&amp;D502&amp;","&amp;E502&amp;" "&amp;"10"&amp;" "&amp;"0"&amp;" "&amp;C502</f>
        <v>-text 494564.3455,3355622.0722 10 0 IP267</v>
      </c>
      <c r="AT502" t="str">
        <f t="shared" si="302"/>
        <v>494564.3455,3355622.0722</v>
      </c>
      <c r="AV502">
        <f>IF(A502=0,O502+5.4,IF(A502=1,O502+5.1,O502+4.25))</f>
        <v>445.376</v>
      </c>
      <c r="AX502" t="str">
        <f t="shared" si="303"/>
        <v>pl 41870.9659738485,279 41870.9659738485,400 </v>
      </c>
      <c r="AY502" t="str">
        <f t="shared" si="304"/>
        <v>41870.9659738485,439.976</v>
      </c>
      <c r="AZ502" t="str">
        <f t="shared" si="305"/>
        <v>41870.9659738485,443.891</v>
      </c>
      <c r="BA502" t="str">
        <f t="shared" si="306"/>
        <v>41870.9659738485,445.376</v>
      </c>
      <c r="BB502" t="str">
        <f t="shared" si="307"/>
        <v>-text 41869.9659738485,337 3.5 90 439.976 </v>
      </c>
      <c r="BC502" t="str">
        <f t="shared" si="308"/>
        <v>-text 41869.9659738485,320 3.5 90 445.376 </v>
      </c>
      <c r="BD502" t="str">
        <f t="shared" si="309"/>
        <v>-text 41869.9659738485,306 3.5 90 443.891 </v>
      </c>
      <c r="BE502" t="str">
        <f t="shared" si="310"/>
        <v>-text 41869.9659738485,352 3.5 90 ZG83+741.932 </v>
      </c>
      <c r="BF502" t="str">
        <f t="shared" si="311"/>
        <v>-text 41869.9659738485,280 3.5 90 IP267 </v>
      </c>
      <c r="BG502" t="str">
        <f t="shared" si="312"/>
        <v>-TEXT 41871.9659738485,300 3.5 0 R=80</v>
      </c>
      <c r="BH502" t="str">
        <f t="shared" si="313"/>
        <v>-TEXT 41871.9659738485,295 3.5 0 α=1.44° </v>
      </c>
      <c r="BI502" t="str">
        <f t="shared" si="314"/>
        <v>-TEXT 41871.9659738485,290 3.5 0 T=1.01 </v>
      </c>
      <c r="BJ502" t="str">
        <f t="shared" si="315"/>
        <v>-TEXT 41871.9659738485,285 3.5 0 S=2.01 </v>
      </c>
    </row>
    <row r="503" spans="1:62">
      <c r="A503">
        <v>1</v>
      </c>
      <c r="B503">
        <v>502</v>
      </c>
      <c r="C503" t="str">
        <f>Sheet1!C460</f>
        <v>龚家湾隧进</v>
      </c>
      <c r="D503">
        <v>494580.5212</v>
      </c>
      <c r="E503">
        <v>3355590.403</v>
      </c>
      <c r="G503">
        <f t="shared" si="297"/>
        <v>0</v>
      </c>
      <c r="H503">
        <f t="shared" si="267"/>
        <v>0</v>
      </c>
      <c r="I503">
        <f t="shared" si="268"/>
        <v>0</v>
      </c>
      <c r="J503">
        <f t="shared" si="293"/>
        <v>35.5610953026418</v>
      </c>
      <c r="K503" s="40">
        <f t="shared" si="294"/>
        <v>83777.4929900789</v>
      </c>
      <c r="L503" s="40">
        <f t="shared" si="295"/>
        <v>83777.4929900789</v>
      </c>
      <c r="M503" s="40">
        <f t="shared" si="296"/>
        <v>83777.4929900789</v>
      </c>
      <c r="N503">
        <v>443.881</v>
      </c>
      <c r="O503">
        <v>439.992</v>
      </c>
      <c r="P503">
        <v>0</v>
      </c>
      <c r="Q503" s="39">
        <f t="shared" si="291"/>
        <v>494580.5212</v>
      </c>
      <c r="R503" s="39">
        <f t="shared" si="292"/>
        <v>3355590.403</v>
      </c>
      <c r="S503" s="39" t="str">
        <f t="shared" si="298"/>
        <v> </v>
      </c>
      <c r="T503" s="39" t="str">
        <f t="shared" si="299"/>
        <v> </v>
      </c>
      <c r="U503" s="39" t="str">
        <f t="shared" si="300"/>
        <v> </v>
      </c>
      <c r="V503" s="39" t="str">
        <f t="shared" si="301"/>
        <v> </v>
      </c>
      <c r="AI503" t="str">
        <f t="array" ref="AI503">IFERROR(INDEX($L$2:$L$789,SMALL(IF(ISNUMBER(FIND($AH$2,$C$2:$C$789)),ROW($2:$789)-1,4^8),ROW(A502)))&amp;"","")</f>
        <v/>
      </c>
      <c r="AT503" t="str">
        <f t="shared" si="302"/>
        <v>494580.5212,3355590.403</v>
      </c>
      <c r="AV503">
        <f t="shared" ref="AV503:AV566" si="316">IF(A503=0,O503+5.4,IF(A503=1,O503+5.1,O503+4.25))</f>
        <v>445.092</v>
      </c>
      <c r="AX503" t="str">
        <f t="shared" si="303"/>
        <v>pl 41888.7464950394,279 41888.7464950394,400 </v>
      </c>
      <c r="AY503" t="str">
        <f t="shared" si="304"/>
        <v>41888.7464950394,439.992</v>
      </c>
      <c r="AZ503" t="str">
        <f t="shared" si="305"/>
        <v>41888.7464950394,443.881</v>
      </c>
      <c r="BA503" t="str">
        <f t="shared" si="306"/>
        <v>41888.7464950394,445.092</v>
      </c>
      <c r="BB503" t="str">
        <f t="shared" si="307"/>
        <v>-text 41887.7464950394,337 3.5 90 439.992 </v>
      </c>
      <c r="BC503" t="str">
        <f t="shared" si="308"/>
        <v>-text 41887.7464950394,320 3.5 90 445.092 </v>
      </c>
      <c r="BD503" t="str">
        <f t="shared" si="309"/>
        <v>-text 41887.7464950394,306 3.5 90 443.881 </v>
      </c>
      <c r="BE503" t="str">
        <f t="shared" si="310"/>
        <v>-text 41887.7464950394,352 3.5 90 ZG83+777.493 </v>
      </c>
      <c r="BF503" t="str">
        <f t="shared" si="311"/>
        <v>-text 41887.7464950394,280 3.5 90 龚家湾隧进 </v>
      </c>
      <c r="BG503" t="str">
        <f t="shared" si="312"/>
        <v/>
      </c>
      <c r="BH503" t="str">
        <f t="shared" si="313"/>
        <v> </v>
      </c>
      <c r="BI503" t="str">
        <f t="shared" si="314"/>
        <v> </v>
      </c>
      <c r="BJ503" t="str">
        <f t="shared" si="315"/>
        <v> </v>
      </c>
    </row>
    <row r="504" spans="1:62">
      <c r="A504">
        <v>1</v>
      </c>
      <c r="B504">
        <v>503</v>
      </c>
      <c r="C504" t="str">
        <f>Sheet1!C461</f>
        <v>龚家湾隧出</v>
      </c>
      <c r="D504">
        <v>494631.7212</v>
      </c>
      <c r="E504">
        <v>3355490.1625</v>
      </c>
      <c r="G504">
        <f t="shared" si="297"/>
        <v>0</v>
      </c>
      <c r="H504">
        <f t="shared" si="267"/>
        <v>0</v>
      </c>
      <c r="I504">
        <f t="shared" si="268"/>
        <v>0</v>
      </c>
      <c r="J504">
        <f t="shared" si="293"/>
        <v>112.559308101192</v>
      </c>
      <c r="K504" s="40">
        <f t="shared" si="294"/>
        <v>83890.0522981801</v>
      </c>
      <c r="L504" s="40">
        <f t="shared" si="295"/>
        <v>83890.0522981801</v>
      </c>
      <c r="M504" s="40">
        <f t="shared" si="296"/>
        <v>83890.0522981801</v>
      </c>
      <c r="N504">
        <v>443.861</v>
      </c>
      <c r="O504">
        <v>439.972</v>
      </c>
      <c r="P504">
        <v>0</v>
      </c>
      <c r="Q504" s="39">
        <f t="shared" si="291"/>
        <v>494631.7212</v>
      </c>
      <c r="R504" s="39">
        <f t="shared" si="292"/>
        <v>3355490.1625</v>
      </c>
      <c r="S504" s="39" t="str">
        <f t="shared" si="298"/>
        <v> </v>
      </c>
      <c r="T504" s="39" t="str">
        <f t="shared" si="299"/>
        <v> </v>
      </c>
      <c r="U504" s="39" t="str">
        <f t="shared" si="300"/>
        <v> </v>
      </c>
      <c r="V504" s="39" t="str">
        <f t="shared" si="301"/>
        <v> </v>
      </c>
      <c r="AI504" t="str">
        <f t="array" ref="AI504">IFERROR(INDEX($L$2:$L$789,SMALL(IF(ISNUMBER(FIND($AH$2,$C$2:$C$789)),ROW($2:$789)-1,4^8),ROW(A503)))&amp;"","")</f>
        <v/>
      </c>
      <c r="AT504" t="str">
        <f t="shared" si="302"/>
        <v>494631.7212,3355490.1625</v>
      </c>
      <c r="AV504">
        <f t="shared" si="316"/>
        <v>445.072</v>
      </c>
      <c r="AX504" t="str">
        <f t="shared" si="303"/>
        <v>pl 41945.02614909,279 41945.02614909,400 </v>
      </c>
      <c r="AY504" t="str">
        <f t="shared" si="304"/>
        <v>41945.02614909,439.972</v>
      </c>
      <c r="AZ504" t="str">
        <f t="shared" si="305"/>
        <v>41945.02614909,443.861</v>
      </c>
      <c r="BA504" t="str">
        <f t="shared" si="306"/>
        <v>41945.02614909,445.072</v>
      </c>
      <c r="BB504" t="str">
        <f t="shared" si="307"/>
        <v>-text 41944.02614909,337 3.5 90 439.972 </v>
      </c>
      <c r="BC504" t="str">
        <f t="shared" si="308"/>
        <v>-text 41944.02614909,320 3.5 90 445.072 </v>
      </c>
      <c r="BD504" t="str">
        <f t="shared" si="309"/>
        <v>-text 41944.02614909,306 3.5 90 443.861 </v>
      </c>
      <c r="BE504" t="str">
        <f t="shared" si="310"/>
        <v>-text 41944.02614909,352 3.5 90 ZG83+890.052 </v>
      </c>
      <c r="BF504" t="str">
        <f t="shared" si="311"/>
        <v>-text 41944.02614909,280 3.5 90 龚家湾隧出 </v>
      </c>
      <c r="BG504" t="str">
        <f t="shared" si="312"/>
        <v/>
      </c>
      <c r="BH504" t="str">
        <f t="shared" si="313"/>
        <v> </v>
      </c>
      <c r="BI504" t="str">
        <f t="shared" si="314"/>
        <v> </v>
      </c>
      <c r="BJ504" t="str">
        <f t="shared" si="315"/>
        <v> </v>
      </c>
    </row>
    <row r="505" spans="1:62">
      <c r="A505">
        <v>2</v>
      </c>
      <c r="B505">
        <v>504</v>
      </c>
      <c r="C505" t="str">
        <f>Sheet1!C462</f>
        <v>龚家湾1#渡槽进</v>
      </c>
      <c r="D505">
        <v>494649.1271</v>
      </c>
      <c r="E505">
        <v>3355456.085</v>
      </c>
      <c r="G505">
        <f t="shared" si="297"/>
        <v>0</v>
      </c>
      <c r="H505">
        <f t="shared" si="267"/>
        <v>0</v>
      </c>
      <c r="I505">
        <f t="shared" si="268"/>
        <v>0</v>
      </c>
      <c r="J505">
        <f t="shared" si="293"/>
        <v>38.2654068457046</v>
      </c>
      <c r="K505" s="40">
        <f t="shared" si="294"/>
        <v>83928.3177050258</v>
      </c>
      <c r="L505" s="40">
        <f t="shared" si="295"/>
        <v>83928.3177050258</v>
      </c>
      <c r="M505" s="40">
        <f t="shared" si="296"/>
        <v>83928.3177050258</v>
      </c>
      <c r="N505">
        <v>443.814</v>
      </c>
      <c r="O505">
        <v>440.267</v>
      </c>
      <c r="P505">
        <v>0</v>
      </c>
      <c r="Q505" s="39">
        <f t="shared" si="291"/>
        <v>494649.1271</v>
      </c>
      <c r="R505" s="39">
        <f t="shared" si="292"/>
        <v>3355456.085</v>
      </c>
      <c r="S505" s="39" t="str">
        <f t="shared" si="298"/>
        <v> </v>
      </c>
      <c r="T505" s="39" t="str">
        <f t="shared" si="299"/>
        <v> </v>
      </c>
      <c r="U505" s="39" t="str">
        <f t="shared" si="300"/>
        <v> </v>
      </c>
      <c r="V505" s="39" t="str">
        <f t="shared" si="301"/>
        <v> </v>
      </c>
      <c r="AI505" t="str">
        <f t="array" ref="AI505">IFERROR(INDEX($L$2:$L$789,SMALL(IF(ISNUMBER(FIND($AH$2,$C$2:$C$789)),ROW($2:$789)-1,4^8),ROW(A504)))&amp;"","")</f>
        <v/>
      </c>
      <c r="AT505" t="str">
        <f t="shared" si="302"/>
        <v>494649.1271,3355456.085</v>
      </c>
      <c r="AV505">
        <f t="shared" si="316"/>
        <v>444.517</v>
      </c>
      <c r="AX505" t="str">
        <f t="shared" si="303"/>
        <v>pl 41964.1588525129,279 41964.1588525129,400 </v>
      </c>
      <c r="AY505" t="str">
        <f t="shared" si="304"/>
        <v>41964.1588525129,440.267</v>
      </c>
      <c r="AZ505" t="str">
        <f t="shared" si="305"/>
        <v>41964.1588525129,443.814</v>
      </c>
      <c r="BA505" t="str">
        <f t="shared" si="306"/>
        <v>41964.1588525129,444.517</v>
      </c>
      <c r="BB505" t="str">
        <f t="shared" si="307"/>
        <v>-text 41963.1588525129,337 3.5 90 440.267 </v>
      </c>
      <c r="BC505" t="str">
        <f t="shared" si="308"/>
        <v>-text 41963.1588525129,320 3.5 90 444.517 </v>
      </c>
      <c r="BD505" t="str">
        <f t="shared" si="309"/>
        <v>-text 41963.1588525129,306 3.5 90 443.814 </v>
      </c>
      <c r="BE505" t="str">
        <f t="shared" si="310"/>
        <v>-text 41963.1588525129,352 3.5 90 ZG83+928.318 </v>
      </c>
      <c r="BF505" t="str">
        <f t="shared" si="311"/>
        <v>-text 41963.1588525129,280 3.5 90 龚家湾1#渡槽进 </v>
      </c>
      <c r="BG505" t="str">
        <f t="shared" si="312"/>
        <v/>
      </c>
      <c r="BH505" t="str">
        <f t="shared" si="313"/>
        <v> </v>
      </c>
      <c r="BI505" t="str">
        <f t="shared" si="314"/>
        <v> </v>
      </c>
      <c r="BJ505" t="str">
        <f t="shared" si="315"/>
        <v> </v>
      </c>
    </row>
    <row r="506" spans="1:62">
      <c r="A506">
        <v>2</v>
      </c>
      <c r="B506">
        <v>505</v>
      </c>
      <c r="C506" t="s">
        <v>483</v>
      </c>
      <c r="D506">
        <v>494686.1859</v>
      </c>
      <c r="E506">
        <v>3355383.5304</v>
      </c>
      <c r="F506">
        <v>80</v>
      </c>
      <c r="G506">
        <f t="shared" si="297"/>
        <v>22.848</v>
      </c>
      <c r="H506">
        <f t="shared" si="267"/>
        <v>16.1657052422193</v>
      </c>
      <c r="I506">
        <f t="shared" si="268"/>
        <v>31.9018261996532</v>
      </c>
      <c r="J506">
        <f t="shared" si="293"/>
        <v>81.4710048949177</v>
      </c>
      <c r="K506" s="40">
        <f t="shared" si="294"/>
        <v>83993.6230046785</v>
      </c>
      <c r="L506" s="40">
        <f t="shared" si="295"/>
        <v>84009.5739177783</v>
      </c>
      <c r="M506" s="40">
        <f t="shared" si="296"/>
        <v>84025.5248308781</v>
      </c>
      <c r="N506">
        <v>443.79</v>
      </c>
      <c r="O506">
        <v>440.243</v>
      </c>
      <c r="P506">
        <v>0.002</v>
      </c>
      <c r="Q506" s="39">
        <f t="shared" si="291"/>
        <v>494678.832588988</v>
      </c>
      <c r="R506" s="39">
        <f t="shared" si="292"/>
        <v>3355397.92688718</v>
      </c>
      <c r="S506" s="39">
        <f t="shared" si="298"/>
        <v>494684.628774535</v>
      </c>
      <c r="T506" s="39">
        <f t="shared" si="299"/>
        <v>3355383.09467971</v>
      </c>
      <c r="U506" s="39">
        <f t="shared" si="300"/>
        <v>494687.372407776</v>
      </c>
      <c r="V506" s="39">
        <f t="shared" si="301"/>
        <v>3355367.40829638</v>
      </c>
      <c r="AI506" t="str">
        <f t="array" ref="AI506">IFERROR(INDEX($L$2:$L$789,SMALL(IF(ISNUMBER(FIND($AH$2,$C$2:$C$789)),ROW($2:$789)-1,4^8),ROW(A505)))&amp;"","")</f>
        <v/>
      </c>
      <c r="AS506" t="str">
        <f>"-text"&amp;" "&amp;D506&amp;","&amp;E506&amp;" "&amp;"10"&amp;" "&amp;"0"&amp;" "&amp;C506</f>
        <v>-text 494686.1859,3355383.5304 10 0 IP268</v>
      </c>
      <c r="AT506" t="str">
        <f t="shared" si="302"/>
        <v>494686.1859,3355383.5304</v>
      </c>
      <c r="AV506">
        <f t="shared" si="316"/>
        <v>444.493</v>
      </c>
      <c r="AX506" t="str">
        <f t="shared" si="303"/>
        <v>pl 42004.7869588891,279 42004.7869588891,400 </v>
      </c>
      <c r="AY506" t="str">
        <f t="shared" si="304"/>
        <v>42004.7869588891,440.243</v>
      </c>
      <c r="AZ506" t="str">
        <f t="shared" si="305"/>
        <v>42004.7869588891,443.79</v>
      </c>
      <c r="BA506" t="str">
        <f t="shared" si="306"/>
        <v>42004.7869588891,444.493</v>
      </c>
      <c r="BB506" t="str">
        <f t="shared" si="307"/>
        <v>-text 42003.7869588891,337 3.5 90 440.243 </v>
      </c>
      <c r="BC506" t="str">
        <f t="shared" si="308"/>
        <v>-text 42003.7869588891,320 3.5 90 444.493 </v>
      </c>
      <c r="BD506" t="str">
        <f t="shared" si="309"/>
        <v>-text 42003.7869588891,306 3.5 90 443.790 </v>
      </c>
      <c r="BE506" t="str">
        <f t="shared" si="310"/>
        <v>-text 42003.7869588891,352 3.5 90 ZG84+009.574 </v>
      </c>
      <c r="BF506" t="str">
        <f t="shared" si="311"/>
        <v>-text 42003.7869588891,280 3.5 90 IP268 </v>
      </c>
      <c r="BG506" t="str">
        <f t="shared" si="312"/>
        <v>-TEXT 42005.7869588891,300 3.5 0 R=80</v>
      </c>
      <c r="BH506" t="str">
        <f t="shared" si="313"/>
        <v>-TEXT 42005.7869588891,295 3.5 0 α=22.85° </v>
      </c>
      <c r="BI506" t="str">
        <f t="shared" si="314"/>
        <v>-TEXT 42005.7869588891,290 3.5 0 T=16.17 </v>
      </c>
      <c r="BJ506" t="str">
        <f t="shared" si="315"/>
        <v>-TEXT 42005.7869588891,285 3.5 0 S=31.90 </v>
      </c>
    </row>
    <row r="507" spans="1:62">
      <c r="A507">
        <v>2</v>
      </c>
      <c r="B507">
        <v>506</v>
      </c>
      <c r="C507" t="s">
        <v>484</v>
      </c>
      <c r="D507">
        <v>494698.9884</v>
      </c>
      <c r="E507">
        <v>3355209.5718</v>
      </c>
      <c r="F507">
        <v>80</v>
      </c>
      <c r="G507">
        <f t="shared" si="297"/>
        <v>28.242</v>
      </c>
      <c r="H507">
        <f t="shared" si="267"/>
        <v>20.1257854562622</v>
      </c>
      <c r="I507">
        <f t="shared" si="268"/>
        <v>39.4332709878591</v>
      </c>
      <c r="J507">
        <f t="shared" si="293"/>
        <v>174.429064436562</v>
      </c>
      <c r="K507" s="40">
        <f t="shared" si="294"/>
        <v>84163.6624046162</v>
      </c>
      <c r="L507" s="40">
        <f t="shared" si="295"/>
        <v>84183.3790401101</v>
      </c>
      <c r="M507" s="40">
        <f t="shared" si="296"/>
        <v>84203.0956756041</v>
      </c>
      <c r="N507">
        <v>443.738</v>
      </c>
      <c r="O507">
        <v>440.191</v>
      </c>
      <c r="P507">
        <v>0.002</v>
      </c>
      <c r="Q507" s="39">
        <f t="shared" si="291"/>
        <v>494697.511235806</v>
      </c>
      <c r="R507" s="39">
        <f t="shared" si="292"/>
        <v>3355229.64330284</v>
      </c>
      <c r="S507" s="39">
        <f t="shared" si="298"/>
        <v>494701.354663123</v>
      </c>
      <c r="T507" s="39">
        <f t="shared" si="299"/>
        <v>3355210.35575578</v>
      </c>
      <c r="U507" s="39">
        <f t="shared" si="300"/>
        <v>494709.787612336</v>
      </c>
      <c r="V507" s="39">
        <f t="shared" si="301"/>
        <v>3355192.58874217</v>
      </c>
      <c r="AI507" t="str">
        <f t="array" ref="AI507">IFERROR(INDEX($L$2:$L$789,SMALL(IF(ISNUMBER(FIND($AH$2,$C$2:$C$789)),ROW($2:$789)-1,4^8),ROW(A506)))&amp;"","")</f>
        <v/>
      </c>
      <c r="AS507" t="str">
        <f>"-text"&amp;" "&amp;D507&amp;","&amp;E507&amp;" "&amp;"10"&amp;" "&amp;"0"&amp;" "&amp;C507</f>
        <v>-text 494698.9884,3355209.5718 10 0 IP269</v>
      </c>
      <c r="AT507" t="str">
        <f t="shared" si="302"/>
        <v>494698.9884,3355209.5718</v>
      </c>
      <c r="AV507">
        <f t="shared" si="316"/>
        <v>444.441</v>
      </c>
      <c r="AX507" t="str">
        <f t="shared" si="303"/>
        <v>pl 42091.6895200551,279 42091.6895200551,400 </v>
      </c>
      <c r="AY507" t="str">
        <f t="shared" si="304"/>
        <v>42091.6895200551,440.191</v>
      </c>
      <c r="AZ507" t="str">
        <f t="shared" si="305"/>
        <v>42091.6895200551,443.738</v>
      </c>
      <c r="BA507" t="str">
        <f t="shared" si="306"/>
        <v>42091.6895200551,444.441</v>
      </c>
      <c r="BB507" t="str">
        <f t="shared" si="307"/>
        <v>-text 42090.6895200551,337 3.5 90 440.191 </v>
      </c>
      <c r="BC507" t="str">
        <f t="shared" si="308"/>
        <v>-text 42090.6895200551,320 3.5 90 444.441 </v>
      </c>
      <c r="BD507" t="str">
        <f t="shared" si="309"/>
        <v>-text 42090.6895200551,306 3.5 90 443.738 </v>
      </c>
      <c r="BE507" t="str">
        <f t="shared" si="310"/>
        <v>-text 42090.6895200551,352 3.5 90 ZG84+183.379 </v>
      </c>
      <c r="BF507" t="str">
        <f t="shared" si="311"/>
        <v>-text 42090.6895200551,280 3.5 90 IP269 </v>
      </c>
      <c r="BG507" t="str">
        <f t="shared" si="312"/>
        <v>-TEXT 42092.6895200551,300 3.5 0 R=80</v>
      </c>
      <c r="BH507" t="str">
        <f t="shared" si="313"/>
        <v>-TEXT 42092.6895200551,295 3.5 0 α=28.24° </v>
      </c>
      <c r="BI507" t="str">
        <f t="shared" si="314"/>
        <v>-TEXT 42092.6895200551,290 3.5 0 T=20.13 </v>
      </c>
      <c r="BJ507" t="str">
        <f t="shared" si="315"/>
        <v>-TEXT 42092.6895200551,285 3.5 0 S=39.43 </v>
      </c>
    </row>
    <row r="508" spans="1:62">
      <c r="A508">
        <v>2</v>
      </c>
      <c r="B508">
        <v>507</v>
      </c>
      <c r="C508" t="s">
        <v>485</v>
      </c>
      <c r="D508">
        <v>494740.6174</v>
      </c>
      <c r="E508">
        <v>3355144.1052</v>
      </c>
      <c r="F508">
        <v>80</v>
      </c>
      <c r="G508">
        <f t="shared" si="297"/>
        <v>37.016</v>
      </c>
      <c r="H508">
        <f t="shared" si="267"/>
        <v>26.7800467862519</v>
      </c>
      <c r="I508">
        <f t="shared" si="268"/>
        <v>51.6840860734577</v>
      </c>
      <c r="J508">
        <f t="shared" si="293"/>
        <v>77.5812435872983</v>
      </c>
      <c r="K508" s="40">
        <f t="shared" si="294"/>
        <v>84233.7710869488</v>
      </c>
      <c r="L508" s="40">
        <f t="shared" si="295"/>
        <v>84259.6131299856</v>
      </c>
      <c r="M508" s="40">
        <f t="shared" si="296"/>
        <v>84285.4551730223</v>
      </c>
      <c r="N508">
        <v>443.714</v>
      </c>
      <c r="O508">
        <v>440.167</v>
      </c>
      <c r="P508">
        <v>0.003</v>
      </c>
      <c r="Q508" s="39">
        <f t="shared" si="291"/>
        <v>494726.247604981</v>
      </c>
      <c r="R508" s="39">
        <f t="shared" si="292"/>
        <v>3355166.70342774</v>
      </c>
      <c r="S508" s="39">
        <f t="shared" si="298"/>
        <v>494743.365735382</v>
      </c>
      <c r="T508" s="39">
        <f t="shared" si="299"/>
        <v>3355147.49422838</v>
      </c>
      <c r="U508" s="39">
        <f t="shared" si="300"/>
        <v>494765.696245118</v>
      </c>
      <c r="V508" s="39">
        <f t="shared" si="301"/>
        <v>3355134.71252022</v>
      </c>
      <c r="AI508" t="str">
        <f t="array" ref="AI508">IFERROR(INDEX($L$2:$L$789,SMALL(IF(ISNUMBER(FIND($AH$2,$C$2:$C$789)),ROW($2:$789)-1,4^8),ROW(A507)))&amp;"","")</f>
        <v/>
      </c>
      <c r="AS508" t="str">
        <f>"-text"&amp;" "&amp;D508&amp;","&amp;E508&amp;" "&amp;"10"&amp;" "&amp;"0"&amp;" "&amp;C508</f>
        <v>-text 494740.6174,3355144.1052 10 0 IP270</v>
      </c>
      <c r="AT508" t="str">
        <f t="shared" si="302"/>
        <v>494740.6174,3355144.1052</v>
      </c>
      <c r="AV508">
        <f t="shared" si="316"/>
        <v>444.417</v>
      </c>
      <c r="AX508" t="str">
        <f t="shared" si="303"/>
        <v>pl 42129.8065649928,279 42129.8065649928,400 </v>
      </c>
      <c r="AY508" t="str">
        <f t="shared" si="304"/>
        <v>42129.8065649928,440.167</v>
      </c>
      <c r="AZ508" t="str">
        <f t="shared" si="305"/>
        <v>42129.8065649928,443.714</v>
      </c>
      <c r="BA508" t="str">
        <f t="shared" si="306"/>
        <v>42129.8065649928,444.417</v>
      </c>
      <c r="BB508" t="str">
        <f t="shared" si="307"/>
        <v>-text 42128.8065649928,337 3.5 90 440.167 </v>
      </c>
      <c r="BC508" t="str">
        <f t="shared" si="308"/>
        <v>-text 42128.8065649928,320 3.5 90 444.417 </v>
      </c>
      <c r="BD508" t="str">
        <f t="shared" si="309"/>
        <v>-text 42128.8065649928,306 3.5 90 443.714 </v>
      </c>
      <c r="BE508" t="str">
        <f t="shared" si="310"/>
        <v>-text 42128.8065649928,352 3.5 90 ZG84+259.613 </v>
      </c>
      <c r="BF508" t="str">
        <f t="shared" si="311"/>
        <v>-text 42128.8065649928,280 3.5 90 IP270 </v>
      </c>
      <c r="BG508" t="str">
        <f t="shared" si="312"/>
        <v>-TEXT 42130.8065649928,300 3.5 0 R=80</v>
      </c>
      <c r="BH508" t="str">
        <f t="shared" si="313"/>
        <v>-TEXT 42130.8065649928,295 3.5 0 α=37.02° </v>
      </c>
      <c r="BI508" t="str">
        <f t="shared" si="314"/>
        <v>-TEXT 42130.8065649928,290 3.5 0 T=26.78 </v>
      </c>
      <c r="BJ508" t="str">
        <f t="shared" si="315"/>
        <v>-TEXT 42130.8065649928,285 3.5 0 S=51.68 </v>
      </c>
    </row>
    <row r="509" spans="1:62">
      <c r="A509">
        <v>2</v>
      </c>
      <c r="B509">
        <v>508</v>
      </c>
      <c r="C509" t="str">
        <f>Sheet1!C466</f>
        <v>龚家湾1#渡槽出</v>
      </c>
      <c r="D509">
        <v>494783.9463</v>
      </c>
      <c r="E509">
        <v>3355127.8774</v>
      </c>
      <c r="G509">
        <f t="shared" si="297"/>
        <v>0</v>
      </c>
      <c r="H509">
        <f t="shared" si="267"/>
        <v>0</v>
      </c>
      <c r="I509">
        <f t="shared" si="268"/>
        <v>0</v>
      </c>
      <c r="J509">
        <f t="shared" si="293"/>
        <v>46.2680782835392</v>
      </c>
      <c r="K509" s="40">
        <f t="shared" si="294"/>
        <v>84304.9432045196</v>
      </c>
      <c r="L509" s="40">
        <f t="shared" si="295"/>
        <v>84304.9432045196</v>
      </c>
      <c r="M509" s="40">
        <f t="shared" si="296"/>
        <v>84304.9432045196</v>
      </c>
      <c r="N509">
        <v>443.7</v>
      </c>
      <c r="O509">
        <v>440.153</v>
      </c>
      <c r="P509">
        <v>0</v>
      </c>
      <c r="Q509" s="39">
        <f t="shared" si="291"/>
        <v>494783.9463</v>
      </c>
      <c r="R509" s="39">
        <f t="shared" si="292"/>
        <v>3355127.8774</v>
      </c>
      <c r="S509" s="39" t="str">
        <f t="shared" si="298"/>
        <v> </v>
      </c>
      <c r="T509" s="39" t="str">
        <f t="shared" si="299"/>
        <v> </v>
      </c>
      <c r="U509" s="39" t="str">
        <f t="shared" si="300"/>
        <v> </v>
      </c>
      <c r="V509" s="39" t="str">
        <f t="shared" si="301"/>
        <v> </v>
      </c>
      <c r="AI509" t="str">
        <f t="array" ref="AI509">IFERROR(INDEX($L$2:$L$789,SMALL(IF(ISNUMBER(FIND($AH$2,$C$2:$C$789)),ROW($2:$789)-1,4^8),ROW(A508)))&amp;"","")</f>
        <v/>
      </c>
      <c r="AT509" t="str">
        <f t="shared" si="302"/>
        <v>494783.9463,3355127.8774</v>
      </c>
      <c r="AV509">
        <f t="shared" si="316"/>
        <v>444.403</v>
      </c>
      <c r="AX509" t="str">
        <f t="shared" si="303"/>
        <v>pl 42152.4716022598,279 42152.4716022598,400 </v>
      </c>
      <c r="AY509" t="str">
        <f t="shared" si="304"/>
        <v>42152.4716022598,440.153</v>
      </c>
      <c r="AZ509" t="str">
        <f t="shared" si="305"/>
        <v>42152.4716022598,443.7</v>
      </c>
      <c r="BA509" t="str">
        <f t="shared" si="306"/>
        <v>42152.4716022598,444.403</v>
      </c>
      <c r="BB509" t="str">
        <f t="shared" si="307"/>
        <v>-text 42151.4716022598,337 3.5 90 440.153 </v>
      </c>
      <c r="BC509" t="str">
        <f t="shared" si="308"/>
        <v>-text 42151.4716022598,320 3.5 90 444.403 </v>
      </c>
      <c r="BD509" t="str">
        <f t="shared" si="309"/>
        <v>-text 42151.4716022598,306 3.5 90 443.700 </v>
      </c>
      <c r="BE509" t="str">
        <f t="shared" si="310"/>
        <v>-text 42151.4716022598,352 3.5 90 ZG84+304.943 </v>
      </c>
      <c r="BF509" t="str">
        <f t="shared" si="311"/>
        <v>-text 42151.4716022598,280 3.5 90 龚家湾1#渡槽出 </v>
      </c>
      <c r="BG509" t="str">
        <f t="shared" si="312"/>
        <v/>
      </c>
      <c r="BH509" t="str">
        <f t="shared" si="313"/>
        <v> </v>
      </c>
      <c r="BI509" t="str">
        <f t="shared" si="314"/>
        <v> </v>
      </c>
      <c r="BJ509" t="str">
        <f t="shared" si="315"/>
        <v> </v>
      </c>
    </row>
    <row r="510" spans="1:62">
      <c r="A510">
        <v>0</v>
      </c>
      <c r="B510">
        <v>509</v>
      </c>
      <c r="C510" t="s">
        <v>487</v>
      </c>
      <c r="D510">
        <v>494818.8687</v>
      </c>
      <c r="E510">
        <v>3355114.7981</v>
      </c>
      <c r="F510">
        <v>40</v>
      </c>
      <c r="G510">
        <f t="shared" si="297"/>
        <v>42.374</v>
      </c>
      <c r="H510">
        <f t="shared" si="267"/>
        <v>15.5045373017203</v>
      </c>
      <c r="I510">
        <f t="shared" si="268"/>
        <v>29.5826326896031</v>
      </c>
      <c r="J510">
        <f t="shared" si="293"/>
        <v>37.2913141395873</v>
      </c>
      <c r="K510" s="40">
        <f t="shared" si="294"/>
        <v>84326.7299813574</v>
      </c>
      <c r="L510" s="40">
        <f t="shared" si="295"/>
        <v>84341.5212977022</v>
      </c>
      <c r="M510" s="40">
        <f t="shared" si="296"/>
        <v>84356.312614047</v>
      </c>
      <c r="N510">
        <v>443.716</v>
      </c>
      <c r="O510">
        <v>439.801</v>
      </c>
      <c r="P510">
        <v>0.001</v>
      </c>
      <c r="Q510" s="39">
        <f t="shared" si="291"/>
        <v>494804.349081532</v>
      </c>
      <c r="R510" s="39">
        <f t="shared" si="292"/>
        <v>3355120.23605518</v>
      </c>
      <c r="S510" s="39">
        <f t="shared" si="298"/>
        <v>494816.938952132</v>
      </c>
      <c r="T510" s="39">
        <f t="shared" si="299"/>
        <v>3355112.6336599</v>
      </c>
      <c r="U510" s="39">
        <f t="shared" si="300"/>
        <v>494825.930206419</v>
      </c>
      <c r="V510" s="39">
        <f t="shared" si="301"/>
        <v>3355100.99499151</v>
      </c>
      <c r="AI510" t="str">
        <f t="array" ref="AI510">IFERROR(INDEX($L$2:$L$789,SMALL(IF(ISNUMBER(FIND($AH$2,$C$2:$C$789)),ROW($2:$789)-1,4^8),ROW(A509)))&amp;"","")</f>
        <v/>
      </c>
      <c r="AS510" t="str">
        <f>"-text"&amp;" "&amp;D510&amp;","&amp;E510&amp;" "&amp;"10"&amp;" "&amp;"0"&amp;" "&amp;C510</f>
        <v>-text 494818.8687,3355114.7981 10 0 IP271</v>
      </c>
      <c r="AT510" t="str">
        <f t="shared" si="302"/>
        <v>494818.8687,3355114.7981</v>
      </c>
      <c r="AV510">
        <f t="shared" si="316"/>
        <v>445.201</v>
      </c>
      <c r="AX510" t="str">
        <f t="shared" si="303"/>
        <v>pl 42170.7606488511,279 42170.7606488511,400 </v>
      </c>
      <c r="AY510" t="str">
        <f t="shared" si="304"/>
        <v>42170.7606488511,439.801</v>
      </c>
      <c r="AZ510" t="str">
        <f t="shared" si="305"/>
        <v>42170.7606488511,443.716</v>
      </c>
      <c r="BA510" t="str">
        <f t="shared" si="306"/>
        <v>42170.7606488511,445.201</v>
      </c>
      <c r="BB510" t="str">
        <f t="shared" si="307"/>
        <v>-text 42169.7606488511,337 3.5 90 439.801 </v>
      </c>
      <c r="BC510" t="str">
        <f t="shared" si="308"/>
        <v>-text 42169.7606488511,320 3.5 90 445.201 </v>
      </c>
      <c r="BD510" t="str">
        <f t="shared" si="309"/>
        <v>-text 42169.7606488511,306 3.5 90 443.716 </v>
      </c>
      <c r="BE510" t="str">
        <f t="shared" si="310"/>
        <v>-text 42169.7606488511,352 3.5 90 ZG84+341.521 </v>
      </c>
      <c r="BF510" t="str">
        <f t="shared" si="311"/>
        <v>-text 42169.7606488511,280 3.5 90 IP271 </v>
      </c>
      <c r="BG510" t="str">
        <f t="shared" si="312"/>
        <v>-TEXT 42171.7606488511,300 3.5 0 R=40</v>
      </c>
      <c r="BH510" t="str">
        <f t="shared" si="313"/>
        <v>-TEXT 42171.7606488511,295 3.5 0 α=42.37° </v>
      </c>
      <c r="BI510" t="str">
        <f t="shared" si="314"/>
        <v>-TEXT 42171.7606488511,290 3.5 0 T=15.50 </v>
      </c>
      <c r="BJ510" t="str">
        <f t="shared" si="315"/>
        <v>-TEXT 42171.7606488511,285 3.5 0 S=29.58 </v>
      </c>
    </row>
    <row r="511" spans="1:62">
      <c r="A511">
        <v>0</v>
      </c>
      <c r="B511">
        <v>510</v>
      </c>
      <c r="C511" t="s">
        <v>488</v>
      </c>
      <c r="D511">
        <v>494861.8464</v>
      </c>
      <c r="E511">
        <v>3355030.7897</v>
      </c>
      <c r="F511">
        <v>60</v>
      </c>
      <c r="G511">
        <f t="shared" si="297"/>
        <v>16.102</v>
      </c>
      <c r="H511">
        <f t="shared" si="267"/>
        <v>8.48691886749714</v>
      </c>
      <c r="I511">
        <f t="shared" si="268"/>
        <v>16.8619749693676</v>
      </c>
      <c r="J511">
        <f t="shared" si="293"/>
        <v>94.3636262963579</v>
      </c>
      <c r="K511" s="40">
        <f t="shared" si="294"/>
        <v>84426.6847841742</v>
      </c>
      <c r="L511" s="40">
        <f t="shared" si="295"/>
        <v>84435.1157716588</v>
      </c>
      <c r="M511" s="40">
        <f t="shared" si="296"/>
        <v>84443.5467591435</v>
      </c>
      <c r="N511">
        <v>443.698</v>
      </c>
      <c r="O511">
        <v>439.783</v>
      </c>
      <c r="P511">
        <v>0.001</v>
      </c>
      <c r="Q511" s="39">
        <f t="shared" si="291"/>
        <v>494857.981052012</v>
      </c>
      <c r="R511" s="39">
        <f t="shared" si="292"/>
        <v>3355038.3452858</v>
      </c>
      <c r="S511" s="39">
        <f t="shared" si="298"/>
        <v>494861.281839387</v>
      </c>
      <c r="T511" s="39">
        <f t="shared" si="299"/>
        <v>3355030.59483289</v>
      </c>
      <c r="U511" s="39">
        <f t="shared" si="300"/>
        <v>494863.464634385</v>
      </c>
      <c r="V511" s="39">
        <f t="shared" si="301"/>
        <v>3355022.45848704</v>
      </c>
      <c r="AI511" t="str">
        <f t="array" ref="AI511">IFERROR(INDEX($L$2:$L$789,SMALL(IF(ISNUMBER(FIND($AH$2,$C$2:$C$789)),ROW($2:$789)-1,4^8),ROW(A510)))&amp;"","")</f>
        <v/>
      </c>
      <c r="AS511" t="str">
        <f>"-text"&amp;" "&amp;D511&amp;","&amp;E511&amp;" "&amp;"10"&amp;" "&amp;"0"&amp;" "&amp;C511</f>
        <v>-text 494861.8464,3355030.7897 10 0 IP272</v>
      </c>
      <c r="AT511" t="str">
        <f t="shared" si="302"/>
        <v>494861.8464,3355030.7897</v>
      </c>
      <c r="AV511">
        <f t="shared" si="316"/>
        <v>445.183</v>
      </c>
      <c r="AX511" t="str">
        <f t="shared" si="303"/>
        <v>pl 42217.5578858294,279 42217.5578858294,400 </v>
      </c>
      <c r="AY511" t="str">
        <f t="shared" si="304"/>
        <v>42217.5578858294,439.783</v>
      </c>
      <c r="AZ511" t="str">
        <f t="shared" si="305"/>
        <v>42217.5578858294,443.698</v>
      </c>
      <c r="BA511" t="str">
        <f t="shared" si="306"/>
        <v>42217.5578858294,445.183</v>
      </c>
      <c r="BB511" t="str">
        <f t="shared" si="307"/>
        <v>-text 42216.5578858294,337 3.5 90 439.783 </v>
      </c>
      <c r="BC511" t="str">
        <f t="shared" si="308"/>
        <v>-text 42216.5578858294,320 3.5 90 445.183 </v>
      </c>
      <c r="BD511" t="str">
        <f t="shared" si="309"/>
        <v>-text 42216.5578858294,306 3.5 90 443.698 </v>
      </c>
      <c r="BE511" t="str">
        <f t="shared" si="310"/>
        <v>-text 42216.5578858294,352 3.5 90 ZG84+435.116 </v>
      </c>
      <c r="BF511" t="str">
        <f t="shared" si="311"/>
        <v>-text 42216.5578858294,280 3.5 90 IP272 </v>
      </c>
      <c r="BG511" t="str">
        <f t="shared" si="312"/>
        <v>-TEXT 42218.5578858294,300 3.5 0 R=60</v>
      </c>
      <c r="BH511" t="str">
        <f t="shared" si="313"/>
        <v>-TEXT 42218.5578858294,295 3.5 0 α=16.10° </v>
      </c>
      <c r="BI511" t="str">
        <f t="shared" si="314"/>
        <v>-TEXT 42218.5578858294,290 3.5 0 T=8.49 </v>
      </c>
      <c r="BJ511" t="str">
        <f t="shared" si="315"/>
        <v>-TEXT 42218.5578858294,285 3.5 0 S=16.86 </v>
      </c>
    </row>
    <row r="512" spans="1:62">
      <c r="A512">
        <v>2</v>
      </c>
      <c r="B512">
        <v>511</v>
      </c>
      <c r="C512" t="str">
        <f>Sheet1!C469</f>
        <v>龙家湾渡槽进</v>
      </c>
      <c r="D512">
        <v>494866.5405</v>
      </c>
      <c r="E512">
        <v>3355006.6229</v>
      </c>
      <c r="G512">
        <f t="shared" ref="G512:G575" si="317">ROUND(IF((2*SQRT((D511-D512)^2+(E511-E512)^2)*SQRT((D513-D512)^2+(E513-E512)^2))=0,0,180-ACOS(((D511-D512)^2+(E511-E512)^2+(D513-D512)^2+(E513-E512)^2-(D513-D511)^2-(E513-E511)^2)/(2*SQRT((D511-D512)^2+(E511-E512)^2)*SQRT((D513-D512)^2+(E513-E512)^2)))/PI()*180),3)</f>
        <v>0</v>
      </c>
      <c r="H512">
        <f t="shared" ref="H512:H575" si="318">F512*TAN(PI()/180*G512/2)</f>
        <v>0</v>
      </c>
      <c r="I512">
        <f t="shared" ref="I512:I575" si="319">F512*G512/180*PI()</f>
        <v>0</v>
      </c>
      <c r="J512">
        <f t="shared" ref="J512:J575" si="320">SQRT((D512-D511)^2+(E512-E511)^2)</f>
        <v>24.6184645553245</v>
      </c>
      <c r="K512" s="40">
        <f t="shared" ref="K512:K575" si="321">L512-I512/2</f>
        <v>84459.6783048314</v>
      </c>
      <c r="L512" s="40">
        <f t="shared" ref="L512:L575" si="322">L511+J512-H512+I512/2+I511/2-H511</f>
        <v>84459.6783048314</v>
      </c>
      <c r="M512" s="40">
        <f t="shared" ref="M512:M575" si="323">K512+I512</f>
        <v>84459.6783048314</v>
      </c>
      <c r="N512">
        <v>443.65</v>
      </c>
      <c r="O512">
        <v>440.103</v>
      </c>
      <c r="P512">
        <v>0</v>
      </c>
      <c r="Q512" s="39">
        <f t="shared" ref="Q512:Q575" si="324">IF(G512=0,D512,D511+(D512-D511)/J512*(J512-H512))</f>
        <v>494866.5405</v>
      </c>
      <c r="R512" s="39">
        <f t="shared" ref="R512:R575" si="325">IF(G512=0,E512,E511+(E512-E511)/J512*(J512-H512))</f>
        <v>3355006.6229</v>
      </c>
      <c r="S512" s="39" t="str">
        <f t="shared" ref="S512:S575" si="326">IF(G512=0," ",(Q512+U512)/2+(D512-(Q512+U512)/2)/(H512*SIN(G512/360*PI()))*(F512-F512*COS(G512/360*PI())))</f>
        <v> </v>
      </c>
      <c r="T512" s="39" t="str">
        <f t="shared" ref="T512:T575" si="327">IF(G512=0," ",(R512+V512)/2+(E512-(R512+V512)/2)/(H512*SIN(G512/360*PI()))*(F512-F512*COS(G512/360*PI())))</f>
        <v> </v>
      </c>
      <c r="U512" s="39" t="str">
        <f t="shared" ref="U512:U575" si="328">IF(G512=0," ",D512+(D513-D512)/J513*H512)</f>
        <v> </v>
      </c>
      <c r="V512" s="39" t="str">
        <f t="shared" ref="V512:V575" si="329">IF(G512=0," ",E512+(E513-E512)/J513*H512)</f>
        <v> </v>
      </c>
      <c r="AI512" t="str">
        <f t="array" ref="AI512">IFERROR(INDEX($L$2:$L$789,SMALL(IF(ISNUMBER(FIND($AH$2,$C$2:$C$789)),ROW($2:$789)-1,4^8),ROW(A511)))&amp;"","")</f>
        <v/>
      </c>
      <c r="AT512" t="str">
        <f t="shared" si="302"/>
        <v>494866.5405,3355006.6229</v>
      </c>
      <c r="AV512">
        <f t="shared" si="316"/>
        <v>444.353</v>
      </c>
      <c r="AX512" t="str">
        <f t="shared" si="303"/>
        <v>pl 42229.8391524157,279 42229.8391524157,400 </v>
      </c>
      <c r="AY512" t="str">
        <f t="shared" si="304"/>
        <v>42229.8391524157,440.103</v>
      </c>
      <c r="AZ512" t="str">
        <f t="shared" si="305"/>
        <v>42229.8391524157,443.65</v>
      </c>
      <c r="BA512" t="str">
        <f t="shared" si="306"/>
        <v>42229.8391524157,444.353</v>
      </c>
      <c r="BB512" t="str">
        <f t="shared" si="307"/>
        <v>-text 42228.8391524157,337 3.5 90 440.103 </v>
      </c>
      <c r="BC512" t="str">
        <f t="shared" si="308"/>
        <v>-text 42228.8391524157,320 3.5 90 444.353 </v>
      </c>
      <c r="BD512" t="str">
        <f t="shared" si="309"/>
        <v>-text 42228.8391524157,306 3.5 90 443.650 </v>
      </c>
      <c r="BE512" t="str">
        <f t="shared" si="310"/>
        <v>-text 42228.8391524157,352 3.5 90 ZG84+459.678 </v>
      </c>
      <c r="BF512" t="str">
        <f t="shared" si="311"/>
        <v>-text 42228.8391524157,280 3.5 90 龙家湾渡槽进 </v>
      </c>
      <c r="BG512" t="str">
        <f t="shared" si="312"/>
        <v/>
      </c>
      <c r="BH512" t="str">
        <f t="shared" si="313"/>
        <v> </v>
      </c>
      <c r="BI512" t="str">
        <f t="shared" si="314"/>
        <v> </v>
      </c>
      <c r="BJ512" t="str">
        <f t="shared" si="315"/>
        <v> </v>
      </c>
    </row>
    <row r="513" spans="1:62">
      <c r="A513">
        <v>2</v>
      </c>
      <c r="B513">
        <v>512</v>
      </c>
      <c r="C513" t="str">
        <f>Sheet1!C470</f>
        <v>龙家湾渡槽出</v>
      </c>
      <c r="D513">
        <v>494955.7773</v>
      </c>
      <c r="E513">
        <v>3354547.2093</v>
      </c>
      <c r="G513">
        <f t="shared" si="317"/>
        <v>0</v>
      </c>
      <c r="H513">
        <f t="shared" si="318"/>
        <v>0</v>
      </c>
      <c r="I513">
        <f t="shared" si="319"/>
        <v>0</v>
      </c>
      <c r="J513">
        <f t="shared" si="320"/>
        <v>468.000066601336</v>
      </c>
      <c r="K513" s="40">
        <f t="shared" si="321"/>
        <v>84927.6783714327</v>
      </c>
      <c r="L513" s="40">
        <f t="shared" si="322"/>
        <v>84927.6783714327</v>
      </c>
      <c r="M513" s="40">
        <f t="shared" si="323"/>
        <v>84927.6783714327</v>
      </c>
      <c r="N513">
        <v>443.516</v>
      </c>
      <c r="O513">
        <v>439.969</v>
      </c>
      <c r="P513">
        <v>0</v>
      </c>
      <c r="Q513" s="39">
        <f t="shared" si="324"/>
        <v>494955.7773</v>
      </c>
      <c r="R513" s="39">
        <f t="shared" si="325"/>
        <v>3354547.2093</v>
      </c>
      <c r="S513" s="39" t="str">
        <f t="shared" si="326"/>
        <v> </v>
      </c>
      <c r="T513" s="39" t="str">
        <f t="shared" si="327"/>
        <v> </v>
      </c>
      <c r="U513" s="39" t="str">
        <f t="shared" si="328"/>
        <v> </v>
      </c>
      <c r="V513" s="39" t="str">
        <f t="shared" si="329"/>
        <v> </v>
      </c>
      <c r="AI513" t="str">
        <f t="array" ref="AI513">IFERROR(INDEX($L$2:$L$789,SMALL(IF(ISNUMBER(FIND($AH$2,$C$2:$C$789)),ROW($2:$789)-1,4^8),ROW(A512)))&amp;"","")</f>
        <v/>
      </c>
      <c r="AT513" t="str">
        <f t="shared" si="302"/>
        <v>494955.7773,3354547.2093</v>
      </c>
      <c r="AV513">
        <f t="shared" si="316"/>
        <v>444.219</v>
      </c>
      <c r="AX513" t="str">
        <f t="shared" si="303"/>
        <v>pl 42463.8391857164,279 42463.8391857164,400 </v>
      </c>
      <c r="AY513" t="str">
        <f t="shared" si="304"/>
        <v>42463.8391857164,439.969</v>
      </c>
      <c r="AZ513" t="str">
        <f t="shared" si="305"/>
        <v>42463.8391857164,443.516</v>
      </c>
      <c r="BA513" t="str">
        <f t="shared" si="306"/>
        <v>42463.8391857164,444.219</v>
      </c>
      <c r="BB513" t="str">
        <f t="shared" si="307"/>
        <v>-text 42462.8391857164,337 3.5 90 439.969 </v>
      </c>
      <c r="BC513" t="str">
        <f t="shared" si="308"/>
        <v>-text 42462.8391857164,320 3.5 90 444.219 </v>
      </c>
      <c r="BD513" t="str">
        <f t="shared" si="309"/>
        <v>-text 42462.8391857164,306 3.5 90 443.516 </v>
      </c>
      <c r="BE513" t="str">
        <f t="shared" si="310"/>
        <v>-text 42462.8391857164,352 3.5 90 ZG84+927.678 </v>
      </c>
      <c r="BF513" t="str">
        <f t="shared" si="311"/>
        <v>-text 42462.8391857164,280 3.5 90 龙家湾渡槽出 </v>
      </c>
      <c r="BG513" t="str">
        <f t="shared" si="312"/>
        <v/>
      </c>
      <c r="BH513" t="str">
        <f t="shared" si="313"/>
        <v> </v>
      </c>
      <c r="BI513" t="str">
        <f t="shared" si="314"/>
        <v> </v>
      </c>
      <c r="BJ513" t="str">
        <f t="shared" si="315"/>
        <v> </v>
      </c>
    </row>
    <row r="514" spans="1:62">
      <c r="A514">
        <v>0</v>
      </c>
      <c r="B514">
        <v>513</v>
      </c>
      <c r="C514" t="s">
        <v>491</v>
      </c>
      <c r="D514">
        <v>494960.4596</v>
      </c>
      <c r="E514">
        <v>3354523.1037</v>
      </c>
      <c r="F514">
        <v>40</v>
      </c>
      <c r="G514">
        <f t="shared" si="317"/>
        <v>48.851</v>
      </c>
      <c r="H514">
        <f t="shared" si="318"/>
        <v>18.1662746336926</v>
      </c>
      <c r="I514">
        <f t="shared" si="319"/>
        <v>34.10443171567</v>
      </c>
      <c r="J514">
        <f t="shared" si="320"/>
        <v>24.5561374134285</v>
      </c>
      <c r="K514" s="40">
        <f t="shared" si="321"/>
        <v>84934.0682342124</v>
      </c>
      <c r="L514" s="40">
        <f t="shared" si="322"/>
        <v>84951.1204500703</v>
      </c>
      <c r="M514" s="40">
        <f t="shared" si="323"/>
        <v>84968.1726659281</v>
      </c>
      <c r="N514">
        <v>443.535</v>
      </c>
      <c r="O514">
        <v>439.62</v>
      </c>
      <c r="P514">
        <v>0.002</v>
      </c>
      <c r="Q514" s="39">
        <f t="shared" si="324"/>
        <v>494956.995702308</v>
      </c>
      <c r="R514" s="39">
        <f t="shared" si="325"/>
        <v>3354540.93667358</v>
      </c>
      <c r="S514" s="39">
        <f t="shared" si="326"/>
        <v>494963.663912931</v>
      </c>
      <c r="T514" s="39">
        <f t="shared" si="327"/>
        <v>3354525.3823915</v>
      </c>
      <c r="U514" s="39">
        <f t="shared" si="328"/>
        <v>494976.167175575</v>
      </c>
      <c r="V514" s="39">
        <f t="shared" si="329"/>
        <v>3354513.97760535</v>
      </c>
      <c r="AI514" t="str">
        <f t="array" ref="AI514">IFERROR(INDEX($L$2:$L$789,SMALL(IF(ISNUMBER(FIND($AH$2,$C$2:$C$789)),ROW($2:$789)-1,4^8),ROW(A513)))&amp;"","")</f>
        <v/>
      </c>
      <c r="AS514" t="str">
        <f t="shared" ref="AS514:AS526" si="330">"-text"&amp;" "&amp;D514&amp;","&amp;E514&amp;" "&amp;"10"&amp;" "&amp;"0"&amp;" "&amp;C514</f>
        <v>-text 494960.4596,3354523.1037 10 0 IP273</v>
      </c>
      <c r="AT514" t="str">
        <f t="shared" si="302"/>
        <v>494960.4596,3354523.1037</v>
      </c>
      <c r="AV514">
        <f t="shared" si="316"/>
        <v>445.02</v>
      </c>
      <c r="AX514" t="str">
        <f t="shared" si="303"/>
        <v>pl 42475.5602250351,279 42475.5602250351,400 </v>
      </c>
      <c r="AY514" t="str">
        <f t="shared" si="304"/>
        <v>42475.5602250351,439.62</v>
      </c>
      <c r="AZ514" t="str">
        <f t="shared" si="305"/>
        <v>42475.5602250351,443.535</v>
      </c>
      <c r="BA514" t="str">
        <f t="shared" si="306"/>
        <v>42475.5602250351,445.02</v>
      </c>
      <c r="BB514" t="str">
        <f t="shared" si="307"/>
        <v>-text 42474.5602250351,337 3.5 90 439.620 </v>
      </c>
      <c r="BC514" t="str">
        <f t="shared" si="308"/>
        <v>-text 42474.5602250351,320 3.5 90 445.020 </v>
      </c>
      <c r="BD514" t="str">
        <f t="shared" si="309"/>
        <v>-text 42474.5602250351,306 3.5 90 443.535 </v>
      </c>
      <c r="BE514" t="str">
        <f t="shared" si="310"/>
        <v>-text 42474.5602250351,352 3.5 90 ZG84+951.120 </v>
      </c>
      <c r="BF514" t="str">
        <f t="shared" si="311"/>
        <v>-text 42474.5602250351,280 3.5 90 IP273 </v>
      </c>
      <c r="BG514" t="str">
        <f t="shared" si="312"/>
        <v>-TEXT 42476.5602250351,300 3.5 0 R=40</v>
      </c>
      <c r="BH514" t="str">
        <f t="shared" si="313"/>
        <v>-TEXT 42476.5602250351,295 3.5 0 α=48.85° </v>
      </c>
      <c r="BI514" t="str">
        <f t="shared" si="314"/>
        <v>-TEXT 42476.5602250351,290 3.5 0 T=18.17 </v>
      </c>
      <c r="BJ514" t="str">
        <f t="shared" si="315"/>
        <v>-TEXT 42476.5602250351,285 3.5 0 S=34.10 </v>
      </c>
    </row>
    <row r="515" spans="1:62">
      <c r="A515">
        <v>0</v>
      </c>
      <c r="B515">
        <v>514</v>
      </c>
      <c r="C515" t="s">
        <v>492</v>
      </c>
      <c r="D515">
        <v>495083.2084</v>
      </c>
      <c r="E515">
        <v>3354451.7867</v>
      </c>
      <c r="F515">
        <v>60</v>
      </c>
      <c r="G515">
        <f t="shared" si="317"/>
        <v>22.685</v>
      </c>
      <c r="H515">
        <f t="shared" si="318"/>
        <v>12.0354728552421</v>
      </c>
      <c r="I515">
        <f t="shared" si="319"/>
        <v>23.7556764488948</v>
      </c>
      <c r="J515">
        <f t="shared" si="320"/>
        <v>141.962609127941</v>
      </c>
      <c r="K515" s="40">
        <f t="shared" si="321"/>
        <v>85079.9335275671</v>
      </c>
      <c r="L515" s="40">
        <f t="shared" si="322"/>
        <v>85091.8113657916</v>
      </c>
      <c r="M515" s="40">
        <f t="shared" si="323"/>
        <v>85103.689204016</v>
      </c>
      <c r="N515">
        <v>443.507</v>
      </c>
      <c r="O515">
        <v>439.592</v>
      </c>
      <c r="P515">
        <v>0.001</v>
      </c>
      <c r="Q515" s="39">
        <f t="shared" si="324"/>
        <v>495072.801858028</v>
      </c>
      <c r="R515" s="39">
        <f t="shared" si="325"/>
        <v>3354457.83289641</v>
      </c>
      <c r="S515" s="39">
        <f t="shared" si="326"/>
        <v>495082.416432191</v>
      </c>
      <c r="T515" s="39">
        <f t="shared" si="327"/>
        <v>3354450.89152075</v>
      </c>
      <c r="U515" s="39">
        <f t="shared" si="328"/>
        <v>495090.478006516</v>
      </c>
      <c r="V515" s="39">
        <f t="shared" si="329"/>
        <v>3354442.19475401</v>
      </c>
      <c r="AI515" t="str">
        <f t="array" ref="AI515">IFERROR(INDEX($L$2:$L$789,SMALL(IF(ISNUMBER(FIND($AH$2,$C$2:$C$789)),ROW($2:$789)-1,4^8),ROW(A514)))&amp;"","")</f>
        <v/>
      </c>
      <c r="AS515" t="str">
        <f t="shared" si="330"/>
        <v>-text 495083.2084,3354451.7867 10 0 IP274</v>
      </c>
      <c r="AT515" t="str">
        <f t="shared" ref="AT515:AT578" si="331">D515&amp;","&amp;E515</f>
        <v>495083.2084,3354451.7867</v>
      </c>
      <c r="AV515">
        <f t="shared" si="316"/>
        <v>444.992</v>
      </c>
      <c r="AX515" t="str">
        <f t="shared" ref="AX515:AX578" si="332">"pl "&amp;L515/2&amp;",279 "&amp;L515/2&amp;",400 "</f>
        <v>pl 42545.9056828958,279 42545.9056828958,400 </v>
      </c>
      <c r="AY515" t="str">
        <f t="shared" ref="AY515:AY578" si="333">L515/2&amp;","&amp;O515</f>
        <v>42545.9056828958,439.592</v>
      </c>
      <c r="AZ515" t="str">
        <f t="shared" ref="AZ515:AZ578" si="334">L515/2&amp;","&amp;N515</f>
        <v>42545.9056828958,443.507</v>
      </c>
      <c r="BA515" t="str">
        <f t="shared" ref="BA515:BA578" si="335">L515/2&amp;","&amp;AV515</f>
        <v>42545.9056828958,444.992</v>
      </c>
      <c r="BB515" t="str">
        <f t="shared" ref="BB515:BB578" si="336">"-text "&amp;L515/2-1&amp;",337 3.5 90 "&amp;FIXED(O515,3)&amp;" "</f>
        <v>-text 42544.9056828958,337 3.5 90 439.592 </v>
      </c>
      <c r="BC515" t="str">
        <f t="shared" ref="BC515:BC578" si="337">"-text "&amp;L515/2-1&amp;",320 3.5 90 "&amp;FIXED(AV515,3)&amp;" "</f>
        <v>-text 42544.9056828958,320 3.5 90 444.992 </v>
      </c>
      <c r="BD515" t="str">
        <f t="shared" ref="BD515:BD578" si="338">"-text "&amp;L515/2-1&amp;",306 3.5 90 "&amp;FIXED(N515,3)&amp;" "</f>
        <v>-text 42544.9056828958,306 3.5 90 443.507 </v>
      </c>
      <c r="BE515" t="str">
        <f t="shared" ref="BE515:BE578" si="339">"-text "&amp;L515/2-1&amp;",352 3.5 90 "&amp;"ZG"&amp;TEXT(L515,"0+000.000")&amp;" "</f>
        <v>-text 42544.9056828958,352 3.5 90 ZG85+091.811 </v>
      </c>
      <c r="BF515" t="str">
        <f t="shared" ref="BF515:BF578" si="340">"-text "&amp;L515/2-1&amp;",280 3.5 90 "&amp;C515&amp;" "</f>
        <v>-text 42544.9056828958,280 3.5 90 IP274 </v>
      </c>
      <c r="BG515" t="str">
        <f t="shared" ref="BG515:BG578" si="341">IF(G515&lt;0.01,"",("-TEXT "&amp;L515/2+1&amp;",300 3.5 0 "&amp;"R="&amp;FIXED(F515,0)))</f>
        <v>-TEXT 42546.9056828958,300 3.5 0 R=60</v>
      </c>
      <c r="BH515" t="str">
        <f t="shared" ref="BH515:BH578" si="342">IF(G515&lt;0.01," ",("-TEXT "&amp;L515/2+1&amp;",295 3.5 0 "&amp;"α="&amp;FIXED(G515,2)&amp;"° "))</f>
        <v>-TEXT 42546.9056828958,295 3.5 0 α=22.69° </v>
      </c>
      <c r="BI515" t="str">
        <f t="shared" ref="BI515:BI578" si="343">IF(G515&lt;0.01," ",("-TEXT "&amp;L515/2+1&amp;",290 3.5 0 "&amp;"T="&amp;FIXED(H515,2)&amp;" "))</f>
        <v>-TEXT 42546.9056828958,290 3.5 0 T=12.04 </v>
      </c>
      <c r="BJ515" t="str">
        <f t="shared" ref="BJ515:BJ578" si="344">IF(G515&lt;0.01," ",("-TEXT "&amp;L515/2+1&amp;",285 3.5 0 "&amp;"S="&amp;FIXED(I515,2)&amp;" "))</f>
        <v>-TEXT 42546.9056828958,285 3.5 0 S=23.76 </v>
      </c>
    </row>
    <row r="516" spans="1:62">
      <c r="A516">
        <v>0</v>
      </c>
      <c r="B516">
        <v>515</v>
      </c>
      <c r="C516" t="s">
        <v>493</v>
      </c>
      <c r="D516">
        <v>495117.9434</v>
      </c>
      <c r="E516">
        <v>3354405.9553</v>
      </c>
      <c r="F516">
        <v>40</v>
      </c>
      <c r="G516">
        <f t="shared" si="317"/>
        <v>49.29</v>
      </c>
      <c r="H516">
        <f t="shared" si="318"/>
        <v>18.351444647697</v>
      </c>
      <c r="I516">
        <f t="shared" si="319"/>
        <v>34.4109115323202</v>
      </c>
      <c r="J516">
        <f t="shared" si="320"/>
        <v>57.5068469919999</v>
      </c>
      <c r="K516" s="40">
        <f t="shared" si="321"/>
        <v>85130.8091335051</v>
      </c>
      <c r="L516" s="40">
        <f t="shared" si="322"/>
        <v>85148.0145892712</v>
      </c>
      <c r="M516" s="40">
        <f t="shared" si="323"/>
        <v>85165.2200450374</v>
      </c>
      <c r="N516">
        <v>443.496</v>
      </c>
      <c r="O516">
        <v>439.581</v>
      </c>
      <c r="P516">
        <v>0.002</v>
      </c>
      <c r="Q516" s="39">
        <f t="shared" si="324"/>
        <v>495106.858851582</v>
      </c>
      <c r="R516" s="39">
        <f t="shared" si="325"/>
        <v>3354420.5809045</v>
      </c>
      <c r="S516" s="39">
        <f t="shared" si="326"/>
        <v>495114.029784597</v>
      </c>
      <c r="T516" s="39">
        <f t="shared" si="327"/>
        <v>3354405.08675193</v>
      </c>
      <c r="U516" s="39">
        <f t="shared" si="328"/>
        <v>495114.086478006</v>
      </c>
      <c r="V516" s="39">
        <f t="shared" si="329"/>
        <v>3354388.01373726</v>
      </c>
      <c r="AI516" t="str">
        <f t="array" ref="AI516">IFERROR(INDEX($L$2:$L$789,SMALL(IF(ISNUMBER(FIND($AH$2,$C$2:$C$789)),ROW($2:$789)-1,4^8),ROW(A515)))&amp;"","")</f>
        <v/>
      </c>
      <c r="AS516" t="str">
        <f t="shared" si="330"/>
        <v>-text 495117.9434,3354405.9553 10 0 IP275</v>
      </c>
      <c r="AT516" t="str">
        <f t="shared" si="331"/>
        <v>495117.9434,3354405.9553</v>
      </c>
      <c r="AV516">
        <f t="shared" si="316"/>
        <v>444.981</v>
      </c>
      <c r="AX516" t="str">
        <f t="shared" si="332"/>
        <v>pl 42574.0072946356,279 42574.0072946356,400 </v>
      </c>
      <c r="AY516" t="str">
        <f t="shared" si="333"/>
        <v>42574.0072946356,439.581</v>
      </c>
      <c r="AZ516" t="str">
        <f t="shared" si="334"/>
        <v>42574.0072946356,443.496</v>
      </c>
      <c r="BA516" t="str">
        <f t="shared" si="335"/>
        <v>42574.0072946356,444.981</v>
      </c>
      <c r="BB516" t="str">
        <f t="shared" si="336"/>
        <v>-text 42573.0072946356,337 3.5 90 439.581 </v>
      </c>
      <c r="BC516" t="str">
        <f t="shared" si="337"/>
        <v>-text 42573.0072946356,320 3.5 90 444.981 </v>
      </c>
      <c r="BD516" t="str">
        <f t="shared" si="338"/>
        <v>-text 42573.0072946356,306 3.5 90 443.496 </v>
      </c>
      <c r="BE516" t="str">
        <f t="shared" si="339"/>
        <v>-text 42573.0072946356,352 3.5 90 ZG85+148.015 </v>
      </c>
      <c r="BF516" t="str">
        <f t="shared" si="340"/>
        <v>-text 42573.0072946356,280 3.5 90 IP275 </v>
      </c>
      <c r="BG516" t="str">
        <f t="shared" si="341"/>
        <v>-TEXT 42575.0072946356,300 3.5 0 R=40</v>
      </c>
      <c r="BH516" t="str">
        <f t="shared" si="342"/>
        <v>-TEXT 42575.0072946356,295 3.5 0 α=49.29° </v>
      </c>
      <c r="BI516" t="str">
        <f t="shared" si="343"/>
        <v>-TEXT 42575.0072946356,290 3.5 0 T=18.35 </v>
      </c>
      <c r="BJ516" t="str">
        <f t="shared" si="344"/>
        <v>-TEXT 42575.0072946356,285 3.5 0 S=34.41 </v>
      </c>
    </row>
    <row r="517" spans="1:62">
      <c r="A517">
        <v>0</v>
      </c>
      <c r="B517">
        <v>516</v>
      </c>
      <c r="C517" t="s">
        <v>494</v>
      </c>
      <c r="D517">
        <v>495107.2317</v>
      </c>
      <c r="E517">
        <v>3354356.1268</v>
      </c>
      <c r="F517">
        <v>60</v>
      </c>
      <c r="G517">
        <f t="shared" si="317"/>
        <v>32.923</v>
      </c>
      <c r="H517">
        <f t="shared" si="318"/>
        <v>17.7289637915337</v>
      </c>
      <c r="I517">
        <f t="shared" si="319"/>
        <v>34.4768849780456</v>
      </c>
      <c r="J517">
        <f t="shared" si="320"/>
        <v>50.9668512773019</v>
      </c>
      <c r="K517" s="40">
        <f t="shared" si="321"/>
        <v>85180.1064878755</v>
      </c>
      <c r="L517" s="40">
        <f t="shared" si="322"/>
        <v>85197.3449303645</v>
      </c>
      <c r="M517" s="40">
        <f t="shared" si="323"/>
        <v>85214.5833728535</v>
      </c>
      <c r="N517">
        <v>443.485</v>
      </c>
      <c r="O517">
        <v>439.57</v>
      </c>
      <c r="P517">
        <v>0.001</v>
      </c>
      <c r="Q517" s="39">
        <f t="shared" si="324"/>
        <v>495110.95779523</v>
      </c>
      <c r="R517" s="39">
        <f t="shared" si="325"/>
        <v>3354373.45978507</v>
      </c>
      <c r="S517" s="39">
        <f t="shared" si="326"/>
        <v>495104.979969413</v>
      </c>
      <c r="T517" s="39">
        <f t="shared" si="327"/>
        <v>3354357.35417435</v>
      </c>
      <c r="U517" s="39">
        <f t="shared" si="328"/>
        <v>495094.683277661</v>
      </c>
      <c r="V517" s="39">
        <f t="shared" si="329"/>
        <v>3354343.60269309</v>
      </c>
      <c r="AI517" t="str">
        <f t="array" ref="AI517">IFERROR(INDEX($L$2:$L$789,SMALL(IF(ISNUMBER(FIND($AH$2,$C$2:$C$789)),ROW($2:$789)-1,4^8),ROW(A516)))&amp;"","")</f>
        <v/>
      </c>
      <c r="AS517" t="str">
        <f t="shared" si="330"/>
        <v>-text 495107.2317,3354356.1268 10 0 IP276</v>
      </c>
      <c r="AT517" t="str">
        <f t="shared" si="331"/>
        <v>495107.2317,3354356.1268</v>
      </c>
      <c r="AV517">
        <f t="shared" si="316"/>
        <v>444.97</v>
      </c>
      <c r="AX517" t="str">
        <f t="shared" si="332"/>
        <v>pl 42598.6724651822,279 42598.6724651822,400 </v>
      </c>
      <c r="AY517" t="str">
        <f t="shared" si="333"/>
        <v>42598.6724651822,439.57</v>
      </c>
      <c r="AZ517" t="str">
        <f t="shared" si="334"/>
        <v>42598.6724651822,443.485</v>
      </c>
      <c r="BA517" t="str">
        <f t="shared" si="335"/>
        <v>42598.6724651822,444.97</v>
      </c>
      <c r="BB517" t="str">
        <f t="shared" si="336"/>
        <v>-text 42597.6724651822,337 3.5 90 439.570 </v>
      </c>
      <c r="BC517" t="str">
        <f t="shared" si="337"/>
        <v>-text 42597.6724651822,320 3.5 90 444.970 </v>
      </c>
      <c r="BD517" t="str">
        <f t="shared" si="338"/>
        <v>-text 42597.6724651822,306 3.5 90 443.485 </v>
      </c>
      <c r="BE517" t="str">
        <f t="shared" si="339"/>
        <v>-text 42597.6724651822,352 3.5 90 ZG85+197.345 </v>
      </c>
      <c r="BF517" t="str">
        <f t="shared" si="340"/>
        <v>-text 42597.6724651822,280 3.5 90 IP276 </v>
      </c>
      <c r="BG517" t="str">
        <f t="shared" si="341"/>
        <v>-TEXT 42599.6724651822,300 3.5 0 R=60</v>
      </c>
      <c r="BH517" t="str">
        <f t="shared" si="342"/>
        <v>-TEXT 42599.6724651822,295 3.5 0 α=32.92° </v>
      </c>
      <c r="BI517" t="str">
        <f t="shared" si="343"/>
        <v>-TEXT 42599.6724651822,290 3.5 0 T=17.73 </v>
      </c>
      <c r="BJ517" t="str">
        <f t="shared" si="344"/>
        <v>-TEXT 42599.6724651822,285 3.5 0 S=34.48 </v>
      </c>
    </row>
    <row r="518" spans="1:62">
      <c r="A518">
        <v>0</v>
      </c>
      <c r="B518">
        <v>517</v>
      </c>
      <c r="C518" t="s">
        <v>495</v>
      </c>
      <c r="D518">
        <v>495008.3014</v>
      </c>
      <c r="E518">
        <v>3354257.3882</v>
      </c>
      <c r="F518">
        <v>60</v>
      </c>
      <c r="G518">
        <f t="shared" si="317"/>
        <v>18.841</v>
      </c>
      <c r="H518">
        <f t="shared" si="318"/>
        <v>9.95499279484985</v>
      </c>
      <c r="I518">
        <f t="shared" si="319"/>
        <v>19.7302490620951</v>
      </c>
      <c r="J518">
        <f t="shared" si="320"/>
        <v>139.773085349453</v>
      </c>
      <c r="K518" s="40">
        <f t="shared" si="321"/>
        <v>85326.6725016166</v>
      </c>
      <c r="L518" s="40">
        <f t="shared" si="322"/>
        <v>85336.5376261476</v>
      </c>
      <c r="M518" s="40">
        <f t="shared" si="323"/>
        <v>85346.4027506787</v>
      </c>
      <c r="N518">
        <v>443.458</v>
      </c>
      <c r="O518">
        <v>439.543</v>
      </c>
      <c r="P518">
        <v>0.001</v>
      </c>
      <c r="Q518" s="39">
        <f t="shared" si="324"/>
        <v>495015.347466281</v>
      </c>
      <c r="R518" s="39">
        <f t="shared" si="325"/>
        <v>3354264.42061292</v>
      </c>
      <c r="S518" s="39">
        <f t="shared" si="326"/>
        <v>495008.968056326</v>
      </c>
      <c r="T518" s="39">
        <f t="shared" si="327"/>
        <v>3354256.91030557</v>
      </c>
      <c r="U518" s="39">
        <f t="shared" si="328"/>
        <v>495003.903977518</v>
      </c>
      <c r="V518" s="39">
        <f t="shared" si="329"/>
        <v>3354248.45709945</v>
      </c>
      <c r="AI518" t="str">
        <f t="array" ref="AI518">IFERROR(INDEX($L$2:$L$789,SMALL(IF(ISNUMBER(FIND($AH$2,$C$2:$C$789)),ROW($2:$789)-1,4^8),ROW(A517)))&amp;"","")</f>
        <v/>
      </c>
      <c r="AS518" t="str">
        <f t="shared" si="330"/>
        <v>-text 495008.3014,3354257.3882 10 0 IP277</v>
      </c>
      <c r="AT518" t="str">
        <f t="shared" si="331"/>
        <v>495008.3014,3354257.3882</v>
      </c>
      <c r="AV518">
        <f t="shared" si="316"/>
        <v>444.943</v>
      </c>
      <c r="AX518" t="str">
        <f t="shared" si="332"/>
        <v>pl 42668.2688130738,279 42668.2688130738,400 </v>
      </c>
      <c r="AY518" t="str">
        <f t="shared" si="333"/>
        <v>42668.2688130738,439.543</v>
      </c>
      <c r="AZ518" t="str">
        <f t="shared" si="334"/>
        <v>42668.2688130738,443.458</v>
      </c>
      <c r="BA518" t="str">
        <f t="shared" si="335"/>
        <v>42668.2688130738,444.943</v>
      </c>
      <c r="BB518" t="str">
        <f t="shared" si="336"/>
        <v>-text 42667.2688130738,337 3.5 90 439.543 </v>
      </c>
      <c r="BC518" t="str">
        <f t="shared" si="337"/>
        <v>-text 42667.2688130738,320 3.5 90 444.943 </v>
      </c>
      <c r="BD518" t="str">
        <f t="shared" si="338"/>
        <v>-text 42667.2688130738,306 3.5 90 443.458 </v>
      </c>
      <c r="BE518" t="str">
        <f t="shared" si="339"/>
        <v>-text 42667.2688130738,352 3.5 90 ZG85+336.538 </v>
      </c>
      <c r="BF518" t="str">
        <f t="shared" si="340"/>
        <v>-text 42667.2688130738,280 3.5 90 IP277 </v>
      </c>
      <c r="BG518" t="str">
        <f t="shared" si="341"/>
        <v>-TEXT 42669.2688130738,300 3.5 0 R=60</v>
      </c>
      <c r="BH518" t="str">
        <f t="shared" si="342"/>
        <v>-TEXT 42669.2688130738,295 3.5 0 α=18.84° </v>
      </c>
      <c r="BI518" t="str">
        <f t="shared" si="343"/>
        <v>-TEXT 42669.2688130738,290 3.5 0 T=9.95 </v>
      </c>
      <c r="BJ518" t="str">
        <f t="shared" si="344"/>
        <v>-TEXT 42669.2688130738,285 3.5 0 S=19.73 </v>
      </c>
    </row>
    <row r="519" spans="1:62">
      <c r="A519">
        <v>0</v>
      </c>
      <c r="B519">
        <v>518</v>
      </c>
      <c r="C519" t="s">
        <v>496</v>
      </c>
      <c r="D519">
        <v>494962.5959</v>
      </c>
      <c r="E519">
        <v>3354164.561</v>
      </c>
      <c r="F519">
        <v>60</v>
      </c>
      <c r="G519">
        <f t="shared" si="317"/>
        <v>20.253</v>
      </c>
      <c r="H519">
        <f t="shared" si="318"/>
        <v>10.7162614170421</v>
      </c>
      <c r="I519">
        <f t="shared" si="319"/>
        <v>21.2088920043847</v>
      </c>
      <c r="J519">
        <f t="shared" si="320"/>
        <v>103.469231127105</v>
      </c>
      <c r="K519" s="40">
        <f t="shared" si="321"/>
        <v>85429.2007275939</v>
      </c>
      <c r="L519" s="40">
        <f t="shared" si="322"/>
        <v>85439.8051735961</v>
      </c>
      <c r="M519" s="40">
        <f t="shared" si="323"/>
        <v>85450.4096195983</v>
      </c>
      <c r="N519">
        <v>443.438</v>
      </c>
      <c r="O519">
        <v>439.523</v>
      </c>
      <c r="P519">
        <v>0.001</v>
      </c>
      <c r="Q519" s="39">
        <f t="shared" si="324"/>
        <v>494967.32959794</v>
      </c>
      <c r="R519" s="39">
        <f t="shared" si="325"/>
        <v>3354174.17507107</v>
      </c>
      <c r="S519" s="39">
        <f t="shared" si="326"/>
        <v>494963.508208445</v>
      </c>
      <c r="T519" s="39">
        <f t="shared" si="327"/>
        <v>3354164.29788894</v>
      </c>
      <c r="U519" s="39">
        <f t="shared" si="328"/>
        <v>494961.483011894</v>
      </c>
      <c r="V519" s="39">
        <f t="shared" si="329"/>
        <v>3354153.90268218</v>
      </c>
      <c r="AI519" t="str">
        <f t="array" ref="AI519">IFERROR(INDEX($L$2:$L$789,SMALL(IF(ISNUMBER(FIND($AH$2,$C$2:$C$789)),ROW($2:$789)-1,4^8),ROW(A518)))&amp;"","")</f>
        <v/>
      </c>
      <c r="AS519" t="str">
        <f t="shared" si="330"/>
        <v>-text 494962.5959,3354164.561 10 0 IP278</v>
      </c>
      <c r="AT519" t="str">
        <f t="shared" si="331"/>
        <v>494962.5959,3354164.561</v>
      </c>
      <c r="AV519">
        <f t="shared" si="316"/>
        <v>444.923</v>
      </c>
      <c r="AX519" t="str">
        <f t="shared" si="332"/>
        <v>pl 42719.902586798,279 42719.902586798,400 </v>
      </c>
      <c r="AY519" t="str">
        <f t="shared" si="333"/>
        <v>42719.902586798,439.523</v>
      </c>
      <c r="AZ519" t="str">
        <f t="shared" si="334"/>
        <v>42719.902586798,443.438</v>
      </c>
      <c r="BA519" t="str">
        <f t="shared" si="335"/>
        <v>42719.902586798,444.923</v>
      </c>
      <c r="BB519" t="str">
        <f t="shared" si="336"/>
        <v>-text 42718.902586798,337 3.5 90 439.523 </v>
      </c>
      <c r="BC519" t="str">
        <f t="shared" si="337"/>
        <v>-text 42718.902586798,320 3.5 90 444.923 </v>
      </c>
      <c r="BD519" t="str">
        <f t="shared" si="338"/>
        <v>-text 42718.902586798,306 3.5 90 443.438 </v>
      </c>
      <c r="BE519" t="str">
        <f t="shared" si="339"/>
        <v>-text 42718.902586798,352 3.5 90 ZG85+439.805 </v>
      </c>
      <c r="BF519" t="str">
        <f t="shared" si="340"/>
        <v>-text 42718.902586798,280 3.5 90 IP278 </v>
      </c>
      <c r="BG519" t="str">
        <f t="shared" si="341"/>
        <v>-TEXT 42720.902586798,300 3.5 0 R=60</v>
      </c>
      <c r="BH519" t="str">
        <f t="shared" si="342"/>
        <v>-TEXT 42720.902586798,295 3.5 0 α=20.25° </v>
      </c>
      <c r="BI519" t="str">
        <f t="shared" si="343"/>
        <v>-TEXT 42720.902586798,290 3.5 0 T=10.72 </v>
      </c>
      <c r="BJ519" t="str">
        <f t="shared" si="344"/>
        <v>-TEXT 42720.902586798,285 3.5 0 S=21.21 </v>
      </c>
    </row>
    <row r="520" spans="1:62">
      <c r="A520">
        <v>0</v>
      </c>
      <c r="B520">
        <v>519</v>
      </c>
      <c r="C520" t="s">
        <v>497</v>
      </c>
      <c r="D520">
        <v>494949.5538</v>
      </c>
      <c r="E520">
        <v>3354039.6546</v>
      </c>
      <c r="F520">
        <v>60</v>
      </c>
      <c r="G520">
        <f t="shared" si="317"/>
        <v>39.164</v>
      </c>
      <c r="H520">
        <f t="shared" si="318"/>
        <v>21.3438017384328</v>
      </c>
      <c r="I520">
        <f t="shared" si="319"/>
        <v>41.0124448950636</v>
      </c>
      <c r="J520">
        <f t="shared" si="320"/>
        <v>125.585449529088</v>
      </c>
      <c r="K520" s="40">
        <f t="shared" si="321"/>
        <v>85543.9350059719</v>
      </c>
      <c r="L520" s="40">
        <f t="shared" si="322"/>
        <v>85564.4412284194</v>
      </c>
      <c r="M520" s="40">
        <f t="shared" si="323"/>
        <v>85584.9474508669</v>
      </c>
      <c r="N520">
        <v>443.414</v>
      </c>
      <c r="O520">
        <v>439.499</v>
      </c>
      <c r="P520">
        <v>0.001</v>
      </c>
      <c r="Q520" s="39">
        <f t="shared" si="324"/>
        <v>494951.77036249</v>
      </c>
      <c r="R520" s="39">
        <f t="shared" si="325"/>
        <v>3354060.88299427</v>
      </c>
      <c r="S520" s="39">
        <f t="shared" si="326"/>
        <v>494946.230535439</v>
      </c>
      <c r="T520" s="39">
        <f t="shared" si="327"/>
        <v>3354041.24277174</v>
      </c>
      <c r="U520" s="39">
        <f t="shared" si="328"/>
        <v>494934.428595957</v>
      </c>
      <c r="V520" s="39">
        <f t="shared" si="329"/>
        <v>3354024.59518184</v>
      </c>
      <c r="AI520" t="str">
        <f t="array" ref="AI520">IFERROR(INDEX($L$2:$L$789,SMALL(IF(ISNUMBER(FIND($AH$2,$C$2:$C$789)),ROW($2:$789)-1,4^8),ROW(A519)))&amp;"","")</f>
        <v/>
      </c>
      <c r="AS520" t="str">
        <f t="shared" si="330"/>
        <v>-text 494949.5538,3354039.6546 10 0 IP279</v>
      </c>
      <c r="AT520" t="str">
        <f t="shared" si="331"/>
        <v>494949.5538,3354039.6546</v>
      </c>
      <c r="AV520">
        <f t="shared" si="316"/>
        <v>444.899</v>
      </c>
      <c r="AX520" t="str">
        <f t="shared" si="332"/>
        <v>pl 42782.2206142097,279 42782.2206142097,400 </v>
      </c>
      <c r="AY520" t="str">
        <f t="shared" si="333"/>
        <v>42782.2206142097,439.499</v>
      </c>
      <c r="AZ520" t="str">
        <f t="shared" si="334"/>
        <v>42782.2206142097,443.414</v>
      </c>
      <c r="BA520" t="str">
        <f t="shared" si="335"/>
        <v>42782.2206142097,444.899</v>
      </c>
      <c r="BB520" t="str">
        <f t="shared" si="336"/>
        <v>-text 42781.2206142097,337 3.5 90 439.499 </v>
      </c>
      <c r="BC520" t="str">
        <f t="shared" si="337"/>
        <v>-text 42781.2206142097,320 3.5 90 444.899 </v>
      </c>
      <c r="BD520" t="str">
        <f t="shared" si="338"/>
        <v>-text 42781.2206142097,306 3.5 90 443.414 </v>
      </c>
      <c r="BE520" t="str">
        <f t="shared" si="339"/>
        <v>-text 42781.2206142097,352 3.5 90 ZG85+564.441 </v>
      </c>
      <c r="BF520" t="str">
        <f t="shared" si="340"/>
        <v>-text 42781.2206142097,280 3.5 90 IP279 </v>
      </c>
      <c r="BG520" t="str">
        <f t="shared" si="341"/>
        <v>-TEXT 42783.2206142097,300 3.5 0 R=60</v>
      </c>
      <c r="BH520" t="str">
        <f t="shared" si="342"/>
        <v>-TEXT 42783.2206142097,295 3.5 0 α=39.16° </v>
      </c>
      <c r="BI520" t="str">
        <f t="shared" si="343"/>
        <v>-TEXT 42783.2206142097,290 3.5 0 T=21.34 </v>
      </c>
      <c r="BJ520" t="str">
        <f t="shared" si="344"/>
        <v>-TEXT 42783.2206142097,285 3.5 0 S=41.01 </v>
      </c>
    </row>
    <row r="521" spans="1:62">
      <c r="A521">
        <v>0</v>
      </c>
      <c r="B521">
        <v>520</v>
      </c>
      <c r="C521" t="s">
        <v>498</v>
      </c>
      <c r="D521">
        <v>494866.6922</v>
      </c>
      <c r="E521">
        <v>3353957.1534</v>
      </c>
      <c r="F521">
        <v>60</v>
      </c>
      <c r="G521">
        <f t="shared" si="317"/>
        <v>30.753</v>
      </c>
      <c r="H521">
        <f t="shared" si="318"/>
        <v>16.5002801916334</v>
      </c>
      <c r="I521">
        <f t="shared" si="319"/>
        <v>32.204466291949</v>
      </c>
      <c r="J521">
        <f t="shared" si="320"/>
        <v>116.929434942497</v>
      </c>
      <c r="K521" s="40">
        <f t="shared" si="321"/>
        <v>85664.0328038794</v>
      </c>
      <c r="L521" s="40">
        <f t="shared" si="322"/>
        <v>85680.1350370253</v>
      </c>
      <c r="M521" s="40">
        <f t="shared" si="323"/>
        <v>85696.2372701713</v>
      </c>
      <c r="N521">
        <v>443.391</v>
      </c>
      <c r="O521">
        <v>439.476</v>
      </c>
      <c r="P521">
        <v>0.001</v>
      </c>
      <c r="Q521" s="39">
        <f t="shared" si="324"/>
        <v>494878.385060893</v>
      </c>
      <c r="R521" s="39">
        <f t="shared" si="325"/>
        <v>3353968.79540372</v>
      </c>
      <c r="S521" s="39">
        <f t="shared" si="326"/>
        <v>494868.626113215</v>
      </c>
      <c r="T521" s="39">
        <f t="shared" si="327"/>
        <v>3353956.04814612</v>
      </c>
      <c r="U521" s="39">
        <f t="shared" si="328"/>
        <v>494862.596540186</v>
      </c>
      <c r="V521" s="39">
        <f t="shared" si="329"/>
        <v>3353941.16950757</v>
      </c>
      <c r="AI521" t="str">
        <f t="array" ref="AI521">IFERROR(INDEX($L$2:$L$789,SMALL(IF(ISNUMBER(FIND($AH$2,$C$2:$C$789)),ROW($2:$789)-1,4^8),ROW(A520)))&amp;"","")</f>
        <v/>
      </c>
      <c r="AS521" t="str">
        <f t="shared" si="330"/>
        <v>-text 494866.6922,3353957.1534 10 0 IP280</v>
      </c>
      <c r="AT521" t="str">
        <f t="shared" si="331"/>
        <v>494866.6922,3353957.1534</v>
      </c>
      <c r="AV521">
        <f t="shared" si="316"/>
        <v>444.876</v>
      </c>
      <c r="AX521" t="str">
        <f t="shared" si="332"/>
        <v>pl 42840.0675185127,279 42840.0675185127,400 </v>
      </c>
      <c r="AY521" t="str">
        <f t="shared" si="333"/>
        <v>42840.0675185127,439.476</v>
      </c>
      <c r="AZ521" t="str">
        <f t="shared" si="334"/>
        <v>42840.0675185127,443.391</v>
      </c>
      <c r="BA521" t="str">
        <f t="shared" si="335"/>
        <v>42840.0675185127,444.876</v>
      </c>
      <c r="BB521" t="str">
        <f t="shared" si="336"/>
        <v>-text 42839.0675185127,337 3.5 90 439.476 </v>
      </c>
      <c r="BC521" t="str">
        <f t="shared" si="337"/>
        <v>-text 42839.0675185127,320 3.5 90 444.876 </v>
      </c>
      <c r="BD521" t="str">
        <f t="shared" si="338"/>
        <v>-text 42839.0675185127,306 3.5 90 443.391 </v>
      </c>
      <c r="BE521" t="str">
        <f t="shared" si="339"/>
        <v>-text 42839.0675185127,352 3.5 90 ZG85+680.135 </v>
      </c>
      <c r="BF521" t="str">
        <f t="shared" si="340"/>
        <v>-text 42839.0675185127,280 3.5 90 IP280 </v>
      </c>
      <c r="BG521" t="str">
        <f t="shared" si="341"/>
        <v>-TEXT 42841.0675185127,300 3.5 0 R=60</v>
      </c>
      <c r="BH521" t="str">
        <f t="shared" si="342"/>
        <v>-TEXT 42841.0675185127,295 3.5 0 α=30.75° </v>
      </c>
      <c r="BI521" t="str">
        <f t="shared" si="343"/>
        <v>-TEXT 42841.0675185127,290 3.5 0 T=16.50 </v>
      </c>
      <c r="BJ521" t="str">
        <f t="shared" si="344"/>
        <v>-TEXT 42841.0675185127,285 3.5 0 S=32.20 </v>
      </c>
    </row>
    <row r="522" spans="1:62">
      <c r="A522">
        <v>0</v>
      </c>
      <c r="B522">
        <v>521</v>
      </c>
      <c r="C522" t="s">
        <v>499</v>
      </c>
      <c r="D522">
        <v>494843.4564</v>
      </c>
      <c r="E522">
        <v>3353866.4724</v>
      </c>
      <c r="F522">
        <v>60</v>
      </c>
      <c r="G522">
        <f t="shared" si="317"/>
        <v>38.708</v>
      </c>
      <c r="H522">
        <f t="shared" si="318"/>
        <v>21.0752057543523</v>
      </c>
      <c r="I522">
        <f t="shared" si="319"/>
        <v>40.5349228117179</v>
      </c>
      <c r="J522">
        <f t="shared" si="320"/>
        <v>93.6106092422143</v>
      </c>
      <c r="K522" s="40">
        <f t="shared" si="321"/>
        <v>85752.2723934675</v>
      </c>
      <c r="L522" s="40">
        <f t="shared" si="322"/>
        <v>85772.5398548734</v>
      </c>
      <c r="M522" s="40">
        <f t="shared" si="323"/>
        <v>85792.8073162792</v>
      </c>
      <c r="N522">
        <v>443.372</v>
      </c>
      <c r="O522">
        <v>439.457</v>
      </c>
      <c r="P522">
        <v>0.001</v>
      </c>
      <c r="Q522" s="39">
        <f t="shared" si="324"/>
        <v>494848.687636821</v>
      </c>
      <c r="R522" s="39">
        <f t="shared" si="325"/>
        <v>3353886.88804251</v>
      </c>
      <c r="S522" s="39">
        <f t="shared" si="326"/>
        <v>494840.467477522</v>
      </c>
      <c r="T522" s="39">
        <f t="shared" si="327"/>
        <v>3353868.46772818</v>
      </c>
      <c r="U522" s="39">
        <f t="shared" si="328"/>
        <v>494826.607287084</v>
      </c>
      <c r="V522" s="39">
        <f t="shared" si="329"/>
        <v>3353853.81255436</v>
      </c>
      <c r="AI522" t="str">
        <f t="array" ref="AI522">IFERROR(INDEX($L$2:$L$789,SMALL(IF(ISNUMBER(FIND($AH$2,$C$2:$C$789)),ROW($2:$789)-1,4^8),ROW(A521)))&amp;"","")</f>
        <v/>
      </c>
      <c r="AS522" t="str">
        <f t="shared" si="330"/>
        <v>-text 494843.4564,3353866.4724 10 0 IP281</v>
      </c>
      <c r="AT522" t="str">
        <f t="shared" si="331"/>
        <v>494843.4564,3353866.4724</v>
      </c>
      <c r="AV522">
        <f t="shared" si="316"/>
        <v>444.857</v>
      </c>
      <c r="AX522" t="str">
        <f t="shared" si="332"/>
        <v>pl 42886.2699274367,279 42886.2699274367,400 </v>
      </c>
      <c r="AY522" t="str">
        <f t="shared" si="333"/>
        <v>42886.2699274367,439.457</v>
      </c>
      <c r="AZ522" t="str">
        <f t="shared" si="334"/>
        <v>42886.2699274367,443.372</v>
      </c>
      <c r="BA522" t="str">
        <f t="shared" si="335"/>
        <v>42886.2699274367,444.857</v>
      </c>
      <c r="BB522" t="str">
        <f t="shared" si="336"/>
        <v>-text 42885.2699274367,337 3.5 90 439.457 </v>
      </c>
      <c r="BC522" t="str">
        <f t="shared" si="337"/>
        <v>-text 42885.2699274367,320 3.5 90 444.857 </v>
      </c>
      <c r="BD522" t="str">
        <f t="shared" si="338"/>
        <v>-text 42885.2699274367,306 3.5 90 443.372 </v>
      </c>
      <c r="BE522" t="str">
        <f t="shared" si="339"/>
        <v>-text 42885.2699274367,352 3.5 90 ZG85+772.540 </v>
      </c>
      <c r="BF522" t="str">
        <f t="shared" si="340"/>
        <v>-text 42885.2699274367,280 3.5 90 IP281 </v>
      </c>
      <c r="BG522" t="str">
        <f t="shared" si="341"/>
        <v>-TEXT 42887.2699274367,300 3.5 0 R=60</v>
      </c>
      <c r="BH522" t="str">
        <f t="shared" si="342"/>
        <v>-TEXT 42887.2699274367,295 3.5 0 α=38.71° </v>
      </c>
      <c r="BI522" t="str">
        <f t="shared" si="343"/>
        <v>-TEXT 42887.2699274367,290 3.5 0 T=21.08 </v>
      </c>
      <c r="BJ522" t="str">
        <f t="shared" si="344"/>
        <v>-TEXT 42887.2699274367,285 3.5 0 S=40.53 </v>
      </c>
    </row>
    <row r="523" spans="1:62">
      <c r="A523">
        <v>0</v>
      </c>
      <c r="B523">
        <v>522</v>
      </c>
      <c r="C523" t="s">
        <v>500</v>
      </c>
      <c r="D523">
        <v>494750.2629</v>
      </c>
      <c r="E523">
        <v>3353796.45</v>
      </c>
      <c r="F523">
        <v>60</v>
      </c>
      <c r="G523">
        <f t="shared" si="317"/>
        <v>58.904</v>
      </c>
      <c r="H523">
        <f t="shared" si="318"/>
        <v>33.8800427071279</v>
      </c>
      <c r="I523">
        <f t="shared" si="319"/>
        <v>61.6841245556844</v>
      </c>
      <c r="J523">
        <f t="shared" si="320"/>
        <v>116.568284468688</v>
      </c>
      <c r="K523" s="40">
        <f t="shared" si="321"/>
        <v>85854.4203522865</v>
      </c>
      <c r="L523" s="40">
        <f t="shared" si="322"/>
        <v>85885.2624145643</v>
      </c>
      <c r="M523" s="40">
        <f t="shared" si="323"/>
        <v>85916.1044768421</v>
      </c>
      <c r="N523">
        <v>443.349</v>
      </c>
      <c r="O523">
        <v>439.434</v>
      </c>
      <c r="P523">
        <v>0.002</v>
      </c>
      <c r="Q523" s="39">
        <f t="shared" si="324"/>
        <v>494777.349167714</v>
      </c>
      <c r="R523" s="39">
        <f t="shared" si="325"/>
        <v>3353816.80169269</v>
      </c>
      <c r="S523" s="39">
        <f t="shared" si="326"/>
        <v>494758.421104466</v>
      </c>
      <c r="T523" s="39">
        <f t="shared" si="327"/>
        <v>3353792.88101979</v>
      </c>
      <c r="U523" s="39">
        <f t="shared" si="328"/>
        <v>494753.700846721</v>
      </c>
      <c r="V523" s="39">
        <f t="shared" si="329"/>
        <v>3353762.74483992</v>
      </c>
      <c r="AI523" t="str">
        <f t="array" ref="AI523">IFERROR(INDEX($L$2:$L$789,SMALL(IF(ISNUMBER(FIND($AH$2,$C$2:$C$789)),ROW($2:$789)-1,4^8),ROW(A522)))&amp;"","")</f>
        <v/>
      </c>
      <c r="AS523" t="str">
        <f t="shared" si="330"/>
        <v>-text 494750.2629,3353796.45 10 0 IP282</v>
      </c>
      <c r="AT523" t="str">
        <f t="shared" si="331"/>
        <v>494750.2629,3353796.45</v>
      </c>
      <c r="AV523">
        <f t="shared" si="316"/>
        <v>444.834</v>
      </c>
      <c r="AX523" t="str">
        <f t="shared" si="332"/>
        <v>pl 42942.6312072821,279 42942.6312072821,400 </v>
      </c>
      <c r="AY523" t="str">
        <f t="shared" si="333"/>
        <v>42942.6312072821,439.434</v>
      </c>
      <c r="AZ523" t="str">
        <f t="shared" si="334"/>
        <v>42942.6312072821,443.349</v>
      </c>
      <c r="BA523" t="str">
        <f t="shared" si="335"/>
        <v>42942.6312072821,444.834</v>
      </c>
      <c r="BB523" t="str">
        <f t="shared" si="336"/>
        <v>-text 42941.6312072821,337 3.5 90 439.434 </v>
      </c>
      <c r="BC523" t="str">
        <f t="shared" si="337"/>
        <v>-text 42941.6312072821,320 3.5 90 444.834 </v>
      </c>
      <c r="BD523" t="str">
        <f t="shared" si="338"/>
        <v>-text 42941.6312072821,306 3.5 90 443.349 </v>
      </c>
      <c r="BE523" t="str">
        <f t="shared" si="339"/>
        <v>-text 42941.6312072821,352 3.5 90 ZG85+885.262 </v>
      </c>
      <c r="BF523" t="str">
        <f t="shared" si="340"/>
        <v>-text 42941.6312072821,280 3.5 90 IP282 </v>
      </c>
      <c r="BG523" t="str">
        <f t="shared" si="341"/>
        <v>-TEXT 42943.6312072821,300 3.5 0 R=60</v>
      </c>
      <c r="BH523" t="str">
        <f t="shared" si="342"/>
        <v>-TEXT 42943.6312072821,295 3.5 0 α=58.90° </v>
      </c>
      <c r="BI523" t="str">
        <f t="shared" si="343"/>
        <v>-TEXT 42943.6312072821,290 3.5 0 T=33.88 </v>
      </c>
      <c r="BJ523" t="str">
        <f t="shared" si="344"/>
        <v>-TEXT 42943.6312072821,285 3.5 0 S=61.68 </v>
      </c>
    </row>
    <row r="524" spans="1:62">
      <c r="A524">
        <v>0</v>
      </c>
      <c r="B524">
        <v>523</v>
      </c>
      <c r="C524" t="s">
        <v>501</v>
      </c>
      <c r="D524">
        <v>494763.1427</v>
      </c>
      <c r="E524">
        <v>3353670.1782</v>
      </c>
      <c r="F524">
        <v>60</v>
      </c>
      <c r="G524">
        <f t="shared" si="317"/>
        <v>50.421</v>
      </c>
      <c r="H524">
        <f t="shared" si="318"/>
        <v>28.2472883636246</v>
      </c>
      <c r="I524">
        <f t="shared" si="319"/>
        <v>52.8007477288836</v>
      </c>
      <c r="J524">
        <f t="shared" si="320"/>
        <v>126.926973978493</v>
      </c>
      <c r="K524" s="40">
        <f t="shared" si="321"/>
        <v>85980.9041197499</v>
      </c>
      <c r="L524" s="40">
        <f t="shared" si="322"/>
        <v>86007.3044936143</v>
      </c>
      <c r="M524" s="40">
        <f t="shared" si="323"/>
        <v>86033.7048674788</v>
      </c>
      <c r="N524">
        <v>443.324</v>
      </c>
      <c r="O524">
        <v>439.409</v>
      </c>
      <c r="P524">
        <v>0.002</v>
      </c>
      <c r="Q524" s="39">
        <f t="shared" si="324"/>
        <v>494760.276331936</v>
      </c>
      <c r="R524" s="39">
        <f t="shared" si="325"/>
        <v>3353698.27968099</v>
      </c>
      <c r="S524" s="39">
        <f t="shared" si="326"/>
        <v>494757.184073622</v>
      </c>
      <c r="T524" s="39">
        <f t="shared" si="327"/>
        <v>3353672.27500545</v>
      </c>
      <c r="U524" s="39">
        <f t="shared" si="328"/>
        <v>494743.309692684</v>
      </c>
      <c r="V524" s="39">
        <f t="shared" si="329"/>
        <v>3353650.0644952</v>
      </c>
      <c r="AI524" t="str">
        <f t="array" ref="AI524">IFERROR(INDEX($L$2:$L$789,SMALL(IF(ISNUMBER(FIND($AH$2,$C$2:$C$789)),ROW($2:$789)-1,4^8),ROW(A523)))&amp;"","")</f>
        <v/>
      </c>
      <c r="AS524" t="str">
        <f t="shared" si="330"/>
        <v>-text 494763.1427,3353670.1782 10 0 IP283</v>
      </c>
      <c r="AT524" t="str">
        <f t="shared" si="331"/>
        <v>494763.1427,3353670.1782</v>
      </c>
      <c r="AV524">
        <f t="shared" si="316"/>
        <v>444.809</v>
      </c>
      <c r="AX524" t="str">
        <f t="shared" si="332"/>
        <v>pl 43003.6522468072,279 43003.6522468072,400 </v>
      </c>
      <c r="AY524" t="str">
        <f t="shared" si="333"/>
        <v>43003.6522468072,439.409</v>
      </c>
      <c r="AZ524" t="str">
        <f t="shared" si="334"/>
        <v>43003.6522468072,443.324</v>
      </c>
      <c r="BA524" t="str">
        <f t="shared" si="335"/>
        <v>43003.6522468072,444.809</v>
      </c>
      <c r="BB524" t="str">
        <f t="shared" si="336"/>
        <v>-text 43002.6522468072,337 3.5 90 439.409 </v>
      </c>
      <c r="BC524" t="str">
        <f t="shared" si="337"/>
        <v>-text 43002.6522468072,320 3.5 90 444.809 </v>
      </c>
      <c r="BD524" t="str">
        <f t="shared" si="338"/>
        <v>-text 43002.6522468072,306 3.5 90 443.324 </v>
      </c>
      <c r="BE524" t="str">
        <f t="shared" si="339"/>
        <v>-text 43002.6522468072,352 3.5 90 ZG86+007.304 </v>
      </c>
      <c r="BF524" t="str">
        <f t="shared" si="340"/>
        <v>-text 43002.6522468072,280 3.5 90 IP283 </v>
      </c>
      <c r="BG524" t="str">
        <f t="shared" si="341"/>
        <v>-TEXT 43004.6522468072,300 3.5 0 R=60</v>
      </c>
      <c r="BH524" t="str">
        <f t="shared" si="342"/>
        <v>-TEXT 43004.6522468072,295 3.5 0 α=50.42° </v>
      </c>
      <c r="BI524" t="str">
        <f t="shared" si="343"/>
        <v>-TEXT 43004.6522468072,290 3.5 0 T=28.25 </v>
      </c>
      <c r="BJ524" t="str">
        <f t="shared" si="344"/>
        <v>-TEXT 43004.6522468072,285 3.5 0 S=52.80 </v>
      </c>
    </row>
    <row r="525" spans="1:62">
      <c r="A525">
        <v>0</v>
      </c>
      <c r="B525">
        <v>524</v>
      </c>
      <c r="C525" t="s">
        <v>502</v>
      </c>
      <c r="D525">
        <v>494724.5715</v>
      </c>
      <c r="E525">
        <v>3353631.0611</v>
      </c>
      <c r="F525">
        <v>60</v>
      </c>
      <c r="G525">
        <f t="shared" si="317"/>
        <v>28.002</v>
      </c>
      <c r="H525">
        <f t="shared" si="318"/>
        <v>14.9607924714454</v>
      </c>
      <c r="I525">
        <f t="shared" si="319"/>
        <v>29.3236258286071</v>
      </c>
      <c r="J525">
        <f t="shared" si="320"/>
        <v>54.9352799377946</v>
      </c>
      <c r="K525" s="40">
        <f t="shared" si="321"/>
        <v>86045.4320665815</v>
      </c>
      <c r="L525" s="40">
        <f t="shared" si="322"/>
        <v>86060.0938794958</v>
      </c>
      <c r="M525" s="40">
        <f t="shared" si="323"/>
        <v>86074.7556924101</v>
      </c>
      <c r="N525">
        <v>443.313</v>
      </c>
      <c r="O525">
        <v>439.398</v>
      </c>
      <c r="P525">
        <v>0.001</v>
      </c>
      <c r="Q525" s="39">
        <f t="shared" si="324"/>
        <v>494735.075782844</v>
      </c>
      <c r="R525" s="39">
        <f t="shared" si="325"/>
        <v>3353641.71405045</v>
      </c>
      <c r="S525" s="39">
        <f t="shared" si="326"/>
        <v>494726.152822626</v>
      </c>
      <c r="T525" s="39">
        <f t="shared" si="327"/>
        <v>3353630.12604425</v>
      </c>
      <c r="U525" s="39">
        <f t="shared" si="328"/>
        <v>494720.298550227</v>
      </c>
      <c r="V525" s="39">
        <f t="shared" si="329"/>
        <v>3353616.72348473</v>
      </c>
      <c r="AI525" t="str">
        <f t="array" ref="AI525">IFERROR(INDEX($L$2:$L$789,SMALL(IF(ISNUMBER(FIND($AH$2,$C$2:$C$789)),ROW($2:$789)-1,4^8),ROW(A524)))&amp;"","")</f>
        <v/>
      </c>
      <c r="AS525" t="str">
        <f t="shared" si="330"/>
        <v>-text 494724.5715,3353631.0611 10 0 IP284</v>
      </c>
      <c r="AT525" t="str">
        <f t="shared" si="331"/>
        <v>494724.5715,3353631.0611</v>
      </c>
      <c r="AV525">
        <f t="shared" si="316"/>
        <v>444.798</v>
      </c>
      <c r="AX525" t="str">
        <f t="shared" si="332"/>
        <v>pl 43030.0469397479,279 43030.0469397479,400 </v>
      </c>
      <c r="AY525" t="str">
        <f t="shared" si="333"/>
        <v>43030.0469397479,439.398</v>
      </c>
      <c r="AZ525" t="str">
        <f t="shared" si="334"/>
        <v>43030.0469397479,443.313</v>
      </c>
      <c r="BA525" t="str">
        <f t="shared" si="335"/>
        <v>43030.0469397479,444.798</v>
      </c>
      <c r="BB525" t="str">
        <f t="shared" si="336"/>
        <v>-text 43029.0469397479,337 3.5 90 439.398 </v>
      </c>
      <c r="BC525" t="str">
        <f t="shared" si="337"/>
        <v>-text 43029.0469397479,320 3.5 90 444.798 </v>
      </c>
      <c r="BD525" t="str">
        <f t="shared" si="338"/>
        <v>-text 43029.0469397479,306 3.5 90 443.313 </v>
      </c>
      <c r="BE525" t="str">
        <f t="shared" si="339"/>
        <v>-text 43029.0469397479,352 3.5 90 ZG86+060.094 </v>
      </c>
      <c r="BF525" t="str">
        <f t="shared" si="340"/>
        <v>-text 43029.0469397479,280 3.5 90 IP284 </v>
      </c>
      <c r="BG525" t="str">
        <f t="shared" si="341"/>
        <v>-TEXT 43031.0469397479,300 3.5 0 R=60</v>
      </c>
      <c r="BH525" t="str">
        <f t="shared" si="342"/>
        <v>-TEXT 43031.0469397479,295 3.5 0 α=28.00° </v>
      </c>
      <c r="BI525" t="str">
        <f t="shared" si="343"/>
        <v>-TEXT 43031.0469397479,290 3.5 0 T=14.96 </v>
      </c>
      <c r="BJ525" t="str">
        <f t="shared" si="344"/>
        <v>-TEXT 43031.0469397479,285 3.5 0 S=29.32 </v>
      </c>
    </row>
    <row r="526" spans="1:62">
      <c r="A526">
        <v>0</v>
      </c>
      <c r="B526">
        <v>525</v>
      </c>
      <c r="C526" t="s">
        <v>503</v>
      </c>
      <c r="D526">
        <v>494702.6509</v>
      </c>
      <c r="E526">
        <v>3353557.5079</v>
      </c>
      <c r="F526">
        <v>60</v>
      </c>
      <c r="G526">
        <f t="shared" si="317"/>
        <v>40.357</v>
      </c>
      <c r="H526">
        <f t="shared" si="318"/>
        <v>22.0501425469215</v>
      </c>
      <c r="I526">
        <f t="shared" si="319"/>
        <v>42.2617515736411</v>
      </c>
      <c r="J526">
        <f t="shared" si="320"/>
        <v>76.7501526682227</v>
      </c>
      <c r="K526" s="40">
        <f t="shared" si="321"/>
        <v>86114.4949100599</v>
      </c>
      <c r="L526" s="40">
        <f t="shared" si="322"/>
        <v>86135.6257858467</v>
      </c>
      <c r="M526" s="40">
        <f t="shared" si="323"/>
        <v>86156.7566616336</v>
      </c>
      <c r="N526">
        <v>443.297</v>
      </c>
      <c r="O526">
        <v>439.382</v>
      </c>
      <c r="P526">
        <v>0.002</v>
      </c>
      <c r="Q526" s="39">
        <f t="shared" si="324"/>
        <v>494708.948638023</v>
      </c>
      <c r="R526" s="39">
        <f t="shared" si="325"/>
        <v>3353578.63956539</v>
      </c>
      <c r="S526" s="39">
        <f t="shared" si="326"/>
        <v>494699.508181562</v>
      </c>
      <c r="T526" s="39">
        <f t="shared" si="327"/>
        <v>3353559.85671883</v>
      </c>
      <c r="U526" s="39">
        <f t="shared" si="328"/>
        <v>494684.16807245</v>
      </c>
      <c r="V526" s="39">
        <f t="shared" si="329"/>
        <v>3353545.48318079</v>
      </c>
      <c r="AI526" t="str">
        <f t="array" ref="AI526">IFERROR(INDEX($L$2:$L$789,SMALL(IF(ISNUMBER(FIND($AH$2,$C$2:$C$789)),ROW($2:$789)-1,4^8),ROW(A525)))&amp;"","")</f>
        <v/>
      </c>
      <c r="AS526" t="str">
        <f t="shared" si="330"/>
        <v>-text 494702.6509,3353557.5079 10 0 IP285</v>
      </c>
      <c r="AT526" t="str">
        <f t="shared" si="331"/>
        <v>494702.6509,3353557.5079</v>
      </c>
      <c r="AV526">
        <f t="shared" si="316"/>
        <v>444.782</v>
      </c>
      <c r="AX526" t="str">
        <f t="shared" si="332"/>
        <v>pl 43067.8128929234,279 43067.8128929234,400 </v>
      </c>
      <c r="AY526" t="str">
        <f t="shared" si="333"/>
        <v>43067.8128929234,439.382</v>
      </c>
      <c r="AZ526" t="str">
        <f t="shared" si="334"/>
        <v>43067.8128929234,443.297</v>
      </c>
      <c r="BA526" t="str">
        <f t="shared" si="335"/>
        <v>43067.8128929234,444.782</v>
      </c>
      <c r="BB526" t="str">
        <f t="shared" si="336"/>
        <v>-text 43066.8128929234,337 3.5 90 439.382 </v>
      </c>
      <c r="BC526" t="str">
        <f t="shared" si="337"/>
        <v>-text 43066.8128929234,320 3.5 90 444.782 </v>
      </c>
      <c r="BD526" t="str">
        <f t="shared" si="338"/>
        <v>-text 43066.8128929234,306 3.5 90 443.297 </v>
      </c>
      <c r="BE526" t="str">
        <f t="shared" si="339"/>
        <v>-text 43066.8128929234,352 3.5 90 ZG86+135.626 </v>
      </c>
      <c r="BF526" t="str">
        <f t="shared" si="340"/>
        <v>-text 43066.8128929234,280 3.5 90 IP285 </v>
      </c>
      <c r="BG526" t="str">
        <f t="shared" si="341"/>
        <v>-TEXT 43068.8128929234,300 3.5 0 R=60</v>
      </c>
      <c r="BH526" t="str">
        <f t="shared" si="342"/>
        <v>-TEXT 43068.8128929234,295 3.5 0 α=40.36° </v>
      </c>
      <c r="BI526" t="str">
        <f t="shared" si="343"/>
        <v>-TEXT 43068.8128929234,290 3.5 0 T=22.05 </v>
      </c>
      <c r="BJ526" t="str">
        <f t="shared" si="344"/>
        <v>-TEXT 43068.8128929234,285 3.5 0 S=42.26 </v>
      </c>
    </row>
    <row r="527" spans="1:62">
      <c r="A527">
        <v>1</v>
      </c>
      <c r="B527">
        <v>526</v>
      </c>
      <c r="C527" t="str">
        <f>Sheet1!C484</f>
        <v>天台山隧进</v>
      </c>
      <c r="D527">
        <v>494671.6602</v>
      </c>
      <c r="E527">
        <v>3353537.3457</v>
      </c>
      <c r="G527">
        <f t="shared" si="317"/>
        <v>0</v>
      </c>
      <c r="H527">
        <f t="shared" si="318"/>
        <v>0</v>
      </c>
      <c r="I527">
        <f t="shared" si="319"/>
        <v>0</v>
      </c>
      <c r="J527">
        <f t="shared" si="320"/>
        <v>36.9721218668473</v>
      </c>
      <c r="K527" s="40">
        <f t="shared" si="321"/>
        <v>86171.6786409535</v>
      </c>
      <c r="L527" s="40">
        <f t="shared" si="322"/>
        <v>86171.6786409535</v>
      </c>
      <c r="M527" s="40">
        <f t="shared" si="323"/>
        <v>86171.6786409535</v>
      </c>
      <c r="N527">
        <v>443.287</v>
      </c>
      <c r="O527">
        <v>439.398</v>
      </c>
      <c r="P527">
        <v>0</v>
      </c>
      <c r="Q527" s="39">
        <f t="shared" si="324"/>
        <v>494671.6602</v>
      </c>
      <c r="R527" s="39">
        <f t="shared" si="325"/>
        <v>3353537.3457</v>
      </c>
      <c r="S527" s="39" t="str">
        <f t="shared" si="326"/>
        <v> </v>
      </c>
      <c r="T527" s="39" t="str">
        <f t="shared" si="327"/>
        <v> </v>
      </c>
      <c r="U527" s="39" t="str">
        <f t="shared" si="328"/>
        <v> </v>
      </c>
      <c r="V527" s="39" t="str">
        <f t="shared" si="329"/>
        <v> </v>
      </c>
      <c r="AI527" t="str">
        <f t="array" ref="AI527">IFERROR(INDEX($L$2:$L$789,SMALL(IF(ISNUMBER(FIND($AH$2,$C$2:$C$789)),ROW($2:$789)-1,4^8),ROW(A526)))&amp;"","")</f>
        <v/>
      </c>
      <c r="AT527" t="str">
        <f t="shared" si="331"/>
        <v>494671.6602,3353537.3457</v>
      </c>
      <c r="AV527">
        <f t="shared" si="316"/>
        <v>444.498</v>
      </c>
      <c r="AX527" t="str">
        <f t="shared" si="332"/>
        <v>pl 43085.8393204767,279 43085.8393204767,400 </v>
      </c>
      <c r="AY527" t="str">
        <f t="shared" si="333"/>
        <v>43085.8393204767,439.398</v>
      </c>
      <c r="AZ527" t="str">
        <f t="shared" si="334"/>
        <v>43085.8393204767,443.287</v>
      </c>
      <c r="BA527" t="str">
        <f t="shared" si="335"/>
        <v>43085.8393204767,444.498</v>
      </c>
      <c r="BB527" t="str">
        <f t="shared" si="336"/>
        <v>-text 43084.8393204767,337 3.5 90 439.398 </v>
      </c>
      <c r="BC527" t="str">
        <f t="shared" si="337"/>
        <v>-text 43084.8393204767,320 3.5 90 444.498 </v>
      </c>
      <c r="BD527" t="str">
        <f t="shared" si="338"/>
        <v>-text 43084.8393204767,306 3.5 90 443.287 </v>
      </c>
      <c r="BE527" t="str">
        <f t="shared" si="339"/>
        <v>-text 43084.8393204767,352 3.5 90 ZG86+171.679 </v>
      </c>
      <c r="BF527" t="str">
        <f t="shared" si="340"/>
        <v>-text 43084.8393204767,280 3.5 90 天台山隧进 </v>
      </c>
      <c r="BG527" t="str">
        <f t="shared" si="341"/>
        <v/>
      </c>
      <c r="BH527" t="str">
        <f t="shared" si="342"/>
        <v> </v>
      </c>
      <c r="BI527" t="str">
        <f t="shared" si="343"/>
        <v> </v>
      </c>
      <c r="BJ527" t="str">
        <f t="shared" si="344"/>
        <v> </v>
      </c>
    </row>
    <row r="528" spans="1:62">
      <c r="A528">
        <v>1</v>
      </c>
      <c r="B528">
        <v>527</v>
      </c>
      <c r="C528" t="str">
        <f>Sheet1!C485</f>
        <v>天台山隧出</v>
      </c>
      <c r="D528">
        <v>494514.0753</v>
      </c>
      <c r="E528">
        <v>3353434.8225</v>
      </c>
      <c r="G528">
        <f t="shared" si="317"/>
        <v>0</v>
      </c>
      <c r="H528">
        <f t="shared" si="318"/>
        <v>0</v>
      </c>
      <c r="I528">
        <f t="shared" si="319"/>
        <v>0</v>
      </c>
      <c r="J528">
        <f t="shared" si="320"/>
        <v>188.000019271998</v>
      </c>
      <c r="K528" s="40">
        <f t="shared" si="321"/>
        <v>86359.6786602255</v>
      </c>
      <c r="L528" s="40">
        <f t="shared" si="322"/>
        <v>86359.6786602255</v>
      </c>
      <c r="M528" s="40">
        <f t="shared" si="323"/>
        <v>86359.6786602255</v>
      </c>
      <c r="N528">
        <v>443.252</v>
      </c>
      <c r="O528">
        <v>439.363</v>
      </c>
      <c r="P528">
        <v>0</v>
      </c>
      <c r="Q528" s="39">
        <f t="shared" si="324"/>
        <v>494514.0753</v>
      </c>
      <c r="R528" s="39">
        <f t="shared" si="325"/>
        <v>3353434.8225</v>
      </c>
      <c r="S528" s="39" t="str">
        <f t="shared" si="326"/>
        <v> </v>
      </c>
      <c r="T528" s="39" t="str">
        <f t="shared" si="327"/>
        <v> </v>
      </c>
      <c r="U528" s="39" t="str">
        <f t="shared" si="328"/>
        <v> </v>
      </c>
      <c r="V528" s="39" t="str">
        <f t="shared" si="329"/>
        <v> </v>
      </c>
      <c r="AI528" t="str">
        <f t="array" ref="AI528">IFERROR(INDEX($L$2:$L$789,SMALL(IF(ISNUMBER(FIND($AH$2,$C$2:$C$789)),ROW($2:$789)-1,4^8),ROW(A527)))&amp;"","")</f>
        <v/>
      </c>
      <c r="AT528" t="str">
        <f t="shared" si="331"/>
        <v>494514.0753,3353434.8225</v>
      </c>
      <c r="AV528">
        <f t="shared" si="316"/>
        <v>444.463</v>
      </c>
      <c r="AX528" t="str">
        <f t="shared" si="332"/>
        <v>pl 43179.8393301127,279 43179.8393301127,400 </v>
      </c>
      <c r="AY528" t="str">
        <f t="shared" si="333"/>
        <v>43179.8393301127,439.363</v>
      </c>
      <c r="AZ528" t="str">
        <f t="shared" si="334"/>
        <v>43179.8393301127,443.252</v>
      </c>
      <c r="BA528" t="str">
        <f t="shared" si="335"/>
        <v>43179.8393301127,444.463</v>
      </c>
      <c r="BB528" t="str">
        <f t="shared" si="336"/>
        <v>-text 43178.8393301127,337 3.5 90 439.363 </v>
      </c>
      <c r="BC528" t="str">
        <f t="shared" si="337"/>
        <v>-text 43178.8393301127,320 3.5 90 444.463 </v>
      </c>
      <c r="BD528" t="str">
        <f t="shared" si="338"/>
        <v>-text 43178.8393301127,306 3.5 90 443.252 </v>
      </c>
      <c r="BE528" t="str">
        <f t="shared" si="339"/>
        <v>-text 43178.8393301127,352 3.5 90 ZG86+359.679 </v>
      </c>
      <c r="BF528" t="str">
        <f t="shared" si="340"/>
        <v>-text 43178.8393301127,280 3.5 90 天台山隧出 </v>
      </c>
      <c r="BG528" t="str">
        <f t="shared" si="341"/>
        <v/>
      </c>
      <c r="BH528" t="str">
        <f t="shared" si="342"/>
        <v> </v>
      </c>
      <c r="BI528" t="str">
        <f t="shared" si="343"/>
        <v> </v>
      </c>
      <c r="BJ528" t="str">
        <f t="shared" si="344"/>
        <v> </v>
      </c>
    </row>
    <row r="529" spans="1:62">
      <c r="A529">
        <v>0</v>
      </c>
      <c r="B529">
        <v>528</v>
      </c>
      <c r="C529" t="s">
        <v>506</v>
      </c>
      <c r="D529">
        <v>494489.6742</v>
      </c>
      <c r="E529">
        <v>3353418.9474</v>
      </c>
      <c r="F529">
        <v>60</v>
      </c>
      <c r="G529">
        <f t="shared" si="317"/>
        <v>42.668</v>
      </c>
      <c r="H529">
        <f t="shared" si="318"/>
        <v>23.4340489386134</v>
      </c>
      <c r="I529">
        <f t="shared" si="319"/>
        <v>44.6818251144564</v>
      </c>
      <c r="J529">
        <f t="shared" si="320"/>
        <v>29.1106935887047</v>
      </c>
      <c r="K529" s="40">
        <f t="shared" si="321"/>
        <v>86365.3553048756</v>
      </c>
      <c r="L529" s="40">
        <f t="shared" si="322"/>
        <v>86387.6962174328</v>
      </c>
      <c r="M529" s="40">
        <f t="shared" si="323"/>
        <v>86410.03712999</v>
      </c>
      <c r="N529">
        <v>443.25</v>
      </c>
      <c r="O529">
        <v>439.335</v>
      </c>
      <c r="P529">
        <v>0.002</v>
      </c>
      <c r="Q529" s="39">
        <f t="shared" si="324"/>
        <v>494509.31703571</v>
      </c>
      <c r="R529" s="39">
        <f t="shared" si="325"/>
        <v>3353431.72682311</v>
      </c>
      <c r="S529" s="39">
        <f t="shared" si="326"/>
        <v>494493.262349114</v>
      </c>
      <c r="T529" s="39">
        <f t="shared" si="327"/>
        <v>3353416.37679601</v>
      </c>
      <c r="U529" s="39">
        <f t="shared" si="328"/>
        <v>494483.892208543</v>
      </c>
      <c r="V529" s="39">
        <f t="shared" si="329"/>
        <v>3353396.23785962</v>
      </c>
      <c r="AI529" t="str">
        <f t="array" ref="AI529">IFERROR(INDEX($L$2:$L$789,SMALL(IF(ISNUMBER(FIND($AH$2,$C$2:$C$789)),ROW($2:$789)-1,4^8),ROW(A528)))&amp;"","")</f>
        <v/>
      </c>
      <c r="AS529" t="str">
        <f>"-text"&amp;" "&amp;D529&amp;","&amp;E529&amp;" "&amp;"10"&amp;" "&amp;"0"&amp;" "&amp;C529</f>
        <v>-text 494489.6742,3353418.9474 10 0 IP286</v>
      </c>
      <c r="AT529" t="str">
        <f t="shared" si="331"/>
        <v>494489.6742,3353418.9474</v>
      </c>
      <c r="AV529">
        <f t="shared" si="316"/>
        <v>444.735</v>
      </c>
      <c r="AX529" t="str">
        <f t="shared" si="332"/>
        <v>pl 43193.8481087164,279 43193.8481087164,400 </v>
      </c>
      <c r="AY529" t="str">
        <f t="shared" si="333"/>
        <v>43193.8481087164,439.335</v>
      </c>
      <c r="AZ529" t="str">
        <f t="shared" si="334"/>
        <v>43193.8481087164,443.25</v>
      </c>
      <c r="BA529" t="str">
        <f t="shared" si="335"/>
        <v>43193.8481087164,444.735</v>
      </c>
      <c r="BB529" t="str">
        <f t="shared" si="336"/>
        <v>-text 43192.8481087164,337 3.5 90 439.335 </v>
      </c>
      <c r="BC529" t="str">
        <f t="shared" si="337"/>
        <v>-text 43192.8481087164,320 3.5 90 444.735 </v>
      </c>
      <c r="BD529" t="str">
        <f t="shared" si="338"/>
        <v>-text 43192.8481087164,306 3.5 90 443.250 </v>
      </c>
      <c r="BE529" t="str">
        <f t="shared" si="339"/>
        <v>-text 43192.8481087164,352 3.5 90 ZG86+387.696 </v>
      </c>
      <c r="BF529" t="str">
        <f t="shared" si="340"/>
        <v>-text 43192.8481087164,280 3.5 90 IP286 </v>
      </c>
      <c r="BG529" t="str">
        <f t="shared" si="341"/>
        <v>-TEXT 43194.8481087164,300 3.5 0 R=60</v>
      </c>
      <c r="BH529" t="str">
        <f t="shared" si="342"/>
        <v>-TEXT 43194.8481087164,295 3.5 0 α=42.67° </v>
      </c>
      <c r="BI529" t="str">
        <f t="shared" si="343"/>
        <v>-TEXT 43194.8481087164,290 3.5 0 T=23.43 </v>
      </c>
      <c r="BJ529" t="str">
        <f t="shared" si="344"/>
        <v>-TEXT 43194.8481087164,285 3.5 0 S=44.68 </v>
      </c>
    </row>
    <row r="530" spans="1:62">
      <c r="A530">
        <v>0</v>
      </c>
      <c r="B530">
        <v>529</v>
      </c>
      <c r="C530" t="s">
        <v>507</v>
      </c>
      <c r="D530" s="54">
        <v>494460.2561</v>
      </c>
      <c r="E530" s="54">
        <v>3353303.4039</v>
      </c>
      <c r="F530" s="54">
        <v>60</v>
      </c>
      <c r="G530" s="54">
        <f t="shared" si="317"/>
        <v>45.334</v>
      </c>
      <c r="H530" s="54">
        <f t="shared" si="318"/>
        <v>25.0579489818359</v>
      </c>
      <c r="I530" s="54">
        <f t="shared" si="319"/>
        <v>47.4736537859466</v>
      </c>
      <c r="J530" s="54">
        <f t="shared" si="320"/>
        <v>119.229715255444</v>
      </c>
      <c r="K530" s="55">
        <f t="shared" si="321"/>
        <v>86480.774847325</v>
      </c>
      <c r="L530" s="55">
        <f t="shared" si="322"/>
        <v>86504.511674218</v>
      </c>
      <c r="M530" s="55">
        <f t="shared" si="323"/>
        <v>86528.248501111</v>
      </c>
      <c r="N530" s="54">
        <v>443.226</v>
      </c>
      <c r="O530" s="54">
        <v>439.311</v>
      </c>
      <c r="P530" s="54">
        <v>0.002</v>
      </c>
      <c r="Q530" s="39">
        <f t="shared" si="324"/>
        <v>494466.438763838</v>
      </c>
      <c r="R530" s="39">
        <f t="shared" si="325"/>
        <v>3353327.68713444</v>
      </c>
      <c r="S530" s="39">
        <f t="shared" si="326"/>
        <v>494456.242561393</v>
      </c>
      <c r="T530" s="39">
        <f t="shared" si="327"/>
        <v>3353306.42296103</v>
      </c>
      <c r="U530" s="39">
        <f t="shared" si="328"/>
        <v>494438.639291554</v>
      </c>
      <c r="V530" s="39">
        <f t="shared" si="329"/>
        <v>3353290.73052635</v>
      </c>
      <c r="AI530" t="str">
        <f t="array" ref="AI530">IFERROR(INDEX($L$2:$L$789,SMALL(IF(ISNUMBER(FIND($AH$2,$C$2:$C$789)),ROW($2:$789)-1,4^8),ROW(A529)))&amp;"","")</f>
        <v/>
      </c>
      <c r="AS530" t="str">
        <f>"-text"&amp;" "&amp;D530&amp;","&amp;E530&amp;" "&amp;"10"&amp;" "&amp;"0"&amp;" "&amp;C530</f>
        <v>-text 494460.2561,3353303.4039 10 0 IP287</v>
      </c>
      <c r="AT530" t="str">
        <f t="shared" si="331"/>
        <v>494460.2561,3353303.4039</v>
      </c>
      <c r="AV530">
        <f t="shared" si="316"/>
        <v>444.711</v>
      </c>
      <c r="AX530" t="str">
        <f t="shared" si="332"/>
        <v>pl 43252.255837109,279 43252.255837109,400 </v>
      </c>
      <c r="AY530" t="str">
        <f t="shared" si="333"/>
        <v>43252.255837109,439.311</v>
      </c>
      <c r="AZ530" t="str">
        <f t="shared" si="334"/>
        <v>43252.255837109,443.226</v>
      </c>
      <c r="BA530" t="str">
        <f t="shared" si="335"/>
        <v>43252.255837109,444.711</v>
      </c>
      <c r="BB530" t="str">
        <f t="shared" si="336"/>
        <v>-text 43251.255837109,337 3.5 90 439.311 </v>
      </c>
      <c r="BC530" t="str">
        <f t="shared" si="337"/>
        <v>-text 43251.255837109,320 3.5 90 444.711 </v>
      </c>
      <c r="BD530" t="str">
        <f t="shared" si="338"/>
        <v>-text 43251.255837109,306 3.5 90 443.226 </v>
      </c>
      <c r="BE530" t="str">
        <f t="shared" si="339"/>
        <v>-text 43251.255837109,352 3.5 90 ZG86+504.512 </v>
      </c>
      <c r="BF530" t="str">
        <f t="shared" si="340"/>
        <v>-text 43251.255837109,280 3.5 90 IP287 </v>
      </c>
      <c r="BG530" t="str">
        <f t="shared" si="341"/>
        <v>-TEXT 43253.255837109,300 3.5 0 R=60</v>
      </c>
      <c r="BH530" t="str">
        <f t="shared" si="342"/>
        <v>-TEXT 43253.255837109,295 3.5 0 α=45.33° </v>
      </c>
      <c r="BI530" t="str">
        <f t="shared" si="343"/>
        <v>-TEXT 43253.255837109,290 3.5 0 T=25.06 </v>
      </c>
      <c r="BJ530" t="str">
        <f t="shared" si="344"/>
        <v>-TEXT 43253.255837109,285 3.5 0 S=47.47 </v>
      </c>
    </row>
    <row r="531" spans="1:62">
      <c r="A531">
        <v>1</v>
      </c>
      <c r="B531">
        <v>530</v>
      </c>
      <c r="C531" t="str">
        <f>Sheet1!C488</f>
        <v>牯牛坡隧进</v>
      </c>
      <c r="D531" s="54">
        <v>494373.5678</v>
      </c>
      <c r="E531" s="54">
        <v>3353252.5808</v>
      </c>
      <c r="F531" s="54"/>
      <c r="G531" s="54">
        <f t="shared" si="317"/>
        <v>0</v>
      </c>
      <c r="H531" s="54">
        <f t="shared" si="318"/>
        <v>0</v>
      </c>
      <c r="I531" s="54">
        <f t="shared" si="319"/>
        <v>0</v>
      </c>
      <c r="J531" s="54">
        <f t="shared" si="320"/>
        <v>100.488053272341</v>
      </c>
      <c r="K531" s="55">
        <f t="shared" si="321"/>
        <v>86603.6786054015</v>
      </c>
      <c r="L531" s="55">
        <f t="shared" si="322"/>
        <v>86603.6786054015</v>
      </c>
      <c r="M531" s="55">
        <f t="shared" si="323"/>
        <v>86603.6786054015</v>
      </c>
      <c r="N531" s="54">
        <v>443.203</v>
      </c>
      <c r="O531" s="54">
        <v>439.314</v>
      </c>
      <c r="P531" s="54">
        <v>0</v>
      </c>
      <c r="Q531" s="39">
        <f t="shared" si="324"/>
        <v>494373.5678</v>
      </c>
      <c r="R531" s="39">
        <f t="shared" si="325"/>
        <v>3353252.5808</v>
      </c>
      <c r="S531" s="39" t="str">
        <f t="shared" si="326"/>
        <v> </v>
      </c>
      <c r="T531" s="39" t="str">
        <f t="shared" si="327"/>
        <v> </v>
      </c>
      <c r="U531" s="39" t="str">
        <f t="shared" si="328"/>
        <v> </v>
      </c>
      <c r="V531" s="39" t="str">
        <f t="shared" si="329"/>
        <v> </v>
      </c>
      <c r="AI531" t="str">
        <f t="array" ref="AI531">IFERROR(INDEX($L$2:$L$789,SMALL(IF(ISNUMBER(FIND($AH$2,$C$2:$C$789)),ROW($2:$789)-1,4^8),ROW(A530)))&amp;"","")</f>
        <v/>
      </c>
      <c r="AT531" t="str">
        <f t="shared" si="331"/>
        <v>494373.5678,3353252.5808</v>
      </c>
      <c r="AV531">
        <f t="shared" si="316"/>
        <v>444.414</v>
      </c>
      <c r="AX531" t="str">
        <f t="shared" si="332"/>
        <v>pl 43301.8393027007,279 43301.8393027007,400 </v>
      </c>
      <c r="AY531" t="str">
        <f t="shared" si="333"/>
        <v>43301.8393027007,439.314</v>
      </c>
      <c r="AZ531" t="str">
        <f t="shared" si="334"/>
        <v>43301.8393027007,443.203</v>
      </c>
      <c r="BA531" t="str">
        <f t="shared" si="335"/>
        <v>43301.8393027007,444.414</v>
      </c>
      <c r="BB531" t="str">
        <f t="shared" si="336"/>
        <v>-text 43300.8393027007,337 3.5 90 439.314 </v>
      </c>
      <c r="BC531" t="str">
        <f t="shared" si="337"/>
        <v>-text 43300.8393027007,320 3.5 90 444.414 </v>
      </c>
      <c r="BD531" t="str">
        <f t="shared" si="338"/>
        <v>-text 43300.8393027007,306 3.5 90 443.203 </v>
      </c>
      <c r="BE531" t="str">
        <f t="shared" si="339"/>
        <v>-text 43300.8393027007,352 3.5 90 ZG86+603.679 </v>
      </c>
      <c r="BF531" t="str">
        <f t="shared" si="340"/>
        <v>-text 43300.8393027007,280 3.5 90 牯牛坡隧进 </v>
      </c>
      <c r="BG531" t="str">
        <f t="shared" si="341"/>
        <v/>
      </c>
      <c r="BH531" t="str">
        <f t="shared" si="342"/>
        <v> </v>
      </c>
      <c r="BI531" t="str">
        <f t="shared" si="343"/>
        <v> </v>
      </c>
      <c r="BJ531" t="str">
        <f t="shared" si="344"/>
        <v> </v>
      </c>
    </row>
    <row r="532" spans="1:62">
      <c r="A532">
        <v>1</v>
      </c>
      <c r="B532">
        <v>531</v>
      </c>
      <c r="C532" t="str">
        <f>Sheet1!C489</f>
        <v>牯牛坡隧出</v>
      </c>
      <c r="D532" s="54">
        <v>494264.0084</v>
      </c>
      <c r="E532" s="54">
        <v>3353188.3489</v>
      </c>
      <c r="F532" s="54"/>
      <c r="G532" s="54">
        <f t="shared" si="317"/>
        <v>0</v>
      </c>
      <c r="H532" s="54">
        <f t="shared" si="318"/>
        <v>0</v>
      </c>
      <c r="I532" s="54">
        <f t="shared" si="319"/>
        <v>0</v>
      </c>
      <c r="J532" s="54">
        <f t="shared" si="320"/>
        <v>126.999996480227</v>
      </c>
      <c r="K532" s="55">
        <f t="shared" si="321"/>
        <v>86730.6786018817</v>
      </c>
      <c r="L532" s="55">
        <f t="shared" si="322"/>
        <v>86730.6786018817</v>
      </c>
      <c r="M532" s="55">
        <f t="shared" si="323"/>
        <v>86730.6786018817</v>
      </c>
      <c r="N532" s="54">
        <v>443.18</v>
      </c>
      <c r="O532" s="54">
        <v>439.291</v>
      </c>
      <c r="P532" s="54">
        <v>0</v>
      </c>
      <c r="Q532" s="39">
        <f t="shared" si="324"/>
        <v>494264.0084</v>
      </c>
      <c r="R532" s="39">
        <f t="shared" si="325"/>
        <v>3353188.3489</v>
      </c>
      <c r="S532" s="39" t="str">
        <f t="shared" si="326"/>
        <v> </v>
      </c>
      <c r="T532" s="39" t="str">
        <f t="shared" si="327"/>
        <v> </v>
      </c>
      <c r="U532" s="39" t="str">
        <f t="shared" si="328"/>
        <v> </v>
      </c>
      <c r="V532" s="39" t="str">
        <f t="shared" si="329"/>
        <v> </v>
      </c>
      <c r="AI532" t="str">
        <f t="array" ref="AI532">IFERROR(INDEX($L$2:$L$789,SMALL(IF(ISNUMBER(FIND($AH$2,$C$2:$C$789)),ROW($2:$789)-1,4^8),ROW(A531)))&amp;"","")</f>
        <v/>
      </c>
      <c r="AT532" t="str">
        <f t="shared" si="331"/>
        <v>494264.0084,3353188.3489</v>
      </c>
      <c r="AV532">
        <f t="shared" si="316"/>
        <v>444.391</v>
      </c>
      <c r="AX532" t="str">
        <f t="shared" si="332"/>
        <v>pl 43365.3393009409,279 43365.3393009409,400 </v>
      </c>
      <c r="AY532" t="str">
        <f t="shared" si="333"/>
        <v>43365.3393009409,439.291</v>
      </c>
      <c r="AZ532" t="str">
        <f t="shared" si="334"/>
        <v>43365.3393009409,443.18</v>
      </c>
      <c r="BA532" t="str">
        <f t="shared" si="335"/>
        <v>43365.3393009409,444.391</v>
      </c>
      <c r="BB532" t="str">
        <f t="shared" si="336"/>
        <v>-text 43364.3393009409,337 3.5 90 439.291 </v>
      </c>
      <c r="BC532" t="str">
        <f t="shared" si="337"/>
        <v>-text 43364.3393009409,320 3.5 90 444.391 </v>
      </c>
      <c r="BD532" t="str">
        <f t="shared" si="338"/>
        <v>-text 43364.3393009409,306 3.5 90 443.180 </v>
      </c>
      <c r="BE532" t="str">
        <f t="shared" si="339"/>
        <v>-text 43364.3393009409,352 3.5 90 ZG86+730.679 </v>
      </c>
      <c r="BF532" t="str">
        <f t="shared" si="340"/>
        <v>-text 43364.3393009409,280 3.5 90 牯牛坡隧出 </v>
      </c>
      <c r="BG532" t="str">
        <f t="shared" si="341"/>
        <v/>
      </c>
      <c r="BH532" t="str">
        <f t="shared" si="342"/>
        <v> </v>
      </c>
      <c r="BI532" t="str">
        <f t="shared" si="343"/>
        <v> </v>
      </c>
      <c r="BJ532" t="str">
        <f t="shared" si="344"/>
        <v> </v>
      </c>
    </row>
    <row r="533" spans="1:62">
      <c r="A533">
        <v>2</v>
      </c>
      <c r="B533">
        <v>532</v>
      </c>
      <c r="C533" t="str">
        <f>Sheet1!C490</f>
        <v>李家湾渡槽进</v>
      </c>
      <c r="D533" s="54">
        <v>494128.5688</v>
      </c>
      <c r="E533" s="54">
        <v>3353108.9441</v>
      </c>
      <c r="F533" s="54"/>
      <c r="G533" s="54">
        <f t="shared" si="317"/>
        <v>0</v>
      </c>
      <c r="H533" s="54">
        <f t="shared" si="318"/>
        <v>0</v>
      </c>
      <c r="I533" s="54">
        <f t="shared" si="319"/>
        <v>0</v>
      </c>
      <c r="J533" s="54">
        <f t="shared" si="320"/>
        <v>157.000023921071</v>
      </c>
      <c r="K533" s="55">
        <f t="shared" si="321"/>
        <v>86887.6786258028</v>
      </c>
      <c r="L533" s="55">
        <f t="shared" si="322"/>
        <v>86887.6786258028</v>
      </c>
      <c r="M533" s="55">
        <f t="shared" si="323"/>
        <v>86887.6786258028</v>
      </c>
      <c r="N533" s="54">
        <v>443.111</v>
      </c>
      <c r="O533" s="54">
        <v>439.564</v>
      </c>
      <c r="P533" s="54">
        <v>0</v>
      </c>
      <c r="Q533" s="39">
        <f t="shared" si="324"/>
        <v>494128.5688</v>
      </c>
      <c r="R533" s="39">
        <f t="shared" si="325"/>
        <v>3353108.9441</v>
      </c>
      <c r="S533" s="39" t="str">
        <f t="shared" si="326"/>
        <v> </v>
      </c>
      <c r="T533" s="39" t="str">
        <f t="shared" si="327"/>
        <v> </v>
      </c>
      <c r="U533" s="39" t="str">
        <f t="shared" si="328"/>
        <v> </v>
      </c>
      <c r="V533" s="39" t="str">
        <f t="shared" si="329"/>
        <v> </v>
      </c>
      <c r="AI533" t="str">
        <f t="array" ref="AI533">IFERROR(INDEX($L$2:$L$789,SMALL(IF(ISNUMBER(FIND($AH$2,$C$2:$C$789)),ROW($2:$789)-1,4^8),ROW(A532)))&amp;"","")</f>
        <v/>
      </c>
      <c r="AT533" t="str">
        <f t="shared" si="331"/>
        <v>494128.5688,3353108.9441</v>
      </c>
      <c r="AV533">
        <f t="shared" si="316"/>
        <v>443.814</v>
      </c>
      <c r="AX533" t="str">
        <f t="shared" si="332"/>
        <v>pl 43443.8393129014,279 43443.8393129014,400 </v>
      </c>
      <c r="AY533" t="str">
        <f t="shared" si="333"/>
        <v>43443.8393129014,439.564</v>
      </c>
      <c r="AZ533" t="str">
        <f t="shared" si="334"/>
        <v>43443.8393129014,443.111</v>
      </c>
      <c r="BA533" t="str">
        <f t="shared" si="335"/>
        <v>43443.8393129014,443.814</v>
      </c>
      <c r="BB533" t="str">
        <f t="shared" si="336"/>
        <v>-text 43442.8393129014,337 3.5 90 439.564 </v>
      </c>
      <c r="BC533" t="str">
        <f t="shared" si="337"/>
        <v>-text 43442.8393129014,320 3.5 90 443.814 </v>
      </c>
      <c r="BD533" t="str">
        <f t="shared" si="338"/>
        <v>-text 43442.8393129014,306 3.5 90 443.111 </v>
      </c>
      <c r="BE533" t="str">
        <f t="shared" si="339"/>
        <v>-text 43442.8393129014,352 3.5 90 ZG86+887.679 </v>
      </c>
      <c r="BF533" t="str">
        <f t="shared" si="340"/>
        <v>-text 43442.8393129014,280 3.5 90 李家湾渡槽进 </v>
      </c>
      <c r="BG533" t="str">
        <f t="shared" si="341"/>
        <v/>
      </c>
      <c r="BH533" t="str">
        <f t="shared" si="342"/>
        <v> </v>
      </c>
      <c r="BI533" t="str">
        <f t="shared" si="343"/>
        <v> </v>
      </c>
      <c r="BJ533" t="str">
        <f t="shared" si="344"/>
        <v> </v>
      </c>
    </row>
    <row r="534" spans="1:62">
      <c r="A534">
        <v>2</v>
      </c>
      <c r="B534">
        <v>533</v>
      </c>
      <c r="C534" t="str">
        <f>Sheet1!C491</f>
        <v>李家湾渡槽出</v>
      </c>
      <c r="D534" s="54">
        <v>494037.9881</v>
      </c>
      <c r="E534" s="54">
        <v>3353055.839</v>
      </c>
      <c r="F534" s="54"/>
      <c r="G534" s="54">
        <f t="shared" si="317"/>
        <v>0</v>
      </c>
      <c r="H534" s="54">
        <f t="shared" si="318"/>
        <v>0</v>
      </c>
      <c r="I534" s="54">
        <f t="shared" si="319"/>
        <v>0</v>
      </c>
      <c r="J534" s="54">
        <f t="shared" si="320"/>
        <v>105.000070754635</v>
      </c>
      <c r="K534" s="55">
        <f t="shared" si="321"/>
        <v>86992.6786965574</v>
      </c>
      <c r="L534" s="55">
        <f t="shared" si="322"/>
        <v>86992.6786965574</v>
      </c>
      <c r="M534" s="55">
        <f t="shared" si="323"/>
        <v>86992.6786965574</v>
      </c>
      <c r="N534" s="54">
        <v>443.081</v>
      </c>
      <c r="O534" s="54">
        <v>439.534</v>
      </c>
      <c r="P534" s="54">
        <v>0</v>
      </c>
      <c r="Q534" s="39">
        <f t="shared" si="324"/>
        <v>494037.9881</v>
      </c>
      <c r="R534" s="39">
        <f t="shared" si="325"/>
        <v>3353055.839</v>
      </c>
      <c r="S534" s="39" t="str">
        <f t="shared" si="326"/>
        <v> </v>
      </c>
      <c r="T534" s="39" t="str">
        <f t="shared" si="327"/>
        <v> </v>
      </c>
      <c r="U534" s="39" t="str">
        <f t="shared" si="328"/>
        <v> </v>
      </c>
      <c r="V534" s="39" t="str">
        <f t="shared" si="329"/>
        <v> </v>
      </c>
      <c r="AI534" t="str">
        <f t="array" ref="AI534">IFERROR(INDEX($L$2:$L$789,SMALL(IF(ISNUMBER(FIND($AH$2,$C$2:$C$789)),ROW($2:$789)-1,4^8),ROW(A533)))&amp;"","")</f>
        <v/>
      </c>
      <c r="AT534" t="str">
        <f t="shared" si="331"/>
        <v>494037.9881,3353055.839</v>
      </c>
      <c r="AV534">
        <f t="shared" si="316"/>
        <v>443.784</v>
      </c>
      <c r="AX534" t="str">
        <f t="shared" si="332"/>
        <v>pl 43496.3393482787,279 43496.3393482787,400 </v>
      </c>
      <c r="AY534" t="str">
        <f t="shared" si="333"/>
        <v>43496.3393482787,439.534</v>
      </c>
      <c r="AZ534" t="str">
        <f t="shared" si="334"/>
        <v>43496.3393482787,443.081</v>
      </c>
      <c r="BA534" t="str">
        <f t="shared" si="335"/>
        <v>43496.3393482787,443.784</v>
      </c>
      <c r="BB534" t="str">
        <f t="shared" si="336"/>
        <v>-text 43495.3393482787,337 3.5 90 439.534 </v>
      </c>
      <c r="BC534" t="str">
        <f t="shared" si="337"/>
        <v>-text 43495.3393482787,320 3.5 90 443.784 </v>
      </c>
      <c r="BD534" t="str">
        <f t="shared" si="338"/>
        <v>-text 43495.3393482787,306 3.5 90 443.081 </v>
      </c>
      <c r="BE534" t="str">
        <f t="shared" si="339"/>
        <v>-text 43495.3393482787,352 3.5 90 ZG86+992.679 </v>
      </c>
      <c r="BF534" t="str">
        <f t="shared" si="340"/>
        <v>-text 43495.3393482787,280 3.5 90 李家湾渡槽出 </v>
      </c>
      <c r="BG534" t="str">
        <f t="shared" si="341"/>
        <v/>
      </c>
      <c r="BH534" t="str">
        <f t="shared" si="342"/>
        <v> </v>
      </c>
      <c r="BI534" t="str">
        <f t="shared" si="343"/>
        <v> </v>
      </c>
      <c r="BJ534" t="str">
        <f t="shared" si="344"/>
        <v> </v>
      </c>
    </row>
    <row r="535" spans="1:62">
      <c r="A535">
        <v>0</v>
      </c>
      <c r="B535">
        <v>534</v>
      </c>
      <c r="C535" t="s">
        <v>512</v>
      </c>
      <c r="D535" s="54">
        <v>494017.7123</v>
      </c>
      <c r="E535" s="54">
        <v>3353043.9518</v>
      </c>
      <c r="F535" s="54">
        <v>60</v>
      </c>
      <c r="G535" s="54">
        <f t="shared" si="317"/>
        <v>10.439</v>
      </c>
      <c r="H535" s="54">
        <f t="shared" si="318"/>
        <v>5.48101787411743</v>
      </c>
      <c r="I535" s="54">
        <f t="shared" si="319"/>
        <v>10.9316952369413</v>
      </c>
      <c r="J535" s="54">
        <f t="shared" si="320"/>
        <v>23.5034803696303</v>
      </c>
      <c r="K535" s="55">
        <f t="shared" si="321"/>
        <v>87010.7011590529</v>
      </c>
      <c r="L535" s="55">
        <f t="shared" si="322"/>
        <v>87016.1670066714</v>
      </c>
      <c r="M535" s="55">
        <f t="shared" si="323"/>
        <v>87021.6328542899</v>
      </c>
      <c r="N535" s="54">
        <v>443.1</v>
      </c>
      <c r="O535" s="54">
        <v>439.185</v>
      </c>
      <c r="P535" s="54">
        <v>0</v>
      </c>
      <c r="Q535" s="39">
        <f t="shared" si="324"/>
        <v>494022.440621953</v>
      </c>
      <c r="R535" s="39">
        <f t="shared" si="325"/>
        <v>3353046.7238982</v>
      </c>
      <c r="S535" s="39">
        <f t="shared" si="326"/>
        <v>494017.857734352</v>
      </c>
      <c r="T535" s="39">
        <f t="shared" si="327"/>
        <v>3353043.74867083</v>
      </c>
      <c r="U535" s="39">
        <f t="shared" si="328"/>
        <v>494013.564509365</v>
      </c>
      <c r="V535" s="39">
        <f t="shared" si="329"/>
        <v>3353040.36886967</v>
      </c>
      <c r="AI535" t="str">
        <f t="array" ref="AI535">IFERROR(INDEX($L$2:$L$789,SMALL(IF(ISNUMBER(FIND($AH$2,$C$2:$C$789)),ROW($2:$789)-1,4^8),ROW(A534)))&amp;"","")</f>
        <v/>
      </c>
      <c r="AS535" t="str">
        <f>"-text"&amp;" "&amp;D535&amp;","&amp;E535&amp;" "&amp;"10"&amp;" "&amp;"0"&amp;" "&amp;C535</f>
        <v>-text 494017.7123,3353043.9518 10 0 IP288</v>
      </c>
      <c r="AT535" t="str">
        <f t="shared" si="331"/>
        <v>494017.7123,3353043.9518</v>
      </c>
      <c r="AV535">
        <f t="shared" si="316"/>
        <v>444.585</v>
      </c>
      <c r="AX535" t="str">
        <f t="shared" si="332"/>
        <v>pl 43508.0835033357,279 43508.0835033357,400 </v>
      </c>
      <c r="AY535" t="str">
        <f t="shared" si="333"/>
        <v>43508.0835033357,439.185</v>
      </c>
      <c r="AZ535" t="str">
        <f t="shared" si="334"/>
        <v>43508.0835033357,443.1</v>
      </c>
      <c r="BA535" t="str">
        <f t="shared" si="335"/>
        <v>43508.0835033357,444.585</v>
      </c>
      <c r="BB535" t="str">
        <f t="shared" si="336"/>
        <v>-text 43507.0835033357,337 3.5 90 439.185 </v>
      </c>
      <c r="BC535" t="str">
        <f t="shared" si="337"/>
        <v>-text 43507.0835033357,320 3.5 90 444.585 </v>
      </c>
      <c r="BD535" t="str">
        <f t="shared" si="338"/>
        <v>-text 43507.0835033357,306 3.5 90 443.100 </v>
      </c>
      <c r="BE535" t="str">
        <f t="shared" si="339"/>
        <v>-text 43507.0835033357,352 3.5 90 ZG87+016.167 </v>
      </c>
      <c r="BF535" t="str">
        <f t="shared" si="340"/>
        <v>-text 43507.0835033357,280 3.5 90 IP288 </v>
      </c>
      <c r="BG535" t="str">
        <f t="shared" si="341"/>
        <v>-TEXT 43509.0835033357,300 3.5 0 R=60</v>
      </c>
      <c r="BH535" t="str">
        <f t="shared" si="342"/>
        <v>-TEXT 43509.0835033357,295 3.5 0 α=10.44° </v>
      </c>
      <c r="BI535" t="str">
        <f t="shared" si="343"/>
        <v>-TEXT 43509.0835033357,290 3.5 0 T=5.48 </v>
      </c>
      <c r="BJ535" t="str">
        <f t="shared" si="344"/>
        <v>-TEXT 43509.0835033357,285 3.5 0 S=10.93 </v>
      </c>
    </row>
    <row r="536" spans="1:62">
      <c r="A536">
        <v>2</v>
      </c>
      <c r="B536">
        <v>535</v>
      </c>
      <c r="C536" t="str">
        <f>Sheet1!C493</f>
        <v>罗家桥渡槽进</v>
      </c>
      <c r="D536" s="54">
        <v>493981.7461</v>
      </c>
      <c r="E536" s="54">
        <v>3353012.8836</v>
      </c>
      <c r="F536" s="54"/>
      <c r="G536" s="54">
        <f t="shared" si="317"/>
        <v>0</v>
      </c>
      <c r="H536" s="54">
        <f t="shared" si="318"/>
        <v>0</v>
      </c>
      <c r="I536" s="54">
        <f t="shared" si="319"/>
        <v>0</v>
      </c>
      <c r="J536" s="54">
        <f t="shared" si="320"/>
        <v>47.5268407711656</v>
      </c>
      <c r="K536" s="55">
        <f t="shared" si="321"/>
        <v>87063.6786771869</v>
      </c>
      <c r="L536" s="55">
        <f t="shared" si="322"/>
        <v>87063.6786771869</v>
      </c>
      <c r="M536" s="55">
        <f t="shared" si="323"/>
        <v>87063.6786771869</v>
      </c>
      <c r="N536" s="54">
        <v>443.048</v>
      </c>
      <c r="O536" s="54">
        <v>439.501</v>
      </c>
      <c r="P536" s="54">
        <v>0</v>
      </c>
      <c r="Q536" s="39">
        <f t="shared" si="324"/>
        <v>493981.7461</v>
      </c>
      <c r="R536" s="39">
        <f t="shared" si="325"/>
        <v>3353012.8836</v>
      </c>
      <c r="S536" s="39" t="str">
        <f t="shared" si="326"/>
        <v> </v>
      </c>
      <c r="T536" s="39" t="str">
        <f t="shared" si="327"/>
        <v> </v>
      </c>
      <c r="U536" s="39" t="str">
        <f t="shared" si="328"/>
        <v> </v>
      </c>
      <c r="V536" s="39" t="str">
        <f t="shared" si="329"/>
        <v> </v>
      </c>
      <c r="AI536" t="str">
        <f t="array" ref="AI536">IFERROR(INDEX($L$2:$L$789,SMALL(IF(ISNUMBER(FIND($AH$2,$C$2:$C$789)),ROW($2:$789)-1,4^8),ROW(A535)))&amp;"","")</f>
        <v/>
      </c>
      <c r="AT536" t="str">
        <f t="shared" si="331"/>
        <v>493981.7461,3353012.8836</v>
      </c>
      <c r="AV536">
        <f t="shared" si="316"/>
        <v>443.751</v>
      </c>
      <c r="AX536" t="str">
        <f t="shared" si="332"/>
        <v>pl 43531.8393385935,279 43531.8393385935,400 </v>
      </c>
      <c r="AY536" t="str">
        <f t="shared" si="333"/>
        <v>43531.8393385935,439.501</v>
      </c>
      <c r="AZ536" t="str">
        <f t="shared" si="334"/>
        <v>43531.8393385935,443.048</v>
      </c>
      <c r="BA536" t="str">
        <f t="shared" si="335"/>
        <v>43531.8393385935,443.751</v>
      </c>
      <c r="BB536" t="str">
        <f t="shared" si="336"/>
        <v>-text 43530.8393385935,337 3.5 90 439.501 </v>
      </c>
      <c r="BC536" t="str">
        <f t="shared" si="337"/>
        <v>-text 43530.8393385935,320 3.5 90 443.751 </v>
      </c>
      <c r="BD536" t="str">
        <f t="shared" si="338"/>
        <v>-text 43530.8393385935,306 3.5 90 443.048 </v>
      </c>
      <c r="BE536" t="str">
        <f t="shared" si="339"/>
        <v>-text 43530.8393385935,352 3.5 90 ZG87+063.679 </v>
      </c>
      <c r="BF536" t="str">
        <f t="shared" si="340"/>
        <v>-text 43530.8393385935,280 3.5 90 罗家桥渡槽进 </v>
      </c>
      <c r="BG536" t="str">
        <f t="shared" si="341"/>
        <v/>
      </c>
      <c r="BH536" t="str">
        <f t="shared" si="342"/>
        <v> </v>
      </c>
      <c r="BI536" t="str">
        <f t="shared" si="343"/>
        <v> </v>
      </c>
      <c r="BJ536" t="str">
        <f t="shared" si="344"/>
        <v> </v>
      </c>
    </row>
    <row r="537" spans="1:62">
      <c r="A537">
        <v>2</v>
      </c>
      <c r="B537">
        <v>536</v>
      </c>
      <c r="C537" t="str">
        <f>Sheet1!C494</f>
        <v>罗家桥渡槽出</v>
      </c>
      <c r="D537" s="54">
        <v>493889.4219</v>
      </c>
      <c r="E537" s="54">
        <v>3352933.1325</v>
      </c>
      <c r="F537" s="54"/>
      <c r="G537" s="54">
        <f t="shared" si="317"/>
        <v>0</v>
      </c>
      <c r="H537" s="54">
        <f t="shared" si="318"/>
        <v>0</v>
      </c>
      <c r="I537" s="54">
        <f t="shared" si="319"/>
        <v>0</v>
      </c>
      <c r="J537" s="54">
        <f t="shared" si="320"/>
        <v>121.999983019852</v>
      </c>
      <c r="K537" s="55">
        <f t="shared" si="321"/>
        <v>87185.6786602068</v>
      </c>
      <c r="L537" s="55">
        <f t="shared" si="322"/>
        <v>87185.6786602068</v>
      </c>
      <c r="M537" s="55">
        <f t="shared" si="323"/>
        <v>87185.6786602068</v>
      </c>
      <c r="N537" s="54">
        <v>443.013</v>
      </c>
      <c r="O537" s="54">
        <v>439.466</v>
      </c>
      <c r="P537" s="54">
        <v>0</v>
      </c>
      <c r="Q537" s="39">
        <f t="shared" si="324"/>
        <v>493889.4219</v>
      </c>
      <c r="R537" s="39">
        <f t="shared" si="325"/>
        <v>3352933.1325</v>
      </c>
      <c r="S537" s="39" t="str">
        <f t="shared" si="326"/>
        <v> </v>
      </c>
      <c r="T537" s="39" t="str">
        <f t="shared" si="327"/>
        <v> </v>
      </c>
      <c r="U537" s="39" t="str">
        <f t="shared" si="328"/>
        <v> </v>
      </c>
      <c r="V537" s="39" t="str">
        <f t="shared" si="329"/>
        <v> </v>
      </c>
      <c r="AI537" t="str">
        <f t="array" ref="AI537">IFERROR(INDEX($L$2:$L$789,SMALL(IF(ISNUMBER(FIND($AH$2,$C$2:$C$789)),ROW($2:$789)-1,4^8),ROW(A536)))&amp;"","")</f>
        <v/>
      </c>
      <c r="AT537" t="str">
        <f t="shared" si="331"/>
        <v>493889.4219,3352933.1325</v>
      </c>
      <c r="AV537">
        <f t="shared" si="316"/>
        <v>443.716</v>
      </c>
      <c r="AX537" t="str">
        <f t="shared" si="332"/>
        <v>pl 43592.8393301034,279 43592.8393301034,400 </v>
      </c>
      <c r="AY537" t="str">
        <f t="shared" si="333"/>
        <v>43592.8393301034,439.466</v>
      </c>
      <c r="AZ537" t="str">
        <f t="shared" si="334"/>
        <v>43592.8393301034,443.013</v>
      </c>
      <c r="BA537" t="str">
        <f t="shared" si="335"/>
        <v>43592.8393301034,443.716</v>
      </c>
      <c r="BB537" t="str">
        <f t="shared" si="336"/>
        <v>-text 43591.8393301034,337 3.5 90 439.466 </v>
      </c>
      <c r="BC537" t="str">
        <f t="shared" si="337"/>
        <v>-text 43591.8393301034,320 3.5 90 443.716 </v>
      </c>
      <c r="BD537" t="str">
        <f t="shared" si="338"/>
        <v>-text 43591.8393301034,306 3.5 90 443.013 </v>
      </c>
      <c r="BE537" t="str">
        <f t="shared" si="339"/>
        <v>-text 43591.8393301034,352 3.5 90 ZG87+185.679 </v>
      </c>
      <c r="BF537" t="str">
        <f t="shared" si="340"/>
        <v>-text 43591.8393301034,280 3.5 90 罗家桥渡槽出 </v>
      </c>
      <c r="BG537" t="str">
        <f t="shared" si="341"/>
        <v/>
      </c>
      <c r="BH537" t="str">
        <f t="shared" si="342"/>
        <v> </v>
      </c>
      <c r="BI537" t="str">
        <f t="shared" si="343"/>
        <v> </v>
      </c>
      <c r="BJ537" t="str">
        <f t="shared" si="344"/>
        <v> </v>
      </c>
    </row>
    <row r="538" spans="1:62">
      <c r="A538">
        <v>0</v>
      </c>
      <c r="B538">
        <v>537</v>
      </c>
      <c r="C538" t="s">
        <v>515</v>
      </c>
      <c r="D538" s="54">
        <v>493848.0147</v>
      </c>
      <c r="E538" s="54">
        <v>3352897.3643</v>
      </c>
      <c r="F538" s="54">
        <v>60</v>
      </c>
      <c r="G538" s="54">
        <f t="shared" si="317"/>
        <v>32.892</v>
      </c>
      <c r="H538" s="54">
        <f t="shared" si="318"/>
        <v>17.7113164613221</v>
      </c>
      <c r="I538" s="54">
        <f t="shared" si="319"/>
        <v>34.4444218539585</v>
      </c>
      <c r="J538" s="54">
        <f t="shared" si="320"/>
        <v>54.7167281831454</v>
      </c>
      <c r="K538" s="55">
        <f t="shared" si="321"/>
        <v>87222.6840719286</v>
      </c>
      <c r="L538" s="55">
        <f t="shared" si="322"/>
        <v>87239.9062828556</v>
      </c>
      <c r="M538" s="55">
        <f t="shared" si="323"/>
        <v>87257.1284937826</v>
      </c>
      <c r="N538" s="54">
        <v>443.026</v>
      </c>
      <c r="O538" s="54">
        <v>439.111</v>
      </c>
      <c r="P538" s="54">
        <v>0.001</v>
      </c>
      <c r="Q538" s="39">
        <f t="shared" si="324"/>
        <v>493861.417841001</v>
      </c>
      <c r="R538" s="39">
        <f t="shared" si="325"/>
        <v>3352908.94214704</v>
      </c>
      <c r="S538" s="39">
        <f t="shared" si="326"/>
        <v>493850.167759714</v>
      </c>
      <c r="T538" s="39">
        <f t="shared" si="327"/>
        <v>3352895.9803115</v>
      </c>
      <c r="U538" s="39">
        <f t="shared" si="328"/>
        <v>493843.047621535</v>
      </c>
      <c r="V538" s="39">
        <f t="shared" si="329"/>
        <v>3352880.36374523</v>
      </c>
      <c r="AI538" t="str">
        <f t="array" ref="AI538">IFERROR(INDEX($L$2:$L$789,SMALL(IF(ISNUMBER(FIND($AH$2,$C$2:$C$789)),ROW($2:$789)-1,4^8),ROW(A537)))&amp;"","")</f>
        <v/>
      </c>
      <c r="AS538" t="str">
        <f>"-text"&amp;" "&amp;D538&amp;","&amp;E538&amp;" "&amp;"10"&amp;" "&amp;"0"&amp;" "&amp;C538</f>
        <v>-text 493848.0147,3352897.3643 10 0 IP289</v>
      </c>
      <c r="AT538" t="str">
        <f t="shared" si="331"/>
        <v>493848.0147,3352897.3643</v>
      </c>
      <c r="AV538">
        <f t="shared" si="316"/>
        <v>444.511</v>
      </c>
      <c r="AX538" t="str">
        <f t="shared" si="332"/>
        <v>pl 43619.9531414278,279 43619.9531414278,400 </v>
      </c>
      <c r="AY538" t="str">
        <f t="shared" si="333"/>
        <v>43619.9531414278,439.111</v>
      </c>
      <c r="AZ538" t="str">
        <f t="shared" si="334"/>
        <v>43619.9531414278,443.026</v>
      </c>
      <c r="BA538" t="str">
        <f t="shared" si="335"/>
        <v>43619.9531414278,444.511</v>
      </c>
      <c r="BB538" t="str">
        <f t="shared" si="336"/>
        <v>-text 43618.9531414278,337 3.5 90 439.111 </v>
      </c>
      <c r="BC538" t="str">
        <f t="shared" si="337"/>
        <v>-text 43618.9531414278,320 3.5 90 444.511 </v>
      </c>
      <c r="BD538" t="str">
        <f t="shared" si="338"/>
        <v>-text 43618.9531414278,306 3.5 90 443.026 </v>
      </c>
      <c r="BE538" t="str">
        <f t="shared" si="339"/>
        <v>-text 43618.9531414278,352 3.5 90 ZG87+239.906 </v>
      </c>
      <c r="BF538" t="str">
        <f t="shared" si="340"/>
        <v>-text 43618.9531414278,280 3.5 90 IP289 </v>
      </c>
      <c r="BG538" t="str">
        <f t="shared" si="341"/>
        <v>-TEXT 43620.9531414278,300 3.5 0 R=60</v>
      </c>
      <c r="BH538" t="str">
        <f t="shared" si="342"/>
        <v>-TEXT 43620.9531414278,295 3.5 0 α=32.89° </v>
      </c>
      <c r="BI538" t="str">
        <f t="shared" si="343"/>
        <v>-TEXT 43620.9531414278,290 3.5 0 T=17.71 </v>
      </c>
      <c r="BJ538" t="str">
        <f t="shared" si="344"/>
        <v>-TEXT 43620.9531414278,285 3.5 0 S=34.44 </v>
      </c>
    </row>
    <row r="539" spans="1:62">
      <c r="A539">
        <v>0</v>
      </c>
      <c r="B539">
        <v>538</v>
      </c>
      <c r="C539" t="s">
        <v>516</v>
      </c>
      <c r="D539" s="54">
        <v>493813.6936</v>
      </c>
      <c r="E539" s="54">
        <v>3352779.8953</v>
      </c>
      <c r="F539" s="54">
        <v>60</v>
      </c>
      <c r="G539" s="54">
        <f t="shared" si="317"/>
        <v>19.594</v>
      </c>
      <c r="H539" s="54">
        <f t="shared" si="318"/>
        <v>10.3605642704596</v>
      </c>
      <c r="I539" s="54">
        <f t="shared" si="319"/>
        <v>20.5187888181461</v>
      </c>
      <c r="J539" s="54">
        <f t="shared" si="320"/>
        <v>122.380161244459</v>
      </c>
      <c r="K539" s="55">
        <f t="shared" si="321"/>
        <v>87351.4367742952</v>
      </c>
      <c r="L539" s="55">
        <f t="shared" si="322"/>
        <v>87361.6961687043</v>
      </c>
      <c r="M539" s="55">
        <f t="shared" si="323"/>
        <v>87371.9555631134</v>
      </c>
      <c r="N539" s="54">
        <v>443.003</v>
      </c>
      <c r="O539" s="54">
        <v>439.087</v>
      </c>
      <c r="P539" s="54">
        <v>0.001</v>
      </c>
      <c r="Q539" s="39">
        <f t="shared" si="324"/>
        <v>493816.599185013</v>
      </c>
      <c r="R539" s="39">
        <f t="shared" si="325"/>
        <v>3352789.84009098</v>
      </c>
      <c r="S539" s="39">
        <f t="shared" si="326"/>
        <v>493812.89610421</v>
      </c>
      <c r="T539" s="39">
        <f t="shared" si="327"/>
        <v>3352780.28570849</v>
      </c>
      <c r="U539" s="39">
        <f t="shared" si="328"/>
        <v>493807.621291895</v>
      </c>
      <c r="V539" s="39">
        <f t="shared" si="329"/>
        <v>3352771.50075616</v>
      </c>
      <c r="AI539" t="str">
        <f t="array" ref="AI539">IFERROR(INDEX($L$2:$L$789,SMALL(IF(ISNUMBER(FIND($AH$2,$C$2:$C$789)),ROW($2:$789)-1,4^8),ROW(A538)))&amp;"","")</f>
        <v/>
      </c>
      <c r="AS539" t="str">
        <f>"-text"&amp;" "&amp;D539&amp;","&amp;E539&amp;" "&amp;"10"&amp;" "&amp;"0"&amp;" "&amp;C539</f>
        <v>-text 493813.6936,3352779.8953 10 0 IP290</v>
      </c>
      <c r="AT539" t="str">
        <f t="shared" si="331"/>
        <v>493813.6936,3352779.8953</v>
      </c>
      <c r="AV539">
        <f t="shared" si="316"/>
        <v>444.487</v>
      </c>
      <c r="AX539" t="str">
        <f t="shared" si="332"/>
        <v>pl 43680.8480843522,279 43680.8480843522,400 </v>
      </c>
      <c r="AY539" t="str">
        <f t="shared" si="333"/>
        <v>43680.8480843522,439.087</v>
      </c>
      <c r="AZ539" t="str">
        <f t="shared" si="334"/>
        <v>43680.8480843522,443.003</v>
      </c>
      <c r="BA539" t="str">
        <f t="shared" si="335"/>
        <v>43680.8480843522,444.487</v>
      </c>
      <c r="BB539" t="str">
        <f t="shared" si="336"/>
        <v>-text 43679.8480843522,337 3.5 90 439.087 </v>
      </c>
      <c r="BC539" t="str">
        <f t="shared" si="337"/>
        <v>-text 43679.8480843522,320 3.5 90 444.487 </v>
      </c>
      <c r="BD539" t="str">
        <f t="shared" si="338"/>
        <v>-text 43679.8480843522,306 3.5 90 443.003 </v>
      </c>
      <c r="BE539" t="str">
        <f t="shared" si="339"/>
        <v>-text 43679.8480843522,352 3.5 90 ZG87+361.696 </v>
      </c>
      <c r="BF539" t="str">
        <f t="shared" si="340"/>
        <v>-text 43679.8480843522,280 3.5 90 IP290 </v>
      </c>
      <c r="BG539" t="str">
        <f t="shared" si="341"/>
        <v>-TEXT 43681.8480843522,300 3.5 0 R=60</v>
      </c>
      <c r="BH539" t="str">
        <f t="shared" si="342"/>
        <v>-TEXT 43681.8480843522,295 3.5 0 α=19.59° </v>
      </c>
      <c r="BI539" t="str">
        <f t="shared" si="343"/>
        <v>-TEXT 43681.8480843522,290 3.5 0 T=10.36 </v>
      </c>
      <c r="BJ539" t="str">
        <f t="shared" si="344"/>
        <v>-TEXT 43681.8480843522,285 3.5 0 S=20.52 </v>
      </c>
    </row>
    <row r="540" spans="1:62">
      <c r="A540">
        <v>0</v>
      </c>
      <c r="B540">
        <v>539</v>
      </c>
      <c r="C540" t="s">
        <v>517</v>
      </c>
      <c r="D540" s="54">
        <v>493770.5302</v>
      </c>
      <c r="E540" s="54">
        <v>3352720.2249</v>
      </c>
      <c r="F540" s="54">
        <v>60</v>
      </c>
      <c r="G540" s="54">
        <f t="shared" si="317"/>
        <v>47.957</v>
      </c>
      <c r="H540" s="54">
        <f t="shared" si="318"/>
        <v>26.6867478098848</v>
      </c>
      <c r="I540" s="54">
        <f t="shared" si="319"/>
        <v>50.2204529627352</v>
      </c>
      <c r="J540" s="54">
        <f t="shared" si="320"/>
        <v>73.645337501724</v>
      </c>
      <c r="K540" s="55">
        <f t="shared" si="321"/>
        <v>87408.5535885348</v>
      </c>
      <c r="L540" s="55">
        <f t="shared" si="322"/>
        <v>87433.6638150161</v>
      </c>
      <c r="M540" s="55">
        <f t="shared" si="323"/>
        <v>87458.7740414975</v>
      </c>
      <c r="N540" s="54">
        <v>442.988</v>
      </c>
      <c r="O540" s="54">
        <v>439.073</v>
      </c>
      <c r="P540" s="54">
        <v>0.002</v>
      </c>
      <c r="Q540" s="39">
        <f t="shared" si="324"/>
        <v>493786.171254947</v>
      </c>
      <c r="R540" s="39">
        <f t="shared" si="325"/>
        <v>3352741.84757118</v>
      </c>
      <c r="S540" s="39">
        <f t="shared" si="326"/>
        <v>493776.07560738</v>
      </c>
      <c r="T540" s="39">
        <f t="shared" si="327"/>
        <v>3352719.05610053</v>
      </c>
      <c r="U540" s="39">
        <f t="shared" si="328"/>
        <v>493776.113615295</v>
      </c>
      <c r="V540" s="39">
        <f t="shared" si="329"/>
        <v>3352694.12877036</v>
      </c>
      <c r="AI540" t="str">
        <f t="array" ref="AI540">IFERROR(INDEX($L$2:$L$789,SMALL(IF(ISNUMBER(FIND($AH$2,$C$2:$C$789)),ROW($2:$789)-1,4^8),ROW(A539)))&amp;"","")</f>
        <v/>
      </c>
      <c r="AS540" t="str">
        <f>"-text"&amp;" "&amp;D540&amp;","&amp;E540&amp;" "&amp;"10"&amp;" "&amp;"0"&amp;" "&amp;C540</f>
        <v>-text 493770.5302,3352720.2249 10 0 IP291</v>
      </c>
      <c r="AT540" t="str">
        <f t="shared" si="331"/>
        <v>493770.5302,3352720.2249</v>
      </c>
      <c r="AV540">
        <f t="shared" si="316"/>
        <v>444.473</v>
      </c>
      <c r="AX540" t="str">
        <f t="shared" si="332"/>
        <v>pl 43716.8319075081,279 43716.8319075081,400 </v>
      </c>
      <c r="AY540" t="str">
        <f t="shared" si="333"/>
        <v>43716.8319075081,439.073</v>
      </c>
      <c r="AZ540" t="str">
        <f t="shared" si="334"/>
        <v>43716.8319075081,442.988</v>
      </c>
      <c r="BA540" t="str">
        <f t="shared" si="335"/>
        <v>43716.8319075081,444.473</v>
      </c>
      <c r="BB540" t="str">
        <f t="shared" si="336"/>
        <v>-text 43715.8319075081,337 3.5 90 439.073 </v>
      </c>
      <c r="BC540" t="str">
        <f t="shared" si="337"/>
        <v>-text 43715.8319075081,320 3.5 90 444.473 </v>
      </c>
      <c r="BD540" t="str">
        <f t="shared" si="338"/>
        <v>-text 43715.8319075081,306 3.5 90 442.988 </v>
      </c>
      <c r="BE540" t="str">
        <f t="shared" si="339"/>
        <v>-text 43715.8319075081,352 3.5 90 ZG87+433.664 </v>
      </c>
      <c r="BF540" t="str">
        <f t="shared" si="340"/>
        <v>-text 43715.8319075081,280 3.5 90 IP291 </v>
      </c>
      <c r="BG540" t="str">
        <f t="shared" si="341"/>
        <v>-TEXT 43717.8319075081,300 3.5 0 R=60</v>
      </c>
      <c r="BH540" t="str">
        <f t="shared" si="342"/>
        <v>-TEXT 43717.8319075081,295 3.5 0 α=47.96° </v>
      </c>
      <c r="BI540" t="str">
        <f t="shared" si="343"/>
        <v>-TEXT 43717.8319075081,290 3.5 0 T=26.69 </v>
      </c>
      <c r="BJ540" t="str">
        <f t="shared" si="344"/>
        <v>-TEXT 43717.8319075081,285 3.5 0 S=50.22 </v>
      </c>
    </row>
    <row r="541" spans="1:62">
      <c r="A541">
        <v>0</v>
      </c>
      <c r="B541">
        <v>540</v>
      </c>
      <c r="C541" t="s">
        <v>518</v>
      </c>
      <c r="D541">
        <v>493783.8943</v>
      </c>
      <c r="E541">
        <v>3352657.7629</v>
      </c>
      <c r="F541">
        <v>60</v>
      </c>
      <c r="G541">
        <f t="shared" si="317"/>
        <v>5.188</v>
      </c>
      <c r="H541">
        <f t="shared" si="318"/>
        <v>2.71828794529645</v>
      </c>
      <c r="I541">
        <f t="shared" si="319"/>
        <v>5.43286089560795</v>
      </c>
      <c r="J541">
        <f t="shared" si="320"/>
        <v>63.8756652629802</v>
      </c>
      <c r="K541" s="40">
        <f t="shared" si="321"/>
        <v>87493.2446710053</v>
      </c>
      <c r="L541" s="40">
        <f t="shared" si="322"/>
        <v>87495.9611014531</v>
      </c>
      <c r="M541" s="40">
        <f t="shared" si="323"/>
        <v>87498.6775319009</v>
      </c>
      <c r="N541">
        <v>442.975</v>
      </c>
      <c r="O541">
        <v>439.06</v>
      </c>
      <c r="P541">
        <v>0</v>
      </c>
      <c r="Q541" s="39">
        <f t="shared" si="324"/>
        <v>493783.325578378</v>
      </c>
      <c r="R541" s="39">
        <f t="shared" si="325"/>
        <v>3352660.42102811</v>
      </c>
      <c r="S541" s="39">
        <f t="shared" si="326"/>
        <v>493783.833601406</v>
      </c>
      <c r="T541" s="39">
        <f t="shared" si="327"/>
        <v>3352657.75276119</v>
      </c>
      <c r="U541" s="39">
        <f t="shared" si="328"/>
        <v>493784.22035164</v>
      </c>
      <c r="V541" s="39">
        <f t="shared" si="329"/>
        <v>3352655.06423743</v>
      </c>
      <c r="AI541" t="str">
        <f t="array" ref="AI541">IFERROR(INDEX($L$2:$L$789,SMALL(IF(ISNUMBER(FIND($AH$2,$C$2:$C$789)),ROW($2:$789)-1,4^8),ROW(A540)))&amp;"","")</f>
        <v/>
      </c>
      <c r="AS541" t="str">
        <f>"-text"&amp;" "&amp;D541&amp;","&amp;E541&amp;" "&amp;"10"&amp;" "&amp;"0"&amp;" "&amp;C541</f>
        <v>-text 493783.8943,3352657.7629 10 0 IP292</v>
      </c>
      <c r="AT541" t="str">
        <f t="shared" si="331"/>
        <v>493783.8943,3352657.7629</v>
      </c>
      <c r="AV541">
        <f t="shared" si="316"/>
        <v>444.46</v>
      </c>
      <c r="AX541" t="str">
        <f t="shared" si="332"/>
        <v>pl 43747.9805507265,279 43747.9805507265,400 </v>
      </c>
      <c r="AY541" t="str">
        <f t="shared" si="333"/>
        <v>43747.9805507265,439.06</v>
      </c>
      <c r="AZ541" t="str">
        <f t="shared" si="334"/>
        <v>43747.9805507265,442.975</v>
      </c>
      <c r="BA541" t="str">
        <f t="shared" si="335"/>
        <v>43747.9805507265,444.46</v>
      </c>
      <c r="BB541" t="str">
        <f t="shared" si="336"/>
        <v>-text 43746.9805507265,337 3.5 90 439.060 </v>
      </c>
      <c r="BC541" t="str">
        <f t="shared" si="337"/>
        <v>-text 43746.9805507265,320 3.5 90 444.460 </v>
      </c>
      <c r="BD541" t="str">
        <f t="shared" si="338"/>
        <v>-text 43746.9805507265,306 3.5 90 442.975 </v>
      </c>
      <c r="BE541" t="str">
        <f t="shared" si="339"/>
        <v>-text 43746.9805507265,352 3.5 90 ZG87+495.961 </v>
      </c>
      <c r="BF541" t="str">
        <f t="shared" si="340"/>
        <v>-text 43746.9805507265,280 3.5 90 IP292 </v>
      </c>
      <c r="BG541" t="str">
        <f t="shared" si="341"/>
        <v>-TEXT 43748.9805507265,300 3.5 0 R=60</v>
      </c>
      <c r="BH541" t="str">
        <f t="shared" si="342"/>
        <v>-TEXT 43748.9805507265,295 3.5 0 α=5.19° </v>
      </c>
      <c r="BI541" t="str">
        <f t="shared" si="343"/>
        <v>-TEXT 43748.9805507265,290 3.5 0 T=2.72 </v>
      </c>
      <c r="BJ541" t="str">
        <f t="shared" si="344"/>
        <v>-TEXT 43748.9805507265,285 3.5 0 S=5.43 </v>
      </c>
    </row>
    <row r="542" spans="1:62">
      <c r="A542">
        <v>0</v>
      </c>
      <c r="B542">
        <v>541</v>
      </c>
      <c r="C542" s="47" t="str">
        <f>Sheet1!C499</f>
        <v>渝蓉高速倒虹管进</v>
      </c>
      <c r="D542" s="47">
        <v>493786.0197</v>
      </c>
      <c r="E542" s="47">
        <v>3352640.1714</v>
      </c>
      <c r="G542">
        <f t="shared" si="317"/>
        <v>0</v>
      </c>
      <c r="H542">
        <f t="shared" si="318"/>
        <v>0</v>
      </c>
      <c r="I542">
        <f t="shared" si="319"/>
        <v>0</v>
      </c>
      <c r="J542">
        <f t="shared" si="320"/>
        <v>17.719429940421</v>
      </c>
      <c r="K542" s="40">
        <f t="shared" si="321"/>
        <v>87513.678673896</v>
      </c>
      <c r="L542" s="40">
        <f t="shared" si="322"/>
        <v>87513.678673896</v>
      </c>
      <c r="M542" s="40">
        <f t="shared" si="323"/>
        <v>87513.678673896</v>
      </c>
      <c r="N542" s="47">
        <v>442.972</v>
      </c>
      <c r="O542" s="47">
        <v>439.364</v>
      </c>
      <c r="P542" s="47">
        <v>0</v>
      </c>
      <c r="Q542" s="39">
        <f t="shared" si="324"/>
        <v>493786.0197</v>
      </c>
      <c r="R542" s="39">
        <f t="shared" si="325"/>
        <v>3352640.1714</v>
      </c>
      <c r="S542" s="39" t="str">
        <f t="shared" si="326"/>
        <v> </v>
      </c>
      <c r="T542" s="39" t="str">
        <f t="shared" si="327"/>
        <v> </v>
      </c>
      <c r="U542" s="39" t="str">
        <f t="shared" si="328"/>
        <v> </v>
      </c>
      <c r="V542" s="39" t="str">
        <f t="shared" si="329"/>
        <v> </v>
      </c>
      <c r="AI542" t="str">
        <f t="array" ref="AI542">IFERROR(INDEX($L$2:$L$789,SMALL(IF(ISNUMBER(FIND($AH$2,$C$2:$C$789)),ROW($2:$789)-1,4^8),ROW(A541)))&amp;"","")</f>
        <v/>
      </c>
      <c r="AT542" t="str">
        <f t="shared" si="331"/>
        <v>493786.0197,3352640.1714</v>
      </c>
      <c r="AV542">
        <f t="shared" si="316"/>
        <v>444.764</v>
      </c>
      <c r="AX542" t="str">
        <f t="shared" si="332"/>
        <v>pl 43756.839336948,279 43756.839336948,400 </v>
      </c>
      <c r="AY542" t="str">
        <f t="shared" si="333"/>
        <v>43756.839336948,439.364</v>
      </c>
      <c r="AZ542" t="str">
        <f t="shared" si="334"/>
        <v>43756.839336948,442.972</v>
      </c>
      <c r="BA542" t="str">
        <f t="shared" si="335"/>
        <v>43756.839336948,444.764</v>
      </c>
      <c r="BB542" t="str">
        <f t="shared" si="336"/>
        <v>-text 43755.839336948,337 3.5 90 439.364 </v>
      </c>
      <c r="BC542" t="str">
        <f t="shared" si="337"/>
        <v>-text 43755.839336948,320 3.5 90 444.764 </v>
      </c>
      <c r="BD542" t="str">
        <f t="shared" si="338"/>
        <v>-text 43755.839336948,306 3.5 90 442.972 </v>
      </c>
      <c r="BE542" t="str">
        <f t="shared" si="339"/>
        <v>-text 43755.839336948,352 3.5 90 ZG87+513.679 </v>
      </c>
      <c r="BF542" t="str">
        <f t="shared" si="340"/>
        <v>-text 43755.839336948,280 3.5 90 渝蓉高速倒虹管进 </v>
      </c>
      <c r="BG542" t="str">
        <f t="shared" si="341"/>
        <v/>
      </c>
      <c r="BH542" t="str">
        <f t="shared" si="342"/>
        <v> </v>
      </c>
      <c r="BI542" t="str">
        <f t="shared" si="343"/>
        <v> </v>
      </c>
      <c r="BJ542" t="str">
        <f t="shared" si="344"/>
        <v> </v>
      </c>
    </row>
    <row r="543" spans="1:62">
      <c r="A543">
        <v>0</v>
      </c>
      <c r="B543">
        <v>542</v>
      </c>
      <c r="C543" t="s">
        <v>855</v>
      </c>
      <c r="D543" s="47">
        <v>493800.0785</v>
      </c>
      <c r="E543" s="47">
        <v>3352523.8124</v>
      </c>
      <c r="F543">
        <v>15</v>
      </c>
      <c r="G543">
        <f t="shared" si="317"/>
        <v>16.879</v>
      </c>
      <c r="H543">
        <f t="shared" si="318"/>
        <v>2.22557493566164</v>
      </c>
      <c r="I543">
        <f t="shared" si="319"/>
        <v>4.41891186666184</v>
      </c>
      <c r="J543">
        <f t="shared" si="320"/>
        <v>117.20523340863</v>
      </c>
      <c r="K543" s="40">
        <f t="shared" si="321"/>
        <v>87628.658332369</v>
      </c>
      <c r="L543" s="40">
        <f t="shared" si="322"/>
        <v>87630.8677883023</v>
      </c>
      <c r="M543" s="40">
        <f t="shared" si="323"/>
        <v>87633.0772442357</v>
      </c>
      <c r="N543" s="47"/>
      <c r="O543" s="47">
        <v>439.364</v>
      </c>
      <c r="P543" s="47">
        <v>0</v>
      </c>
      <c r="Q543" s="39">
        <f t="shared" si="324"/>
        <v>493799.811541674</v>
      </c>
      <c r="R543" s="39">
        <f t="shared" si="325"/>
        <v>3352526.02190606</v>
      </c>
      <c r="S543" s="39">
        <f t="shared" si="326"/>
        <v>493800.236862851</v>
      </c>
      <c r="T543" s="39">
        <f t="shared" si="327"/>
        <v>3352523.85580808</v>
      </c>
      <c r="U543" s="39">
        <f t="shared" si="328"/>
        <v>493800.975480032</v>
      </c>
      <c r="V543" s="39">
        <f t="shared" si="329"/>
        <v>3352521.77558616</v>
      </c>
      <c r="AI543" t="str">
        <f t="array" ref="AI543">IFERROR(INDEX($L$2:$L$789,SMALL(IF(ISNUMBER(FIND($AH$2,$C$2:$C$789)),ROW($2:$789)-1,4^8),ROW(A542)))&amp;"","")</f>
        <v/>
      </c>
      <c r="AS543" t="str">
        <f t="shared" ref="AS543:AS551" si="345">"-text"&amp;" "&amp;D543&amp;","&amp;E543&amp;" "&amp;"10"&amp;" "&amp;"0"&amp;" "&amp;C543</f>
        <v>-text 493800.0785,3352523.8124 10 0 IP293</v>
      </c>
      <c r="AT543" t="str">
        <f t="shared" si="331"/>
        <v>493800.0785,3352523.8124</v>
      </c>
      <c r="AV543">
        <f t="shared" si="316"/>
        <v>444.764</v>
      </c>
      <c r="AX543" t="str">
        <f t="shared" si="332"/>
        <v>pl 43815.4338941512,279 43815.4338941512,400 </v>
      </c>
      <c r="AY543" t="str">
        <f t="shared" si="333"/>
        <v>43815.4338941512,439.364</v>
      </c>
      <c r="AZ543" t="str">
        <f t="shared" si="334"/>
        <v>43815.4338941512,</v>
      </c>
      <c r="BA543" t="str">
        <f t="shared" si="335"/>
        <v>43815.4338941512,444.764</v>
      </c>
      <c r="BB543" t="str">
        <f t="shared" si="336"/>
        <v>-text 43814.4338941512,337 3.5 90 439.364 </v>
      </c>
      <c r="BC543" t="str">
        <f t="shared" si="337"/>
        <v>-text 43814.4338941512,320 3.5 90 444.764 </v>
      </c>
      <c r="BD543" t="str">
        <f t="shared" si="338"/>
        <v>-text 43814.4338941512,306 3.5 90 0.000 </v>
      </c>
      <c r="BE543" t="str">
        <f t="shared" si="339"/>
        <v>-text 43814.4338941512,352 3.5 90 ZG87+630.868 </v>
      </c>
      <c r="BF543" t="str">
        <f t="shared" si="340"/>
        <v>-text 43814.4338941512,280 3.5 90 IP293 </v>
      </c>
      <c r="BG543" t="str">
        <f t="shared" si="341"/>
        <v>-TEXT 43816.4338941512,300 3.5 0 R=15</v>
      </c>
      <c r="BH543" t="str">
        <f t="shared" si="342"/>
        <v>-TEXT 43816.4338941512,295 3.5 0 α=16.88° </v>
      </c>
      <c r="BI543" t="str">
        <f t="shared" si="343"/>
        <v>-TEXT 43816.4338941512,290 3.5 0 T=2.23 </v>
      </c>
      <c r="BJ543" t="str">
        <f t="shared" si="344"/>
        <v>-TEXT 43816.4338941512,285 3.5 0 S=4.42 </v>
      </c>
    </row>
    <row r="544" spans="1:62">
      <c r="A544">
        <v>0</v>
      </c>
      <c r="B544">
        <v>543</v>
      </c>
      <c r="C544" t="s">
        <v>856</v>
      </c>
      <c r="D544" s="47">
        <v>493824.9893</v>
      </c>
      <c r="E544" s="47">
        <v>3352467.2463</v>
      </c>
      <c r="F544">
        <v>15</v>
      </c>
      <c r="G544">
        <f t="shared" si="317"/>
        <v>31.94</v>
      </c>
      <c r="H544">
        <f t="shared" si="318"/>
        <v>4.29268230265574</v>
      </c>
      <c r="I544">
        <f t="shared" si="319"/>
        <v>8.36187244630483</v>
      </c>
      <c r="J544">
        <f t="shared" si="320"/>
        <v>61.8083459238606</v>
      </c>
      <c r="K544" s="40">
        <f t="shared" si="321"/>
        <v>87688.3673329212</v>
      </c>
      <c r="L544" s="40">
        <f t="shared" si="322"/>
        <v>87692.5482691444</v>
      </c>
      <c r="M544" s="40">
        <f t="shared" si="323"/>
        <v>87696.7292053675</v>
      </c>
      <c r="N544" s="47"/>
      <c r="O544" s="47">
        <v>439.364</v>
      </c>
      <c r="P544" s="47">
        <v>0</v>
      </c>
      <c r="Q544" s="39">
        <f t="shared" si="324"/>
        <v>493823.259207588</v>
      </c>
      <c r="R544" s="39">
        <f t="shared" si="325"/>
        <v>3352471.17490046</v>
      </c>
      <c r="S544" s="39">
        <f t="shared" si="326"/>
        <v>493825.452335246</v>
      </c>
      <c r="T544" s="39">
        <f t="shared" si="327"/>
        <v>3352467.6312341</v>
      </c>
      <c r="U544" s="39">
        <f t="shared" si="328"/>
        <v>493828.535792527</v>
      </c>
      <c r="V544" s="39">
        <f t="shared" si="329"/>
        <v>3352464.82772354</v>
      </c>
      <c r="AI544" t="str">
        <f t="array" ref="AI544">IFERROR(INDEX($L$2:$L$789,SMALL(IF(ISNUMBER(FIND($AH$2,$C$2:$C$789)),ROW($2:$789)-1,4^8),ROW(A543)))&amp;"","")</f>
        <v/>
      </c>
      <c r="AS544" t="str">
        <f t="shared" si="345"/>
        <v>-text 493824.9893,3352467.2463 10 0 IP294</v>
      </c>
      <c r="AT544" t="str">
        <f t="shared" si="331"/>
        <v>493824.9893,3352467.2463</v>
      </c>
      <c r="AV544">
        <f t="shared" si="316"/>
        <v>444.764</v>
      </c>
      <c r="AX544" t="str">
        <f t="shared" si="332"/>
        <v>pl 43846.2741345722,279 43846.2741345722,400 </v>
      </c>
      <c r="AY544" t="str">
        <f t="shared" si="333"/>
        <v>43846.2741345722,439.364</v>
      </c>
      <c r="AZ544" t="str">
        <f t="shared" si="334"/>
        <v>43846.2741345722,</v>
      </c>
      <c r="BA544" t="str">
        <f t="shared" si="335"/>
        <v>43846.2741345722,444.764</v>
      </c>
      <c r="BB544" t="str">
        <f t="shared" si="336"/>
        <v>-text 43845.2741345722,337 3.5 90 439.364 </v>
      </c>
      <c r="BC544" t="str">
        <f t="shared" si="337"/>
        <v>-text 43845.2741345722,320 3.5 90 444.764 </v>
      </c>
      <c r="BD544" t="str">
        <f t="shared" si="338"/>
        <v>-text 43845.2741345722,306 3.5 90 0.000 </v>
      </c>
      <c r="BE544" t="str">
        <f t="shared" si="339"/>
        <v>-text 43845.2741345722,352 3.5 90 ZG87+692.548 </v>
      </c>
      <c r="BF544" t="str">
        <f t="shared" si="340"/>
        <v>-text 43845.2741345722,280 3.5 90 IP294 </v>
      </c>
      <c r="BG544" t="str">
        <f t="shared" si="341"/>
        <v>-TEXT 43847.2741345722,300 3.5 0 R=15</v>
      </c>
      <c r="BH544" t="str">
        <f t="shared" si="342"/>
        <v>-TEXT 43847.2741345722,295 3.5 0 α=31.94° </v>
      </c>
      <c r="BI544" t="str">
        <f t="shared" si="343"/>
        <v>-TEXT 43847.2741345722,290 3.5 0 T=4.29 </v>
      </c>
      <c r="BJ544" t="str">
        <f t="shared" si="344"/>
        <v>-TEXT 43847.2741345722,285 3.5 0 S=8.36 </v>
      </c>
    </row>
    <row r="545" spans="1:62">
      <c r="A545">
        <v>0</v>
      </c>
      <c r="B545">
        <v>544</v>
      </c>
      <c r="C545" t="s">
        <v>857</v>
      </c>
      <c r="D545" s="47">
        <v>493907.1967</v>
      </c>
      <c r="E545" s="47">
        <v>3352411.1839</v>
      </c>
      <c r="F545">
        <v>15</v>
      </c>
      <c r="G545">
        <f t="shared" si="317"/>
        <v>33.707</v>
      </c>
      <c r="H545">
        <f t="shared" si="318"/>
        <v>4.54405431925438</v>
      </c>
      <c r="I545">
        <f t="shared" si="319"/>
        <v>8.82447196454593</v>
      </c>
      <c r="J545">
        <f t="shared" si="320"/>
        <v>99.5040165447192</v>
      </c>
      <c r="K545" s="40">
        <f t="shared" si="321"/>
        <v>87787.3964852903</v>
      </c>
      <c r="L545" s="40">
        <f t="shared" si="322"/>
        <v>87791.8087212726</v>
      </c>
      <c r="M545" s="40">
        <f t="shared" si="323"/>
        <v>87796.2209572549</v>
      </c>
      <c r="N545" s="47"/>
      <c r="O545" s="47">
        <v>439.364</v>
      </c>
      <c r="P545" s="47">
        <v>0</v>
      </c>
      <c r="Q545" s="39">
        <f t="shared" si="324"/>
        <v>493903.442531033</v>
      </c>
      <c r="R545" s="39">
        <f t="shared" si="325"/>
        <v>3352413.7441041</v>
      </c>
      <c r="S545" s="39">
        <f t="shared" si="326"/>
        <v>493906.672458467</v>
      </c>
      <c r="T545" s="39">
        <f t="shared" si="327"/>
        <v>3352410.7615886</v>
      </c>
      <c r="U545" s="39">
        <f t="shared" si="328"/>
        <v>493908.898936027</v>
      </c>
      <c r="V545" s="39">
        <f t="shared" si="329"/>
        <v>3352406.97072754</v>
      </c>
      <c r="AI545" t="str">
        <f t="array" ref="AI545">IFERROR(INDEX($L$2:$L$789,SMALL(IF(ISNUMBER(FIND($AH$2,$C$2:$C$789)),ROW($2:$789)-1,4^8),ROW(A544)))&amp;"","")</f>
        <v/>
      </c>
      <c r="AS545" t="str">
        <f t="shared" si="345"/>
        <v>-text 493907.1967,3352411.1839 10 0 IP295</v>
      </c>
      <c r="AT545" t="str">
        <f t="shared" si="331"/>
        <v>493907.1967,3352411.1839</v>
      </c>
      <c r="AV545">
        <f t="shared" si="316"/>
        <v>444.764</v>
      </c>
      <c r="AX545" t="str">
        <f t="shared" si="332"/>
        <v>pl 43895.9043606363,279 43895.9043606363,400 </v>
      </c>
      <c r="AY545" t="str">
        <f t="shared" si="333"/>
        <v>43895.9043606363,439.364</v>
      </c>
      <c r="AZ545" t="str">
        <f t="shared" si="334"/>
        <v>43895.9043606363,</v>
      </c>
      <c r="BA545" t="str">
        <f t="shared" si="335"/>
        <v>43895.9043606363,444.764</v>
      </c>
      <c r="BB545" t="str">
        <f t="shared" si="336"/>
        <v>-text 43894.9043606363,337 3.5 90 439.364 </v>
      </c>
      <c r="BC545" t="str">
        <f t="shared" si="337"/>
        <v>-text 43894.9043606363,320 3.5 90 444.764 </v>
      </c>
      <c r="BD545" t="str">
        <f t="shared" si="338"/>
        <v>-text 43894.9043606363,306 3.5 90 0.000 </v>
      </c>
      <c r="BE545" t="str">
        <f t="shared" si="339"/>
        <v>-text 43894.9043606363,352 3.5 90 ZG87+791.809 </v>
      </c>
      <c r="BF545" t="str">
        <f t="shared" si="340"/>
        <v>-text 43894.9043606363,280 3.5 90 IP295 </v>
      </c>
      <c r="BG545" t="str">
        <f t="shared" si="341"/>
        <v>-TEXT 43896.9043606363,300 3.5 0 R=15</v>
      </c>
      <c r="BH545" t="str">
        <f t="shared" si="342"/>
        <v>-TEXT 43896.9043606363,295 3.5 0 α=33.71° </v>
      </c>
      <c r="BI545" t="str">
        <f t="shared" si="343"/>
        <v>-TEXT 43896.9043606363,290 3.5 0 T=4.54 </v>
      </c>
      <c r="BJ545" t="str">
        <f t="shared" si="344"/>
        <v>-TEXT 43896.9043606363,285 3.5 0 S=8.82 </v>
      </c>
    </row>
    <row r="546" spans="1:62">
      <c r="A546">
        <v>0</v>
      </c>
      <c r="B546">
        <v>545</v>
      </c>
      <c r="C546" t="s">
        <v>858</v>
      </c>
      <c r="D546" s="47">
        <v>493936.831</v>
      </c>
      <c r="E546" s="47">
        <v>3352337.8366</v>
      </c>
      <c r="F546">
        <v>15</v>
      </c>
      <c r="G546">
        <f t="shared" si="317"/>
        <v>20.954</v>
      </c>
      <c r="H546">
        <f t="shared" si="318"/>
        <v>2.77385791307586</v>
      </c>
      <c r="I546">
        <f t="shared" si="319"/>
        <v>5.48574437194338</v>
      </c>
      <c r="J546">
        <f t="shared" si="320"/>
        <v>79.1076365073905</v>
      </c>
      <c r="K546" s="40">
        <f t="shared" si="321"/>
        <v>87868.01068153</v>
      </c>
      <c r="L546" s="40">
        <f t="shared" si="322"/>
        <v>87870.7535537159</v>
      </c>
      <c r="M546" s="40">
        <f t="shared" si="323"/>
        <v>87873.4964259019</v>
      </c>
      <c r="N546" s="47"/>
      <c r="O546" s="47">
        <v>439.364</v>
      </c>
      <c r="P546" s="47">
        <v>0</v>
      </c>
      <c r="Q546" s="39">
        <f t="shared" si="324"/>
        <v>493935.791892511</v>
      </c>
      <c r="R546" s="39">
        <f t="shared" si="325"/>
        <v>3352340.40847545</v>
      </c>
      <c r="S546" s="39">
        <f t="shared" si="326"/>
        <v>493936.581809226</v>
      </c>
      <c r="T546" s="39">
        <f t="shared" si="327"/>
        <v>3352337.78579652</v>
      </c>
      <c r="U546" s="39">
        <f t="shared" si="328"/>
        <v>493936.881653419</v>
      </c>
      <c r="V546" s="39">
        <f t="shared" si="329"/>
        <v>3352335.06320462</v>
      </c>
      <c r="AI546" t="str">
        <f t="array" ref="AI546">IFERROR(INDEX($L$2:$L$789,SMALL(IF(ISNUMBER(FIND($AH$2,$C$2:$C$789)),ROW($2:$789)-1,4^8),ROW(A545)))&amp;"","")</f>
        <v/>
      </c>
      <c r="AS546" t="str">
        <f t="shared" si="345"/>
        <v>-text 493936.831,3352337.8366 10 0 IP296</v>
      </c>
      <c r="AT546" t="str">
        <f t="shared" si="331"/>
        <v>493936.831,3352337.8366</v>
      </c>
      <c r="AV546">
        <f t="shared" si="316"/>
        <v>444.764</v>
      </c>
      <c r="AX546" t="str">
        <f t="shared" si="332"/>
        <v>pl 43935.376776858,279 43935.376776858,400 </v>
      </c>
      <c r="AY546" t="str">
        <f t="shared" si="333"/>
        <v>43935.376776858,439.364</v>
      </c>
      <c r="AZ546" t="str">
        <f t="shared" si="334"/>
        <v>43935.376776858,</v>
      </c>
      <c r="BA546" t="str">
        <f t="shared" si="335"/>
        <v>43935.376776858,444.764</v>
      </c>
      <c r="BB546" t="str">
        <f t="shared" si="336"/>
        <v>-text 43934.376776858,337 3.5 90 439.364 </v>
      </c>
      <c r="BC546" t="str">
        <f t="shared" si="337"/>
        <v>-text 43934.376776858,320 3.5 90 444.764 </v>
      </c>
      <c r="BD546" t="str">
        <f t="shared" si="338"/>
        <v>-text 43934.376776858,306 3.5 90 0.000 </v>
      </c>
      <c r="BE546" t="str">
        <f t="shared" si="339"/>
        <v>-text 43934.376776858,352 3.5 90 ZG87+870.754 </v>
      </c>
      <c r="BF546" t="str">
        <f t="shared" si="340"/>
        <v>-text 43934.376776858,280 3.5 90 IP296 </v>
      </c>
      <c r="BG546" t="str">
        <f t="shared" si="341"/>
        <v>-TEXT 43936.376776858,300 3.5 0 R=15</v>
      </c>
      <c r="BH546" t="str">
        <f t="shared" si="342"/>
        <v>-TEXT 43936.376776858,295 3.5 0 α=20.95° </v>
      </c>
      <c r="BI546" t="str">
        <f t="shared" si="343"/>
        <v>-TEXT 43936.376776858,290 3.5 0 T=2.77 </v>
      </c>
      <c r="BJ546" t="str">
        <f t="shared" si="344"/>
        <v>-TEXT 43936.376776858,285 3.5 0 S=5.49 </v>
      </c>
    </row>
    <row r="547" spans="1:62">
      <c r="A547">
        <v>0</v>
      </c>
      <c r="B547">
        <v>546</v>
      </c>
      <c r="C547" t="s">
        <v>859</v>
      </c>
      <c r="D547" s="47">
        <v>493937.7017</v>
      </c>
      <c r="E547" s="47">
        <v>3352290.1637</v>
      </c>
      <c r="F547">
        <v>15</v>
      </c>
      <c r="G547">
        <f t="shared" si="317"/>
        <v>40.205</v>
      </c>
      <c r="H547">
        <f t="shared" si="318"/>
        <v>5.48996265809521</v>
      </c>
      <c r="I547">
        <f t="shared" si="319"/>
        <v>10.5256443864648</v>
      </c>
      <c r="J547">
        <f t="shared" si="320"/>
        <v>47.6808505892201</v>
      </c>
      <c r="K547" s="40">
        <f t="shared" si="321"/>
        <v>87912.91345592</v>
      </c>
      <c r="L547" s="40">
        <f t="shared" si="322"/>
        <v>87918.1762781132</v>
      </c>
      <c r="M547" s="40">
        <f t="shared" si="323"/>
        <v>87923.4391003064</v>
      </c>
      <c r="N547" s="47"/>
      <c r="O547" s="47">
        <v>439.364</v>
      </c>
      <c r="P547" s="47">
        <v>0</v>
      </c>
      <c r="Q547" s="39">
        <f t="shared" si="324"/>
        <v>493937.601447793</v>
      </c>
      <c r="R547" s="39">
        <f t="shared" si="325"/>
        <v>3352295.65274723</v>
      </c>
      <c r="S547" s="39">
        <f t="shared" si="326"/>
        <v>493936.781928735</v>
      </c>
      <c r="T547" s="39">
        <f t="shared" si="327"/>
        <v>3352290.48141384</v>
      </c>
      <c r="U547" s="39">
        <f t="shared" si="328"/>
        <v>493934.234933445</v>
      </c>
      <c r="V547" s="39">
        <f t="shared" si="329"/>
        <v>3352285.90679741</v>
      </c>
      <c r="AI547" t="str">
        <f t="array" ref="AI547">IFERROR(INDEX($L$2:$L$789,SMALL(IF(ISNUMBER(FIND($AH$2,$C$2:$C$789)),ROW($2:$789)-1,4^8),ROW(A546)))&amp;"","")</f>
        <v/>
      </c>
      <c r="AS547" t="str">
        <f t="shared" si="345"/>
        <v>-text 493937.7017,3352290.1637 10 0 IP297</v>
      </c>
      <c r="AT547" t="str">
        <f t="shared" si="331"/>
        <v>493937.7017,3352290.1637</v>
      </c>
      <c r="AV547">
        <f t="shared" si="316"/>
        <v>444.764</v>
      </c>
      <c r="AX547" t="str">
        <f t="shared" si="332"/>
        <v>pl 43959.0881390566,279 43959.0881390566,400 </v>
      </c>
      <c r="AY547" t="str">
        <f t="shared" si="333"/>
        <v>43959.0881390566,439.364</v>
      </c>
      <c r="AZ547" t="str">
        <f t="shared" si="334"/>
        <v>43959.0881390566,</v>
      </c>
      <c r="BA547" t="str">
        <f t="shared" si="335"/>
        <v>43959.0881390566,444.764</v>
      </c>
      <c r="BB547" t="str">
        <f t="shared" si="336"/>
        <v>-text 43958.0881390566,337 3.5 90 439.364 </v>
      </c>
      <c r="BC547" t="str">
        <f t="shared" si="337"/>
        <v>-text 43958.0881390566,320 3.5 90 444.764 </v>
      </c>
      <c r="BD547" t="str">
        <f t="shared" si="338"/>
        <v>-text 43958.0881390566,306 3.5 90 0.000 </v>
      </c>
      <c r="BE547" t="str">
        <f t="shared" si="339"/>
        <v>-text 43958.0881390566,352 3.5 90 ZG87+918.176 </v>
      </c>
      <c r="BF547" t="str">
        <f t="shared" si="340"/>
        <v>-text 43958.0881390566,280 3.5 90 IP297 </v>
      </c>
      <c r="BG547" t="str">
        <f t="shared" si="341"/>
        <v>-TEXT 43960.0881390566,300 3.5 0 R=15</v>
      </c>
      <c r="BH547" t="str">
        <f t="shared" si="342"/>
        <v>-TEXT 43960.0881390566,295 3.5 0 α=40.21° </v>
      </c>
      <c r="BI547" t="str">
        <f t="shared" si="343"/>
        <v>-TEXT 43960.0881390566,290 3.5 0 T=5.49 </v>
      </c>
      <c r="BJ547" t="str">
        <f t="shared" si="344"/>
        <v>-TEXT 43960.0881390566,285 3.5 0 S=10.53 </v>
      </c>
    </row>
    <row r="548" spans="1:62">
      <c r="A548">
        <v>0</v>
      </c>
      <c r="B548">
        <v>547</v>
      </c>
      <c r="C548" t="s">
        <v>860</v>
      </c>
      <c r="D548" s="47">
        <v>493899.2259</v>
      </c>
      <c r="E548" s="47">
        <v>3352242.9186</v>
      </c>
      <c r="F548">
        <v>15</v>
      </c>
      <c r="G548">
        <f t="shared" si="317"/>
        <v>45.922</v>
      </c>
      <c r="H548">
        <f t="shared" si="318"/>
        <v>6.35507588773064</v>
      </c>
      <c r="I548">
        <f t="shared" si="319"/>
        <v>12.0223514865125</v>
      </c>
      <c r="J548">
        <f t="shared" si="320"/>
        <v>60.9301785623607</v>
      </c>
      <c r="K548" s="40">
        <f t="shared" si="321"/>
        <v>87972.524240323</v>
      </c>
      <c r="L548" s="40">
        <f t="shared" si="322"/>
        <v>87978.5354160663</v>
      </c>
      <c r="M548" s="40">
        <f t="shared" si="323"/>
        <v>87984.5465918095</v>
      </c>
      <c r="N548" s="47"/>
      <c r="O548" s="47">
        <v>439.364</v>
      </c>
      <c r="P548" s="47">
        <v>0</v>
      </c>
      <c r="Q548" s="39">
        <f t="shared" si="324"/>
        <v>493903.238962732</v>
      </c>
      <c r="R548" s="39">
        <f t="shared" si="325"/>
        <v>3352247.84630911</v>
      </c>
      <c r="S548" s="39">
        <f t="shared" si="326"/>
        <v>493900.465363848</v>
      </c>
      <c r="T548" s="39">
        <f t="shared" si="327"/>
        <v>3352242.55855</v>
      </c>
      <c r="U548" s="39">
        <f t="shared" si="328"/>
        <v>493899.974288711</v>
      </c>
      <c r="V548" s="39">
        <f t="shared" si="329"/>
        <v>3352236.60774397</v>
      </c>
      <c r="AI548" t="str">
        <f t="array" ref="AI548">IFERROR(INDEX($L$2:$L$789,SMALL(IF(ISNUMBER(FIND($AH$2,$C$2:$C$789)),ROW($2:$789)-1,4^8),ROW(A547)))&amp;"","")</f>
        <v/>
      </c>
      <c r="AS548" t="str">
        <f t="shared" si="345"/>
        <v>-text 493899.2259,3352242.9186 10 0 IP298</v>
      </c>
      <c r="AT548" t="str">
        <f t="shared" si="331"/>
        <v>493899.2259,3352242.9186</v>
      </c>
      <c r="AV548">
        <f t="shared" si="316"/>
        <v>444.764</v>
      </c>
      <c r="AX548" t="str">
        <f t="shared" si="332"/>
        <v>pl 43989.2677080331,279 43989.2677080331,400 </v>
      </c>
      <c r="AY548" t="str">
        <f t="shared" si="333"/>
        <v>43989.2677080331,439.364</v>
      </c>
      <c r="AZ548" t="str">
        <f t="shared" si="334"/>
        <v>43989.2677080331,</v>
      </c>
      <c r="BA548" t="str">
        <f t="shared" si="335"/>
        <v>43989.2677080331,444.764</v>
      </c>
      <c r="BB548" t="str">
        <f t="shared" si="336"/>
        <v>-text 43988.2677080331,337 3.5 90 439.364 </v>
      </c>
      <c r="BC548" t="str">
        <f t="shared" si="337"/>
        <v>-text 43988.2677080331,320 3.5 90 444.764 </v>
      </c>
      <c r="BD548" t="str">
        <f t="shared" si="338"/>
        <v>-text 43988.2677080331,306 3.5 90 0.000 </v>
      </c>
      <c r="BE548" t="str">
        <f t="shared" si="339"/>
        <v>-text 43988.2677080331,352 3.5 90 ZG87+978.535 </v>
      </c>
      <c r="BF548" t="str">
        <f t="shared" si="340"/>
        <v>-text 43988.2677080331,280 3.5 90 IP298 </v>
      </c>
      <c r="BG548" t="str">
        <f t="shared" si="341"/>
        <v>-TEXT 43990.2677080331,300 3.5 0 R=15</v>
      </c>
      <c r="BH548" t="str">
        <f t="shared" si="342"/>
        <v>-TEXT 43990.2677080331,295 3.5 0 α=45.92° </v>
      </c>
      <c r="BI548" t="str">
        <f t="shared" si="343"/>
        <v>-TEXT 43990.2677080331,290 3.5 0 T=6.36 </v>
      </c>
      <c r="BJ548" t="str">
        <f t="shared" si="344"/>
        <v>-TEXT 43990.2677080331,285 3.5 0 S=12.02 </v>
      </c>
    </row>
    <row r="549" spans="1:62">
      <c r="A549">
        <v>0</v>
      </c>
      <c r="B549">
        <v>548</v>
      </c>
      <c r="C549" t="s">
        <v>861</v>
      </c>
      <c r="D549" s="47">
        <v>493903.7038</v>
      </c>
      <c r="E549" s="47">
        <v>3352205.1583</v>
      </c>
      <c r="F549">
        <v>15</v>
      </c>
      <c r="G549">
        <f t="shared" si="317"/>
        <v>42.464</v>
      </c>
      <c r="H549">
        <f t="shared" si="318"/>
        <v>5.82775661244571</v>
      </c>
      <c r="I549">
        <f t="shared" si="319"/>
        <v>11.1170492035031</v>
      </c>
      <c r="J549">
        <f t="shared" si="320"/>
        <v>38.0248845430851</v>
      </c>
      <c r="K549" s="40">
        <f t="shared" si="321"/>
        <v>88010.3886438524</v>
      </c>
      <c r="L549" s="40">
        <f t="shared" si="322"/>
        <v>88015.9471684542</v>
      </c>
      <c r="M549" s="40">
        <f t="shared" si="323"/>
        <v>88021.5056930559</v>
      </c>
      <c r="N549" s="47"/>
      <c r="O549" s="47">
        <v>439.364</v>
      </c>
      <c r="P549" s="47">
        <v>0</v>
      </c>
      <c r="Q549" s="39">
        <f t="shared" si="324"/>
        <v>493903.01750965</v>
      </c>
      <c r="R549" s="39">
        <f t="shared" si="325"/>
        <v>3352210.94550595</v>
      </c>
      <c r="S549" s="39">
        <f t="shared" si="326"/>
        <v>493902.646130981</v>
      </c>
      <c r="T549" s="39">
        <f t="shared" si="327"/>
        <v>3352205.43121935</v>
      </c>
      <c r="U549" s="39">
        <f t="shared" si="328"/>
        <v>493900.302999852</v>
      </c>
      <c r="V549" s="39">
        <f t="shared" si="329"/>
        <v>3352200.42572084</v>
      </c>
      <c r="AI549" t="str">
        <f t="array" ref="AI549">IFERROR(INDEX($L$2:$L$789,SMALL(IF(ISNUMBER(FIND($AH$2,$C$2:$C$789)),ROW($2:$789)-1,4^8),ROW(A548)))&amp;"","")</f>
        <v/>
      </c>
      <c r="AS549" t="str">
        <f t="shared" si="345"/>
        <v>-text 493903.7038,3352205.1583 10 0 IP299</v>
      </c>
      <c r="AT549" t="str">
        <f t="shared" si="331"/>
        <v>493903.7038,3352205.1583</v>
      </c>
      <c r="AV549">
        <f t="shared" si="316"/>
        <v>444.764</v>
      </c>
      <c r="AX549" t="str">
        <f t="shared" si="332"/>
        <v>pl 44007.9735842271,279 44007.9735842271,400 </v>
      </c>
      <c r="AY549" t="str">
        <f t="shared" si="333"/>
        <v>44007.9735842271,439.364</v>
      </c>
      <c r="AZ549" t="str">
        <f t="shared" si="334"/>
        <v>44007.9735842271,</v>
      </c>
      <c r="BA549" t="str">
        <f t="shared" si="335"/>
        <v>44007.9735842271,444.764</v>
      </c>
      <c r="BB549" t="str">
        <f t="shared" si="336"/>
        <v>-text 44006.9735842271,337 3.5 90 439.364 </v>
      </c>
      <c r="BC549" t="str">
        <f t="shared" si="337"/>
        <v>-text 44006.9735842271,320 3.5 90 444.764 </v>
      </c>
      <c r="BD549" t="str">
        <f t="shared" si="338"/>
        <v>-text 44006.9735842271,306 3.5 90 0.000 </v>
      </c>
      <c r="BE549" t="str">
        <f t="shared" si="339"/>
        <v>-text 44006.9735842271,352 3.5 90 ZG88+015.947 </v>
      </c>
      <c r="BF549" t="str">
        <f t="shared" si="340"/>
        <v>-text 44006.9735842271,280 3.5 90 IP299 </v>
      </c>
      <c r="BG549" t="str">
        <f t="shared" si="341"/>
        <v>-TEXT 44008.9735842271,300 3.5 0 R=15</v>
      </c>
      <c r="BH549" t="str">
        <f t="shared" si="342"/>
        <v>-TEXT 44008.9735842271,295 3.5 0 α=42.46° </v>
      </c>
      <c r="BI549" t="str">
        <f t="shared" si="343"/>
        <v>-TEXT 44008.9735842271,290 3.5 0 T=5.83 </v>
      </c>
      <c r="BJ549" t="str">
        <f t="shared" si="344"/>
        <v>-TEXT 44008.9735842271,285 3.5 0 S=11.12 </v>
      </c>
    </row>
    <row r="550" spans="1:62">
      <c r="A550">
        <v>0</v>
      </c>
      <c r="B550">
        <v>549</v>
      </c>
      <c r="C550" t="s">
        <v>862</v>
      </c>
      <c r="D550" s="47">
        <v>493809.9648</v>
      </c>
      <c r="E550" s="47">
        <v>3352074.7104</v>
      </c>
      <c r="F550">
        <v>15</v>
      </c>
      <c r="G550">
        <f t="shared" si="317"/>
        <v>24.343</v>
      </c>
      <c r="H550">
        <f t="shared" si="318"/>
        <v>3.23530556759505</v>
      </c>
      <c r="I550">
        <f t="shared" si="319"/>
        <v>6.37298249719469</v>
      </c>
      <c r="J550">
        <f t="shared" si="320"/>
        <v>160.635160333272</v>
      </c>
      <c r="K550" s="40">
        <f t="shared" si="321"/>
        <v>88173.0777912092</v>
      </c>
      <c r="L550" s="40">
        <f t="shared" si="322"/>
        <v>88176.2642824578</v>
      </c>
      <c r="M550" s="40">
        <f t="shared" si="323"/>
        <v>88179.4507737064</v>
      </c>
      <c r="N550" s="47"/>
      <c r="O550" s="47">
        <v>439.364</v>
      </c>
      <c r="P550" s="47">
        <v>0</v>
      </c>
      <c r="Q550" s="39">
        <f t="shared" si="324"/>
        <v>493811.852769657</v>
      </c>
      <c r="R550" s="39">
        <f t="shared" si="325"/>
        <v>3352077.33771283</v>
      </c>
      <c r="S550" s="39">
        <f t="shared" si="326"/>
        <v>493810.28105783</v>
      </c>
      <c r="T550" s="39">
        <f t="shared" si="327"/>
        <v>3352074.57269427</v>
      </c>
      <c r="U550" s="39">
        <f t="shared" si="328"/>
        <v>493809.327643275</v>
      </c>
      <c r="V550" s="39">
        <f t="shared" si="329"/>
        <v>3352071.53845526</v>
      </c>
      <c r="AI550" t="str">
        <f t="array" ref="AI550">IFERROR(INDEX($L$2:$L$789,SMALL(IF(ISNUMBER(FIND($AH$2,$C$2:$C$789)),ROW($2:$789)-1,4^8),ROW(A549)))&amp;"","")</f>
        <v/>
      </c>
      <c r="AS550" t="str">
        <f t="shared" si="345"/>
        <v>-text 493809.9648,3352074.7104 10 0 IP300</v>
      </c>
      <c r="AT550" t="str">
        <f t="shared" si="331"/>
        <v>493809.9648,3352074.7104</v>
      </c>
      <c r="AV550">
        <f t="shared" si="316"/>
        <v>444.764</v>
      </c>
      <c r="AX550" t="str">
        <f t="shared" si="332"/>
        <v>pl 44088.1321412289,279 44088.1321412289,400 </v>
      </c>
      <c r="AY550" t="str">
        <f t="shared" si="333"/>
        <v>44088.1321412289,439.364</v>
      </c>
      <c r="AZ550" t="str">
        <f t="shared" si="334"/>
        <v>44088.1321412289,</v>
      </c>
      <c r="BA550" t="str">
        <f t="shared" si="335"/>
        <v>44088.1321412289,444.764</v>
      </c>
      <c r="BB550" t="str">
        <f t="shared" si="336"/>
        <v>-text 44087.1321412289,337 3.5 90 439.364 </v>
      </c>
      <c r="BC550" t="str">
        <f t="shared" si="337"/>
        <v>-text 44087.1321412289,320 3.5 90 444.764 </v>
      </c>
      <c r="BD550" t="str">
        <f t="shared" si="338"/>
        <v>-text 44087.1321412289,306 3.5 90 0.000 </v>
      </c>
      <c r="BE550" t="str">
        <f t="shared" si="339"/>
        <v>-text 44087.1321412289,352 3.5 90 ZG88+176.264 </v>
      </c>
      <c r="BF550" t="str">
        <f t="shared" si="340"/>
        <v>-text 44087.1321412289,280 3.5 90 IP300 </v>
      </c>
      <c r="BG550" t="str">
        <f t="shared" si="341"/>
        <v>-TEXT 44089.1321412289,300 3.5 0 R=15</v>
      </c>
      <c r="BH550" t="str">
        <f t="shared" si="342"/>
        <v>-TEXT 44089.1321412289,295 3.5 0 α=24.34° </v>
      </c>
      <c r="BI550" t="str">
        <f t="shared" si="343"/>
        <v>-TEXT 44089.1321412289,290 3.5 0 T=3.24 </v>
      </c>
      <c r="BJ550" t="str">
        <f t="shared" si="344"/>
        <v>-TEXT 44089.1321412289,285 3.5 0 S=6.37 </v>
      </c>
    </row>
    <row r="551" spans="1:62">
      <c r="A551">
        <v>0</v>
      </c>
      <c r="B551">
        <v>550</v>
      </c>
      <c r="C551" t="s">
        <v>863</v>
      </c>
      <c r="D551" s="47">
        <v>493791.2307</v>
      </c>
      <c r="E551" s="47">
        <v>3351981.4468</v>
      </c>
      <c r="F551">
        <v>15</v>
      </c>
      <c r="G551">
        <f t="shared" si="317"/>
        <v>29.834</v>
      </c>
      <c r="H551">
        <f t="shared" si="318"/>
        <v>3.99595746038545</v>
      </c>
      <c r="I551">
        <f t="shared" si="319"/>
        <v>7.81052293559982</v>
      </c>
      <c r="J551">
        <f t="shared" si="320"/>
        <v>95.126576663957</v>
      </c>
      <c r="K551" s="40">
        <f t="shared" si="321"/>
        <v>88267.3460873423</v>
      </c>
      <c r="L551" s="40">
        <f t="shared" si="322"/>
        <v>88271.2513488101</v>
      </c>
      <c r="M551" s="40">
        <f t="shared" si="323"/>
        <v>88275.1566102779</v>
      </c>
      <c r="N551" s="47"/>
      <c r="O551" s="47">
        <v>439.364</v>
      </c>
      <c r="P551" s="47">
        <v>0</v>
      </c>
      <c r="Q551" s="39">
        <f t="shared" si="324"/>
        <v>493792.017658485</v>
      </c>
      <c r="R551" s="39">
        <f t="shared" si="325"/>
        <v>3351985.36449988</v>
      </c>
      <c r="S551" s="39">
        <f t="shared" si="326"/>
        <v>493791.752831515</v>
      </c>
      <c r="T551" s="39">
        <f t="shared" si="327"/>
        <v>3351981.47927653</v>
      </c>
      <c r="U551" s="39">
        <f t="shared" si="328"/>
        <v>493792.497075643</v>
      </c>
      <c r="V551" s="39">
        <f t="shared" si="329"/>
        <v>3351977.65681731</v>
      </c>
      <c r="AI551" t="str">
        <f t="array" ref="AI551">IFERROR(INDEX($L$2:$L$789,SMALL(IF(ISNUMBER(FIND($AH$2,$C$2:$C$789)),ROW($2:$789)-1,4^8),ROW(A550)))&amp;"","")</f>
        <v/>
      </c>
      <c r="AS551" t="str">
        <f t="shared" si="345"/>
        <v>-text 493791.2307,3351981.4468 10 0 IP301</v>
      </c>
      <c r="AT551" t="str">
        <f t="shared" si="331"/>
        <v>493791.2307,3351981.4468</v>
      </c>
      <c r="AV551">
        <f t="shared" si="316"/>
        <v>444.764</v>
      </c>
      <c r="AX551" t="str">
        <f t="shared" si="332"/>
        <v>pl 44135.6256744051,279 44135.6256744051,400 </v>
      </c>
      <c r="AY551" t="str">
        <f t="shared" si="333"/>
        <v>44135.6256744051,439.364</v>
      </c>
      <c r="AZ551" t="str">
        <f t="shared" si="334"/>
        <v>44135.6256744051,</v>
      </c>
      <c r="BA551" t="str">
        <f t="shared" si="335"/>
        <v>44135.6256744051,444.764</v>
      </c>
      <c r="BB551" t="str">
        <f t="shared" si="336"/>
        <v>-text 44134.6256744051,337 3.5 90 439.364 </v>
      </c>
      <c r="BC551" t="str">
        <f t="shared" si="337"/>
        <v>-text 44134.6256744051,320 3.5 90 444.764 </v>
      </c>
      <c r="BD551" t="str">
        <f t="shared" si="338"/>
        <v>-text 44134.6256744051,306 3.5 90 0.000 </v>
      </c>
      <c r="BE551" t="str">
        <f t="shared" si="339"/>
        <v>-text 44134.6256744051,352 3.5 90 ZG88+271.251 </v>
      </c>
      <c r="BF551" t="str">
        <f t="shared" si="340"/>
        <v>-text 44134.6256744051,280 3.5 90 IP301 </v>
      </c>
      <c r="BG551" t="str">
        <f t="shared" si="341"/>
        <v>-TEXT 44136.6256744051,300 3.5 0 R=15</v>
      </c>
      <c r="BH551" t="str">
        <f t="shared" si="342"/>
        <v>-TEXT 44136.6256744051,295 3.5 0 α=29.83° </v>
      </c>
      <c r="BI551" t="str">
        <f t="shared" si="343"/>
        <v>-TEXT 44136.6256744051,290 3.5 0 T=4.00 </v>
      </c>
      <c r="BJ551" t="str">
        <f t="shared" si="344"/>
        <v>-TEXT 44136.6256744051,285 3.5 0 S=7.81 </v>
      </c>
    </row>
    <row r="552" spans="1:62">
      <c r="A552">
        <v>0</v>
      </c>
      <c r="B552">
        <v>551</v>
      </c>
      <c r="C552" s="47" t="str">
        <f>Sheet1!C500</f>
        <v>渝蓉高速倒虹管出</v>
      </c>
      <c r="D552" s="47">
        <v>493865.0591</v>
      </c>
      <c r="E552" s="47">
        <v>3351760.4947</v>
      </c>
      <c r="G552">
        <f t="shared" si="317"/>
        <v>0</v>
      </c>
      <c r="H552">
        <f t="shared" si="318"/>
        <v>0</v>
      </c>
      <c r="I552">
        <f t="shared" si="319"/>
        <v>0</v>
      </c>
      <c r="J552">
        <f t="shared" si="320"/>
        <v>232.960217936274</v>
      </c>
      <c r="K552" s="40">
        <f t="shared" si="321"/>
        <v>88504.1208707538</v>
      </c>
      <c r="L552" s="40">
        <f t="shared" si="322"/>
        <v>88504.1208707538</v>
      </c>
      <c r="M552" s="40">
        <f t="shared" si="323"/>
        <v>88504.1208707538</v>
      </c>
      <c r="N552" s="47">
        <v>441.702</v>
      </c>
      <c r="O552" s="47">
        <v>438.094</v>
      </c>
      <c r="P552" s="47">
        <v>0</v>
      </c>
      <c r="Q552" s="39">
        <f t="shared" si="324"/>
        <v>493865.0591</v>
      </c>
      <c r="R552" s="39">
        <f t="shared" si="325"/>
        <v>3351760.4947</v>
      </c>
      <c r="S552" s="39" t="str">
        <f t="shared" si="326"/>
        <v> </v>
      </c>
      <c r="T552" s="39" t="str">
        <f t="shared" si="327"/>
        <v> </v>
      </c>
      <c r="U552" s="39" t="str">
        <f t="shared" si="328"/>
        <v> </v>
      </c>
      <c r="V552" s="39" t="str">
        <f t="shared" si="329"/>
        <v> </v>
      </c>
      <c r="AI552" t="str">
        <f t="array" ref="AI552">IFERROR(INDEX($L$2:$L$789,SMALL(IF(ISNUMBER(FIND($AH$2,$C$2:$C$789)),ROW($2:$789)-1,4^8),ROW(A551)))&amp;"","")</f>
        <v/>
      </c>
      <c r="AT552" t="str">
        <f t="shared" si="331"/>
        <v>493865.0591,3351760.4947</v>
      </c>
      <c r="AV552">
        <f t="shared" si="316"/>
        <v>443.494</v>
      </c>
      <c r="AX552" t="str">
        <f t="shared" si="332"/>
        <v>pl 44252.0604353769,279 44252.0604353769,400 </v>
      </c>
      <c r="AY552" t="str">
        <f t="shared" si="333"/>
        <v>44252.0604353769,438.094</v>
      </c>
      <c r="AZ552" t="str">
        <f t="shared" si="334"/>
        <v>44252.0604353769,441.702</v>
      </c>
      <c r="BA552" t="str">
        <f t="shared" si="335"/>
        <v>44252.0604353769,443.494</v>
      </c>
      <c r="BB552" t="str">
        <f t="shared" si="336"/>
        <v>-text 44251.0604353769,337 3.5 90 438.094 </v>
      </c>
      <c r="BC552" t="str">
        <f t="shared" si="337"/>
        <v>-text 44251.0604353769,320 3.5 90 443.494 </v>
      </c>
      <c r="BD552" t="str">
        <f t="shared" si="338"/>
        <v>-text 44251.0604353769,306 3.5 90 441.702 </v>
      </c>
      <c r="BE552" t="str">
        <f t="shared" si="339"/>
        <v>-text 44251.0604353769,352 3.5 90 ZG88+504.121 </v>
      </c>
      <c r="BF552" t="str">
        <f t="shared" si="340"/>
        <v>-text 44251.0604353769,280 3.5 90 渝蓉高速倒虹管出 </v>
      </c>
      <c r="BG552" t="str">
        <f t="shared" si="341"/>
        <v/>
      </c>
      <c r="BH552" t="str">
        <f t="shared" si="342"/>
        <v> </v>
      </c>
      <c r="BI552" t="str">
        <f t="shared" si="343"/>
        <v> </v>
      </c>
      <c r="BJ552" t="str">
        <f t="shared" si="344"/>
        <v> </v>
      </c>
    </row>
    <row r="553" spans="1:62">
      <c r="A553">
        <v>0</v>
      </c>
      <c r="B553">
        <v>552</v>
      </c>
      <c r="C553" t="s">
        <v>521</v>
      </c>
      <c r="D553">
        <v>493869.7756</v>
      </c>
      <c r="E553">
        <v>3351746.3793</v>
      </c>
      <c r="F553">
        <v>60</v>
      </c>
      <c r="G553">
        <f t="shared" si="317"/>
        <v>3.903</v>
      </c>
      <c r="H553">
        <f t="shared" si="318"/>
        <v>2.04439664397316</v>
      </c>
      <c r="I553">
        <f t="shared" si="319"/>
        <v>4.08721204232032</v>
      </c>
      <c r="J553">
        <f t="shared" si="320"/>
        <v>14.8825363903499</v>
      </c>
      <c r="K553" s="40">
        <f t="shared" si="321"/>
        <v>88516.9590105002</v>
      </c>
      <c r="L553" s="40">
        <f t="shared" si="322"/>
        <v>88519.0026165213</v>
      </c>
      <c r="M553" s="40">
        <f t="shared" si="323"/>
        <v>88521.0462225425</v>
      </c>
      <c r="N553">
        <v>441.699</v>
      </c>
      <c r="O553">
        <v>437.784</v>
      </c>
      <c r="P553">
        <v>0</v>
      </c>
      <c r="Q553" s="39">
        <f t="shared" si="324"/>
        <v>493869.127699903</v>
      </c>
      <c r="R553" s="39">
        <f t="shared" si="325"/>
        <v>3351748.31831601</v>
      </c>
      <c r="S553" s="39">
        <f t="shared" si="326"/>
        <v>493869.80823391</v>
      </c>
      <c r="T553" s="39">
        <f t="shared" si="327"/>
        <v>3351746.39145474</v>
      </c>
      <c r="U553" s="39">
        <f t="shared" si="328"/>
        <v>493870.553997883</v>
      </c>
      <c r="V553" s="39">
        <f t="shared" si="329"/>
        <v>3351744.48888884</v>
      </c>
      <c r="AI553" t="str">
        <f t="array" ref="AI553">IFERROR(INDEX($L$2:$L$789,SMALL(IF(ISNUMBER(FIND($AH$2,$C$2:$C$789)),ROW($2:$789)-1,4^8),ROW(A552)))&amp;"","")</f>
        <v/>
      </c>
      <c r="AS553" t="str">
        <f>"-text"&amp;" "&amp;D553&amp;","&amp;E553&amp;" "&amp;"10"&amp;" "&amp;"0"&amp;" "&amp;C553</f>
        <v>-text 493869.7756,3351746.3793 10 0 IP302</v>
      </c>
      <c r="AT553" t="str">
        <f t="shared" si="331"/>
        <v>493869.7756,3351746.3793</v>
      </c>
      <c r="AV553">
        <f t="shared" si="316"/>
        <v>443.184</v>
      </c>
      <c r="AX553" t="str">
        <f t="shared" si="332"/>
        <v>pl 44259.5013082607,279 44259.5013082607,400 </v>
      </c>
      <c r="AY553" t="str">
        <f t="shared" si="333"/>
        <v>44259.5013082607,437.784</v>
      </c>
      <c r="AZ553" t="str">
        <f t="shared" si="334"/>
        <v>44259.5013082607,441.699</v>
      </c>
      <c r="BA553" t="str">
        <f t="shared" si="335"/>
        <v>44259.5013082607,443.184</v>
      </c>
      <c r="BB553" t="str">
        <f t="shared" si="336"/>
        <v>-text 44258.5013082607,337 3.5 90 437.784 </v>
      </c>
      <c r="BC553" t="str">
        <f t="shared" si="337"/>
        <v>-text 44258.5013082607,320 3.5 90 443.184 </v>
      </c>
      <c r="BD553" t="str">
        <f t="shared" si="338"/>
        <v>-text 44258.5013082607,306 3.5 90 441.699 </v>
      </c>
      <c r="BE553" t="str">
        <f t="shared" si="339"/>
        <v>-text 44258.5013082607,352 3.5 90 ZG88+519.003 </v>
      </c>
      <c r="BF553" t="str">
        <f t="shared" si="340"/>
        <v>-text 44258.5013082607,280 3.5 90 IP302 </v>
      </c>
      <c r="BG553" t="str">
        <f t="shared" si="341"/>
        <v>-TEXT 44260.5013082607,300 3.5 0 R=60</v>
      </c>
      <c r="BH553" t="str">
        <f t="shared" si="342"/>
        <v>-TEXT 44260.5013082607,295 3.5 0 α=3.90° </v>
      </c>
      <c r="BI553" t="str">
        <f t="shared" si="343"/>
        <v>-TEXT 44260.5013082607,290 3.5 0 T=2.04 </v>
      </c>
      <c r="BJ553" t="str">
        <f t="shared" si="344"/>
        <v>-TEXT 44260.5013082607,285 3.5 0 S=4.09 </v>
      </c>
    </row>
    <row r="554" spans="1:62">
      <c r="A554">
        <v>2</v>
      </c>
      <c r="B554">
        <v>553</v>
      </c>
      <c r="C554" t="str">
        <f>Sheet1!C502</f>
        <v>梁家湾渡槽进</v>
      </c>
      <c r="D554">
        <v>493875.9129</v>
      </c>
      <c r="E554">
        <v>3351731.4743</v>
      </c>
      <c r="G554">
        <f t="shared" si="317"/>
        <v>0</v>
      </c>
      <c r="H554">
        <f t="shared" si="318"/>
        <v>0</v>
      </c>
      <c r="I554">
        <f t="shared" si="319"/>
        <v>0</v>
      </c>
      <c r="J554">
        <f t="shared" si="320"/>
        <v>16.1191028378691</v>
      </c>
      <c r="K554" s="40">
        <f t="shared" si="321"/>
        <v>88535.1209287364</v>
      </c>
      <c r="L554" s="40">
        <f t="shared" si="322"/>
        <v>88535.1209287364</v>
      </c>
      <c r="M554" s="40">
        <f t="shared" si="323"/>
        <v>88535.1209287364</v>
      </c>
      <c r="N554">
        <v>441.652</v>
      </c>
      <c r="O554">
        <v>438.105</v>
      </c>
      <c r="P554">
        <v>0</v>
      </c>
      <c r="Q554" s="39">
        <f t="shared" si="324"/>
        <v>493875.9129</v>
      </c>
      <c r="R554" s="39">
        <f t="shared" si="325"/>
        <v>3351731.4743</v>
      </c>
      <c r="S554" s="39" t="str">
        <f t="shared" si="326"/>
        <v> </v>
      </c>
      <c r="T554" s="39" t="str">
        <f t="shared" si="327"/>
        <v> </v>
      </c>
      <c r="U554" s="39" t="str">
        <f t="shared" si="328"/>
        <v> </v>
      </c>
      <c r="V554" s="39" t="str">
        <f t="shared" si="329"/>
        <v> </v>
      </c>
      <c r="AI554" t="str">
        <f t="array" ref="AI554">IFERROR(INDEX($L$2:$L$789,SMALL(IF(ISNUMBER(FIND($AH$2,$C$2:$C$789)),ROW($2:$789)-1,4^8),ROW(A553)))&amp;"","")</f>
        <v/>
      </c>
      <c r="AT554" t="str">
        <f t="shared" si="331"/>
        <v>493875.9129,3351731.4743</v>
      </c>
      <c r="AV554">
        <f t="shared" si="316"/>
        <v>442.355</v>
      </c>
      <c r="AX554" t="str">
        <f t="shared" si="332"/>
        <v>pl 44267.5604643682,279 44267.5604643682,400 </v>
      </c>
      <c r="AY554" t="str">
        <f t="shared" si="333"/>
        <v>44267.5604643682,438.105</v>
      </c>
      <c r="AZ554" t="str">
        <f t="shared" si="334"/>
        <v>44267.5604643682,441.652</v>
      </c>
      <c r="BA554" t="str">
        <f t="shared" si="335"/>
        <v>44267.5604643682,442.355</v>
      </c>
      <c r="BB554" t="str">
        <f t="shared" si="336"/>
        <v>-text 44266.5604643682,337 3.5 90 438.105 </v>
      </c>
      <c r="BC554" t="str">
        <f t="shared" si="337"/>
        <v>-text 44266.5604643682,320 3.5 90 442.355 </v>
      </c>
      <c r="BD554" t="str">
        <f t="shared" si="338"/>
        <v>-text 44266.5604643682,306 3.5 90 441.652 </v>
      </c>
      <c r="BE554" t="str">
        <f t="shared" si="339"/>
        <v>-text 44266.5604643682,352 3.5 90 ZG88+535.121 </v>
      </c>
      <c r="BF554" t="str">
        <f t="shared" si="340"/>
        <v>-text 44266.5604643682,280 3.5 90 梁家湾渡槽进 </v>
      </c>
      <c r="BG554" t="str">
        <f t="shared" si="341"/>
        <v/>
      </c>
      <c r="BH554" t="str">
        <f t="shared" si="342"/>
        <v> </v>
      </c>
      <c r="BI554" t="str">
        <f t="shared" si="343"/>
        <v> </v>
      </c>
      <c r="BJ554" t="str">
        <f t="shared" si="344"/>
        <v> </v>
      </c>
    </row>
    <row r="555" spans="1:62">
      <c r="A555">
        <v>2</v>
      </c>
      <c r="B555">
        <v>554</v>
      </c>
      <c r="C555" t="s">
        <v>523</v>
      </c>
      <c r="D555">
        <v>494021.9374</v>
      </c>
      <c r="E555">
        <v>3351376.839</v>
      </c>
      <c r="F555">
        <v>60</v>
      </c>
      <c r="G555">
        <f t="shared" si="317"/>
        <v>22.31</v>
      </c>
      <c r="H555">
        <f t="shared" si="318"/>
        <v>11.8313560906494</v>
      </c>
      <c r="I555">
        <f t="shared" si="319"/>
        <v>23.3629773671961</v>
      </c>
      <c r="J555">
        <f t="shared" si="320"/>
        <v>383.52229479673</v>
      </c>
      <c r="K555" s="40">
        <f t="shared" si="321"/>
        <v>88906.8118674425</v>
      </c>
      <c r="L555" s="40">
        <f t="shared" si="322"/>
        <v>88918.4933561261</v>
      </c>
      <c r="M555" s="40">
        <f t="shared" si="323"/>
        <v>88930.1748448097</v>
      </c>
      <c r="N555">
        <v>441.542</v>
      </c>
      <c r="O555">
        <v>437.995</v>
      </c>
      <c r="P555">
        <v>0.001</v>
      </c>
      <c r="Q555" s="39">
        <f t="shared" si="324"/>
        <v>494017.432660951</v>
      </c>
      <c r="R555" s="39">
        <f t="shared" si="325"/>
        <v>3351387.7792154</v>
      </c>
      <c r="S555" s="39">
        <f t="shared" si="326"/>
        <v>494022.900487465</v>
      </c>
      <c r="T555" s="39">
        <f t="shared" si="327"/>
        <v>3351377.47730309</v>
      </c>
      <c r="U555" s="39">
        <f t="shared" si="328"/>
        <v>494030.258098465</v>
      </c>
      <c r="V555" s="39">
        <f t="shared" si="329"/>
        <v>3351368.42787855</v>
      </c>
      <c r="AI555" t="str">
        <f t="array" ref="AI555">IFERROR(INDEX($L$2:$L$789,SMALL(IF(ISNUMBER(FIND($AH$2,$C$2:$C$789)),ROW($2:$789)-1,4^8),ROW(A554)))&amp;"","")</f>
        <v/>
      </c>
      <c r="AS555" t="str">
        <f>"-text"&amp;" "&amp;D555&amp;","&amp;E555&amp;" "&amp;"10"&amp;" "&amp;"0"&amp;" "&amp;C555</f>
        <v>-text 494021.9374,3351376.839 10 0 IP303</v>
      </c>
      <c r="AT555" t="str">
        <f t="shared" si="331"/>
        <v>494021.9374,3351376.839</v>
      </c>
      <c r="AV555">
        <f t="shared" si="316"/>
        <v>442.245</v>
      </c>
      <c r="AX555" t="str">
        <f t="shared" si="332"/>
        <v>pl 44459.246678063,279 44459.246678063,400 </v>
      </c>
      <c r="AY555" t="str">
        <f t="shared" si="333"/>
        <v>44459.246678063,437.995</v>
      </c>
      <c r="AZ555" t="str">
        <f t="shared" si="334"/>
        <v>44459.246678063,441.542</v>
      </c>
      <c r="BA555" t="str">
        <f t="shared" si="335"/>
        <v>44459.246678063,442.245</v>
      </c>
      <c r="BB555" t="str">
        <f t="shared" si="336"/>
        <v>-text 44458.246678063,337 3.5 90 437.995 </v>
      </c>
      <c r="BC555" t="str">
        <f t="shared" si="337"/>
        <v>-text 44458.246678063,320 3.5 90 442.245 </v>
      </c>
      <c r="BD555" t="str">
        <f t="shared" si="338"/>
        <v>-text 44458.246678063,306 3.5 90 441.542 </v>
      </c>
      <c r="BE555" t="str">
        <f t="shared" si="339"/>
        <v>-text 44458.246678063,352 3.5 90 ZG88+918.493 </v>
      </c>
      <c r="BF555" t="str">
        <f t="shared" si="340"/>
        <v>-text 44458.246678063,280 3.5 90 IP303 </v>
      </c>
      <c r="BG555" t="str">
        <f t="shared" si="341"/>
        <v>-TEXT 44460.246678063,300 3.5 0 R=60</v>
      </c>
      <c r="BH555" t="str">
        <f t="shared" si="342"/>
        <v>-TEXT 44460.246678063,295 3.5 0 α=22.31° </v>
      </c>
      <c r="BI555" t="str">
        <f t="shared" si="343"/>
        <v>-TEXT 44460.246678063,290 3.5 0 T=11.83 </v>
      </c>
      <c r="BJ555" t="str">
        <f t="shared" si="344"/>
        <v>-TEXT 44460.246678063,285 3.5 0 S=23.36 </v>
      </c>
    </row>
    <row r="556" spans="1:62">
      <c r="A556">
        <v>2</v>
      </c>
      <c r="B556">
        <v>555</v>
      </c>
      <c r="C556" t="s">
        <v>524</v>
      </c>
      <c r="D556">
        <v>494109.1537</v>
      </c>
      <c r="E556">
        <v>3351288.6749</v>
      </c>
      <c r="F556">
        <v>60</v>
      </c>
      <c r="G556">
        <f t="shared" si="317"/>
        <v>17.274</v>
      </c>
      <c r="H556">
        <f t="shared" si="318"/>
        <v>9.11378325786115</v>
      </c>
      <c r="I556">
        <f t="shared" si="319"/>
        <v>18.08929049937</v>
      </c>
      <c r="J556">
        <f t="shared" si="320"/>
        <v>124.014481067877</v>
      </c>
      <c r="K556" s="40">
        <f t="shared" si="321"/>
        <v>89033.244186529</v>
      </c>
      <c r="L556" s="40">
        <f t="shared" si="322"/>
        <v>89042.2888317787</v>
      </c>
      <c r="M556" s="40">
        <f t="shared" si="323"/>
        <v>89051.3334770284</v>
      </c>
      <c r="N556">
        <v>441.506</v>
      </c>
      <c r="O556">
        <v>437.959</v>
      </c>
      <c r="P556">
        <v>0.001</v>
      </c>
      <c r="Q556" s="39">
        <f t="shared" si="324"/>
        <v>494102.744202916</v>
      </c>
      <c r="R556" s="39">
        <f t="shared" si="325"/>
        <v>3351295.15405059</v>
      </c>
      <c r="S556" s="39">
        <f t="shared" si="326"/>
        <v>494108.59728922</v>
      </c>
      <c r="T556" s="39">
        <f t="shared" si="327"/>
        <v>3351288.2698515</v>
      </c>
      <c r="U556" s="39">
        <f t="shared" si="328"/>
        <v>494113.350173794</v>
      </c>
      <c r="V556" s="39">
        <f t="shared" si="329"/>
        <v>3351280.58474222</v>
      </c>
      <c r="AI556" t="str">
        <f t="array" ref="AI556">IFERROR(INDEX($L$2:$L$789,SMALL(IF(ISNUMBER(FIND($AH$2,$C$2:$C$789)),ROW($2:$789)-1,4^8),ROW(A555)))&amp;"","")</f>
        <v/>
      </c>
      <c r="AS556" t="str">
        <f>"-text"&amp;" "&amp;D556&amp;","&amp;E556&amp;" "&amp;"10"&amp;" "&amp;"0"&amp;" "&amp;C556</f>
        <v>-text 494109.1537,3351288.6749 10 0 IP304</v>
      </c>
      <c r="AT556" t="str">
        <f t="shared" si="331"/>
        <v>494109.1537,3351288.6749</v>
      </c>
      <c r="AV556">
        <f t="shared" si="316"/>
        <v>442.209</v>
      </c>
      <c r="AX556" t="str">
        <f t="shared" si="332"/>
        <v>pl 44521.1444158894,279 44521.1444158894,400 </v>
      </c>
      <c r="AY556" t="str">
        <f t="shared" si="333"/>
        <v>44521.1444158894,437.959</v>
      </c>
      <c r="AZ556" t="str">
        <f t="shared" si="334"/>
        <v>44521.1444158894,441.506</v>
      </c>
      <c r="BA556" t="str">
        <f t="shared" si="335"/>
        <v>44521.1444158894,442.209</v>
      </c>
      <c r="BB556" t="str">
        <f t="shared" si="336"/>
        <v>-text 44520.1444158894,337 3.5 90 437.959 </v>
      </c>
      <c r="BC556" t="str">
        <f t="shared" si="337"/>
        <v>-text 44520.1444158894,320 3.5 90 442.209 </v>
      </c>
      <c r="BD556" t="str">
        <f t="shared" si="338"/>
        <v>-text 44520.1444158894,306 3.5 90 441.506 </v>
      </c>
      <c r="BE556" t="str">
        <f t="shared" si="339"/>
        <v>-text 44520.1444158894,352 3.5 90 ZG89+042.289 </v>
      </c>
      <c r="BF556" t="str">
        <f t="shared" si="340"/>
        <v>-text 44520.1444158894,280 3.5 90 IP304 </v>
      </c>
      <c r="BG556" t="str">
        <f t="shared" si="341"/>
        <v>-TEXT 44522.1444158894,300 3.5 0 R=60</v>
      </c>
      <c r="BH556" t="str">
        <f t="shared" si="342"/>
        <v>-TEXT 44522.1444158894,295 3.5 0 α=17.27° </v>
      </c>
      <c r="BI556" t="str">
        <f t="shared" si="343"/>
        <v>-TEXT 44522.1444158894,290 3.5 0 T=9.11 </v>
      </c>
      <c r="BJ556" t="str">
        <f t="shared" si="344"/>
        <v>-TEXT 44522.1444158894,285 3.5 0 S=18.09 </v>
      </c>
    </row>
    <row r="557" spans="1:62">
      <c r="A557">
        <v>2</v>
      </c>
      <c r="B557">
        <v>556</v>
      </c>
      <c r="C557" t="s">
        <v>525</v>
      </c>
      <c r="D557">
        <v>494168.7254</v>
      </c>
      <c r="E557">
        <v>3351173.8298</v>
      </c>
      <c r="F557">
        <v>60</v>
      </c>
      <c r="G557">
        <f t="shared" si="317"/>
        <v>19.557</v>
      </c>
      <c r="H557">
        <f t="shared" si="318"/>
        <v>10.340614577509</v>
      </c>
      <c r="I557">
        <f t="shared" si="319"/>
        <v>20.4800425087519</v>
      </c>
      <c r="J557">
        <f t="shared" si="320"/>
        <v>129.376135492233</v>
      </c>
      <c r="K557" s="40">
        <f t="shared" si="321"/>
        <v>89161.2552146852</v>
      </c>
      <c r="L557" s="40">
        <f t="shared" si="322"/>
        <v>89171.4952359396</v>
      </c>
      <c r="M557" s="40">
        <f t="shared" si="323"/>
        <v>89181.735257194</v>
      </c>
      <c r="N557">
        <v>441.468</v>
      </c>
      <c r="O557">
        <v>437.921</v>
      </c>
      <c r="P557">
        <v>0.001</v>
      </c>
      <c r="Q557" s="39">
        <f t="shared" si="324"/>
        <v>494163.964027378</v>
      </c>
      <c r="R557" s="39">
        <f t="shared" si="325"/>
        <v>3351183.00899608</v>
      </c>
      <c r="S557" s="39">
        <f t="shared" si="326"/>
        <v>494169.430021816</v>
      </c>
      <c r="T557" s="39">
        <f t="shared" si="327"/>
        <v>3351174.36453911</v>
      </c>
      <c r="U557" s="39">
        <f t="shared" si="328"/>
        <v>494176.284785971</v>
      </c>
      <c r="V557" s="39">
        <f t="shared" si="329"/>
        <v>3351166.77402268</v>
      </c>
      <c r="AI557" t="str">
        <f t="array" ref="AI557">IFERROR(INDEX($L$2:$L$789,SMALL(IF(ISNUMBER(FIND($AH$2,$C$2:$C$789)),ROW($2:$789)-1,4^8),ROW(A556)))&amp;"","")</f>
        <v/>
      </c>
      <c r="AS557" t="str">
        <f>"-text"&amp;" "&amp;D557&amp;","&amp;E557&amp;" "&amp;"10"&amp;" "&amp;"0"&amp;" "&amp;C557</f>
        <v>-text 494168.7254,3351173.8298 10 0 IP305</v>
      </c>
      <c r="AT557" t="str">
        <f t="shared" si="331"/>
        <v>494168.7254,3351173.8298</v>
      </c>
      <c r="AV557">
        <f t="shared" si="316"/>
        <v>442.171</v>
      </c>
      <c r="AX557" t="str">
        <f t="shared" si="332"/>
        <v>pl 44585.7476179698,279 44585.7476179698,400 </v>
      </c>
      <c r="AY557" t="str">
        <f t="shared" si="333"/>
        <v>44585.7476179698,437.921</v>
      </c>
      <c r="AZ557" t="str">
        <f t="shared" si="334"/>
        <v>44585.7476179698,441.468</v>
      </c>
      <c r="BA557" t="str">
        <f t="shared" si="335"/>
        <v>44585.7476179698,442.171</v>
      </c>
      <c r="BB557" t="str">
        <f t="shared" si="336"/>
        <v>-text 44584.7476179698,337 3.5 90 437.921 </v>
      </c>
      <c r="BC557" t="str">
        <f t="shared" si="337"/>
        <v>-text 44584.7476179698,320 3.5 90 442.171 </v>
      </c>
      <c r="BD557" t="str">
        <f t="shared" si="338"/>
        <v>-text 44584.7476179698,306 3.5 90 441.468 </v>
      </c>
      <c r="BE557" t="str">
        <f t="shared" si="339"/>
        <v>-text 44584.7476179698,352 3.5 90 ZG89+171.495 </v>
      </c>
      <c r="BF557" t="str">
        <f t="shared" si="340"/>
        <v>-text 44584.7476179698,280 3.5 90 IP305 </v>
      </c>
      <c r="BG557" t="str">
        <f t="shared" si="341"/>
        <v>-TEXT 44586.7476179698,300 3.5 0 R=60</v>
      </c>
      <c r="BH557" t="str">
        <f t="shared" si="342"/>
        <v>-TEXT 44586.7476179698,295 3.5 0 α=19.56° </v>
      </c>
      <c r="BI557" t="str">
        <f t="shared" si="343"/>
        <v>-TEXT 44586.7476179698,290 3.5 0 T=10.34 </v>
      </c>
      <c r="BJ557" t="str">
        <f t="shared" si="344"/>
        <v>-TEXT 44586.7476179698,285 3.5 0 S=20.48 </v>
      </c>
    </row>
    <row r="558" spans="1:62">
      <c r="A558">
        <v>2</v>
      </c>
      <c r="B558">
        <v>557</v>
      </c>
      <c r="C558" t="str">
        <f>Sheet1!C506</f>
        <v>梁家湾渡槽出</v>
      </c>
      <c r="D558">
        <v>494471.1752</v>
      </c>
      <c r="E558">
        <v>3350891.5293</v>
      </c>
      <c r="G558">
        <f t="shared" si="317"/>
        <v>0</v>
      </c>
      <c r="H558">
        <f t="shared" si="318"/>
        <v>0</v>
      </c>
      <c r="I558">
        <f t="shared" si="319"/>
        <v>0</v>
      </c>
      <c r="J558">
        <f t="shared" si="320"/>
        <v>413.726303031645</v>
      </c>
      <c r="K558" s="40">
        <f t="shared" si="321"/>
        <v>89585.1209456481</v>
      </c>
      <c r="L558" s="40">
        <f t="shared" si="322"/>
        <v>89585.1209456481</v>
      </c>
      <c r="M558" s="40">
        <f t="shared" si="323"/>
        <v>89585.1209456481</v>
      </c>
      <c r="N558">
        <v>441.349</v>
      </c>
      <c r="O558">
        <v>437.802</v>
      </c>
      <c r="P558">
        <v>0</v>
      </c>
      <c r="Q558" s="39">
        <f t="shared" si="324"/>
        <v>494471.1752</v>
      </c>
      <c r="R558" s="39">
        <f t="shared" si="325"/>
        <v>3350891.5293</v>
      </c>
      <c r="S558" s="39" t="str">
        <f t="shared" si="326"/>
        <v> </v>
      </c>
      <c r="T558" s="39" t="str">
        <f t="shared" si="327"/>
        <v> </v>
      </c>
      <c r="U558" s="39" t="str">
        <f t="shared" si="328"/>
        <v> </v>
      </c>
      <c r="V558" s="39" t="str">
        <f t="shared" si="329"/>
        <v> </v>
      </c>
      <c r="AI558" t="str">
        <f t="array" ref="AI558">IFERROR(INDEX($L$2:$L$789,SMALL(IF(ISNUMBER(FIND($AH$2,$C$2:$C$789)),ROW($2:$789)-1,4^8),ROW(A557)))&amp;"","")</f>
        <v/>
      </c>
      <c r="AT558" t="str">
        <f t="shared" si="331"/>
        <v>494471.1752,3350891.5293</v>
      </c>
      <c r="AV558">
        <f t="shared" si="316"/>
        <v>442.052</v>
      </c>
      <c r="AX558" t="str">
        <f t="shared" si="332"/>
        <v>pl 44792.5604728241,279 44792.5604728241,400 </v>
      </c>
      <c r="AY558" t="str">
        <f t="shared" si="333"/>
        <v>44792.5604728241,437.802</v>
      </c>
      <c r="AZ558" t="str">
        <f t="shared" si="334"/>
        <v>44792.5604728241,441.349</v>
      </c>
      <c r="BA558" t="str">
        <f t="shared" si="335"/>
        <v>44792.5604728241,442.052</v>
      </c>
      <c r="BB558" t="str">
        <f t="shared" si="336"/>
        <v>-text 44791.5604728241,337 3.5 90 437.802 </v>
      </c>
      <c r="BC558" t="str">
        <f t="shared" si="337"/>
        <v>-text 44791.5604728241,320 3.5 90 442.052 </v>
      </c>
      <c r="BD558" t="str">
        <f t="shared" si="338"/>
        <v>-text 44791.5604728241,306 3.5 90 441.349 </v>
      </c>
      <c r="BE558" t="str">
        <f t="shared" si="339"/>
        <v>-text 44791.5604728241,352 3.5 90 ZG89+585.121 </v>
      </c>
      <c r="BF558" t="str">
        <f t="shared" si="340"/>
        <v>-text 44791.5604728241,280 3.5 90 梁家湾渡槽出 </v>
      </c>
      <c r="BG558" t="str">
        <f t="shared" si="341"/>
        <v/>
      </c>
      <c r="BH558" t="str">
        <f t="shared" si="342"/>
        <v> </v>
      </c>
      <c r="BI558" t="str">
        <f t="shared" si="343"/>
        <v> </v>
      </c>
      <c r="BJ558" t="str">
        <f t="shared" si="344"/>
        <v> </v>
      </c>
    </row>
    <row r="559" spans="1:62">
      <c r="A559">
        <v>0</v>
      </c>
      <c r="B559">
        <v>558</v>
      </c>
      <c r="C559" t="s">
        <v>527</v>
      </c>
      <c r="D559">
        <v>494538.5896</v>
      </c>
      <c r="E559">
        <v>3350828.6062</v>
      </c>
      <c r="F559">
        <v>60</v>
      </c>
      <c r="G559">
        <f t="shared" si="317"/>
        <v>7.167</v>
      </c>
      <c r="H559">
        <f t="shared" si="318"/>
        <v>3.75753319569418</v>
      </c>
      <c r="I559">
        <f t="shared" si="319"/>
        <v>7.50526484942602</v>
      </c>
      <c r="J559">
        <f t="shared" si="320"/>
        <v>92.2172318007991</v>
      </c>
      <c r="K559" s="40">
        <f t="shared" si="321"/>
        <v>89673.5806442532</v>
      </c>
      <c r="L559" s="40">
        <f t="shared" si="322"/>
        <v>89677.3332766779</v>
      </c>
      <c r="M559" s="40">
        <f t="shared" si="323"/>
        <v>89681.0859091027</v>
      </c>
      <c r="N559">
        <v>441.355</v>
      </c>
      <c r="O559">
        <v>437.44</v>
      </c>
      <c r="P559">
        <v>0</v>
      </c>
      <c r="Q559" s="39">
        <f t="shared" si="324"/>
        <v>494535.842696402</v>
      </c>
      <c r="R559" s="39">
        <f t="shared" si="325"/>
        <v>3350831.17009866</v>
      </c>
      <c r="S559" s="39">
        <f t="shared" si="326"/>
        <v>494538.504176332</v>
      </c>
      <c r="T559" s="39">
        <f t="shared" si="327"/>
        <v>3350828.52544749</v>
      </c>
      <c r="U559" s="39">
        <f t="shared" si="328"/>
        <v>494540.995142974</v>
      </c>
      <c r="V559" s="39">
        <f t="shared" si="329"/>
        <v>3350825.71960707</v>
      </c>
      <c r="AI559" t="str">
        <f t="array" ref="AI559">IFERROR(INDEX($L$2:$L$789,SMALL(IF(ISNUMBER(FIND($AH$2,$C$2:$C$789)),ROW($2:$789)-1,4^8),ROW(A558)))&amp;"","")</f>
        <v/>
      </c>
      <c r="AS559" t="str">
        <f>"-text"&amp;" "&amp;D559&amp;","&amp;E559&amp;" "&amp;"10"&amp;" "&amp;"0"&amp;" "&amp;C559</f>
        <v>-text 494538.5896,3350828.6062 10 0 IP306</v>
      </c>
      <c r="AT559" t="str">
        <f t="shared" si="331"/>
        <v>494538.5896,3350828.6062</v>
      </c>
      <c r="AV559">
        <f t="shared" si="316"/>
        <v>442.84</v>
      </c>
      <c r="AX559" t="str">
        <f t="shared" si="332"/>
        <v>pl 44838.666638339,279 44838.666638339,400 </v>
      </c>
      <c r="AY559" t="str">
        <f t="shared" si="333"/>
        <v>44838.666638339,437.44</v>
      </c>
      <c r="AZ559" t="str">
        <f t="shared" si="334"/>
        <v>44838.666638339,441.355</v>
      </c>
      <c r="BA559" t="str">
        <f t="shared" si="335"/>
        <v>44838.666638339,442.84</v>
      </c>
      <c r="BB559" t="str">
        <f t="shared" si="336"/>
        <v>-text 44837.666638339,337 3.5 90 437.440 </v>
      </c>
      <c r="BC559" t="str">
        <f t="shared" si="337"/>
        <v>-text 44837.666638339,320 3.5 90 442.840 </v>
      </c>
      <c r="BD559" t="str">
        <f t="shared" si="338"/>
        <v>-text 44837.666638339,306 3.5 90 441.355 </v>
      </c>
      <c r="BE559" t="str">
        <f t="shared" si="339"/>
        <v>-text 44837.666638339,352 3.5 90 ZG89+677.333 </v>
      </c>
      <c r="BF559" t="str">
        <f t="shared" si="340"/>
        <v>-text 44837.666638339,280 3.5 90 IP306 </v>
      </c>
      <c r="BG559" t="str">
        <f t="shared" si="341"/>
        <v>-TEXT 44839.666638339,300 3.5 0 R=60</v>
      </c>
      <c r="BH559" t="str">
        <f t="shared" si="342"/>
        <v>-TEXT 44839.666638339,295 3.5 0 α=7.17° </v>
      </c>
      <c r="BI559" t="str">
        <f t="shared" si="343"/>
        <v>-TEXT 44839.666638339,290 3.5 0 T=3.76 </v>
      </c>
      <c r="BJ559" t="str">
        <f t="shared" si="344"/>
        <v>-TEXT 44839.666638339,285 3.5 0 S=7.51 </v>
      </c>
    </row>
    <row r="560" spans="1:62">
      <c r="A560">
        <v>0</v>
      </c>
      <c r="B560">
        <v>559</v>
      </c>
      <c r="C560" t="s">
        <v>528</v>
      </c>
      <c r="D560">
        <v>494610.7844</v>
      </c>
      <c r="E560">
        <v>3350741.9742</v>
      </c>
      <c r="F560">
        <v>60</v>
      </c>
      <c r="G560">
        <f t="shared" si="317"/>
        <v>40.956</v>
      </c>
      <c r="H560">
        <f t="shared" si="318"/>
        <v>22.406825666164</v>
      </c>
      <c r="I560">
        <f t="shared" si="319"/>
        <v>42.8890229068079</v>
      </c>
      <c r="J560">
        <f t="shared" si="320"/>
        <v>112.770530596412</v>
      </c>
      <c r="K560" s="40">
        <f t="shared" si="321"/>
        <v>89767.6920808372</v>
      </c>
      <c r="L560" s="40">
        <f t="shared" si="322"/>
        <v>89789.1365922906</v>
      </c>
      <c r="M560" s="40">
        <f t="shared" si="323"/>
        <v>89810.581103744</v>
      </c>
      <c r="N560">
        <v>442.355</v>
      </c>
      <c r="O560">
        <v>438.44</v>
      </c>
      <c r="P560">
        <v>1</v>
      </c>
      <c r="Q560" s="39">
        <f t="shared" si="324"/>
        <v>494596.439727779</v>
      </c>
      <c r="R560" s="39">
        <f t="shared" si="325"/>
        <v>3350759.18745696</v>
      </c>
      <c r="S560" s="39">
        <f t="shared" si="326"/>
        <v>494614.440872777</v>
      </c>
      <c r="T560" s="39">
        <f t="shared" si="327"/>
        <v>3350745.22089458</v>
      </c>
      <c r="U560" s="39">
        <f>IF(G560=0," ",D560+(D562-D560)/J562*H560)</f>
        <v>494639.292833364</v>
      </c>
      <c r="V560" s="39">
        <f>IF(G560=0," ",E560+(E562-E560)/J562*H560)</f>
        <v>3350737.33738194</v>
      </c>
      <c r="AI560" t="str">
        <f t="array" ref="AI560">IFERROR(INDEX($L$2:$L$789,SMALL(IF(ISNUMBER(FIND($AH$2,$C$2:$C$789)),ROW($2:$789)-1,4^8),ROW(A559)))&amp;"","")</f>
        <v/>
      </c>
      <c r="AS560" t="str">
        <f>"-text"&amp;" "&amp;D560&amp;","&amp;E560&amp;" "&amp;"10"&amp;" "&amp;"0"&amp;" "&amp;C560</f>
        <v>-text 494610.7844,3350741.9742 10 0 IP307</v>
      </c>
      <c r="AT560" t="str">
        <f t="shared" si="331"/>
        <v>494610.7844,3350741.9742</v>
      </c>
      <c r="AV560">
        <f t="shared" si="316"/>
        <v>443.84</v>
      </c>
      <c r="AX560" t="str">
        <f t="shared" si="332"/>
        <v>pl 44894.5682961453,279 44894.5682961453,400 </v>
      </c>
      <c r="AY560" t="str">
        <f t="shared" si="333"/>
        <v>44894.5682961453,438.44</v>
      </c>
      <c r="AZ560" t="str">
        <f t="shared" si="334"/>
        <v>44894.5682961453,442.355</v>
      </c>
      <c r="BA560" t="str">
        <f t="shared" si="335"/>
        <v>44894.5682961453,443.84</v>
      </c>
      <c r="BB560" t="str">
        <f t="shared" si="336"/>
        <v>-text 44893.5682961453,337 3.5 90 438.440 </v>
      </c>
      <c r="BC560" t="str">
        <f t="shared" si="337"/>
        <v>-text 44893.5682961453,320 3.5 90 443.840 </v>
      </c>
      <c r="BD560" t="str">
        <f t="shared" si="338"/>
        <v>-text 44893.5682961453,306 3.5 90 442.355 </v>
      </c>
      <c r="BE560" t="str">
        <f t="shared" si="339"/>
        <v>-text 44893.5682961453,352 3.5 90 ZG89+789.137 </v>
      </c>
      <c r="BF560" t="str">
        <f t="shared" si="340"/>
        <v>-text 44893.5682961453,280 3.5 90 IP307 </v>
      </c>
      <c r="BG560" t="str">
        <f t="shared" si="341"/>
        <v>-TEXT 44895.5682961453,300 3.5 0 R=60</v>
      </c>
      <c r="BH560" t="str">
        <f t="shared" si="342"/>
        <v>-TEXT 44895.5682961453,295 3.5 0 α=40.96° </v>
      </c>
      <c r="BI560" t="str">
        <f t="shared" si="343"/>
        <v>-TEXT 44895.5682961453,290 3.5 0 T=22.41 </v>
      </c>
      <c r="BJ560" t="str">
        <f t="shared" si="344"/>
        <v>-TEXT 44895.5682961453,285 3.5 0 S=42.89 </v>
      </c>
    </row>
    <row r="561" s="37" customFormat="1" spans="1:62">
      <c r="A561" s="37">
        <v>0</v>
      </c>
      <c r="B561" s="37">
        <v>560</v>
      </c>
      <c r="C561" s="37" t="s">
        <v>864</v>
      </c>
      <c r="D561" s="37">
        <v>494647.2425</v>
      </c>
      <c r="E561" s="37">
        <v>3350736.0444</v>
      </c>
      <c r="G561" s="37">
        <f t="shared" si="317"/>
        <v>0</v>
      </c>
      <c r="H561" s="37">
        <f t="shared" si="318"/>
        <v>0</v>
      </c>
      <c r="I561" s="37">
        <f t="shared" si="319"/>
        <v>0</v>
      </c>
      <c r="J561" s="37">
        <f t="shared" si="320"/>
        <v>36.9371842950933</v>
      </c>
      <c r="K561" s="52">
        <f t="shared" si="321"/>
        <v>89825.1114623729</v>
      </c>
      <c r="L561" s="52">
        <f t="shared" si="322"/>
        <v>89825.1114623729</v>
      </c>
      <c r="M561" s="52">
        <f t="shared" si="323"/>
        <v>89825.1114623729</v>
      </c>
      <c r="N561" s="37">
        <v>442.355</v>
      </c>
      <c r="O561" s="37">
        <v>438.44</v>
      </c>
      <c r="P561" s="37">
        <v>0</v>
      </c>
      <c r="Q561" s="51">
        <f t="shared" si="324"/>
        <v>494647.2425</v>
      </c>
      <c r="R561" s="51">
        <f t="shared" si="325"/>
        <v>3350736.0444</v>
      </c>
      <c r="S561" s="51"/>
      <c r="T561" s="51"/>
      <c r="U561" s="51"/>
      <c r="V561" s="51"/>
    </row>
    <row r="562" spans="1:62">
      <c r="A562">
        <v>0</v>
      </c>
      <c r="B562">
        <v>561</v>
      </c>
      <c r="C562" t="s">
        <v>529</v>
      </c>
      <c r="D562">
        <v>494773.3823</v>
      </c>
      <c r="E562">
        <v>3350715.5281</v>
      </c>
      <c r="F562">
        <v>60</v>
      </c>
      <c r="G562">
        <f t="shared" si="317"/>
        <v>27.717</v>
      </c>
      <c r="H562">
        <f t="shared" si="318"/>
        <v>14.8023868182852</v>
      </c>
      <c r="I562">
        <f t="shared" si="319"/>
        <v>29.0251745265161</v>
      </c>
      <c r="J562">
        <f t="shared" si="320"/>
        <v>127.79736972928</v>
      </c>
      <c r="K562" s="40">
        <f t="shared" si="321"/>
        <v>89938.1064452839</v>
      </c>
      <c r="L562" s="40">
        <f t="shared" si="322"/>
        <v>89952.6190325472</v>
      </c>
      <c r="M562" s="40">
        <f t="shared" si="323"/>
        <v>89967.1316198104</v>
      </c>
      <c r="N562">
        <v>442.355</v>
      </c>
      <c r="O562">
        <v>438.44</v>
      </c>
      <c r="P562">
        <v>3</v>
      </c>
      <c r="Q562" s="39">
        <f t="shared" si="324"/>
        <v>494758.771904522</v>
      </c>
      <c r="R562" s="39">
        <f t="shared" si="325"/>
        <v>3350717.90444162</v>
      </c>
      <c r="S562" s="39">
        <f t="shared" ref="S562:S576" si="346">IF(G562=0," ",(Q562+U562)/2+(D562-(Q562+U562)/2)/(H562*SIN(G562/360*PI()))*(F562-F562*COS(G562/360*PI())))</f>
        <v>494772.676595923</v>
      </c>
      <c r="T562" s="39">
        <f t="shared" ref="T562:T576" si="347">IF(G562=0," ",(R562+V562)/2+(E562-(R562+V562)/2)/(H562*SIN(G562/360*PI()))*(F562-F562*COS(G562/360*PI())))</f>
        <v>3350713.87333447</v>
      </c>
      <c r="U562" s="39">
        <f t="shared" ref="U562:U576" si="348">IF(G562=0," ",D562+(D563-D562)/J563*H562)</f>
        <v>494785.210964942</v>
      </c>
      <c r="V562" s="39">
        <f t="shared" ref="V562:V576" si="349">IF(G562=0," ",E562+(E563-E562)/J563*H562)</f>
        <v>3350706.62903594</v>
      </c>
      <c r="AI562" t="str">
        <f t="array" ref="AI562">IFERROR(INDEX($L$2:$L$789,SMALL(IF(ISNUMBER(FIND($AH$2,$C$2:$C$789)),ROW($2:$789)-1,4^8),ROW(A560)))&amp;"","")</f>
        <v/>
      </c>
      <c r="AS562" t="str">
        <f>"-text"&amp;" "&amp;D562&amp;","&amp;E562&amp;" "&amp;"10"&amp;" "&amp;"0"&amp;" "&amp;C562</f>
        <v>-text 494773.3823,3350715.5281 10 0 IP308</v>
      </c>
      <c r="AT562" t="str">
        <f t="shared" ref="AT562:AT579" si="350">D562&amp;","&amp;E562</f>
        <v>494773.3823,3350715.5281</v>
      </c>
      <c r="AV562">
        <f t="shared" ref="AV562:AV567" si="351">IF(A562=0,O562+5.4,IF(A562=1,O562+5.1,O562+4.25))</f>
        <v>443.84</v>
      </c>
      <c r="AX562" t="str">
        <f t="shared" ref="AX562:AX579" si="352">"pl "&amp;L562/2&amp;",279 "&amp;L562/2&amp;",400 "</f>
        <v>pl 44976.3095162736,279 44976.3095162736,400 </v>
      </c>
      <c r="AY562" t="str">
        <f t="shared" ref="AY562:AY579" si="353">L562/2&amp;","&amp;O562</f>
        <v>44976.3095162736,438.44</v>
      </c>
      <c r="AZ562" t="str">
        <f t="shared" ref="AZ562:AZ579" si="354">L562/2&amp;","&amp;N562</f>
        <v>44976.3095162736,442.355</v>
      </c>
      <c r="BA562" t="str">
        <f t="shared" ref="BA562:BA579" si="355">L562/2&amp;","&amp;AV562</f>
        <v>44976.3095162736,443.84</v>
      </c>
      <c r="BB562" t="str">
        <f t="shared" ref="BB562:BB579" si="356">"-text "&amp;L562/2-1&amp;",337 3.5 90 "&amp;FIXED(O562,3)&amp;" "</f>
        <v>-text 44975.3095162736,337 3.5 90 438.440 </v>
      </c>
      <c r="BC562" t="str">
        <f t="shared" ref="BC562:BC579" si="357">"-text "&amp;L562/2-1&amp;",320 3.5 90 "&amp;FIXED(AV562,3)&amp;" "</f>
        <v>-text 44975.3095162736,320 3.5 90 443.840 </v>
      </c>
      <c r="BD562" t="str">
        <f t="shared" ref="BD562:BD579" si="358">"-text "&amp;L562/2-1&amp;",306 3.5 90 "&amp;FIXED(N562,3)&amp;" "</f>
        <v>-text 44975.3095162736,306 3.5 90 442.355 </v>
      </c>
      <c r="BE562" t="str">
        <f t="shared" ref="BE562:BE579" si="359">"-text "&amp;L562/2-1&amp;",352 3.5 90 "&amp;"ZG"&amp;TEXT(L562,"0+000.000")&amp;" "</f>
        <v>-text 44975.3095162736,352 3.5 90 ZG89+952.619 </v>
      </c>
      <c r="BF562" t="str">
        <f t="shared" ref="BF562:BF579" si="360">"-text "&amp;L562/2-1&amp;",280 3.5 90 "&amp;C562&amp;" "</f>
        <v>-text 44975.3095162736,280 3.5 90 IP308 </v>
      </c>
      <c r="BG562" t="str">
        <f t="shared" ref="BG562:BG579" si="361">IF(G562&lt;0.01,"",("-TEXT "&amp;L562/2+1&amp;",300 3.5 0 "&amp;"R="&amp;FIXED(F562,0)))</f>
        <v>-TEXT 44977.3095162736,300 3.5 0 R=60</v>
      </c>
      <c r="BH562" t="str">
        <f t="shared" ref="BH562:BH579" si="362">IF(G562&lt;0.01," ",("-TEXT "&amp;L562/2+1&amp;",295 3.5 0 "&amp;"α="&amp;FIXED(G562,2)&amp;"° "))</f>
        <v>-TEXT 44977.3095162736,295 3.5 0 α=27.72° </v>
      </c>
      <c r="BI562" t="str">
        <f t="shared" ref="BI562:BI579" si="363">IF(G562&lt;0.01," ",("-TEXT "&amp;L562/2+1&amp;",290 3.5 0 "&amp;"T="&amp;FIXED(H562,2)&amp;" "))</f>
        <v>-TEXT 44977.3095162736,290 3.5 0 T=14.80 </v>
      </c>
      <c r="BJ562" t="str">
        <f t="shared" ref="BJ562:BJ579" si="364">IF(G562&lt;0.01," ",("-TEXT "&amp;L562/2+1&amp;",285 3.5 0 "&amp;"S="&amp;FIXED(I562,2)&amp;" "))</f>
        <v>-TEXT 44977.3095162736,285 3.5 0 S=29.03 </v>
      </c>
    </row>
    <row r="563" spans="1:62">
      <c r="A563">
        <v>2</v>
      </c>
      <c r="B563">
        <v>562</v>
      </c>
      <c r="C563" t="str">
        <f>Sheet1!C510</f>
        <v>谭家沟渡槽进</v>
      </c>
      <c r="D563">
        <v>494808.3765</v>
      </c>
      <c r="E563">
        <v>3350689.2009</v>
      </c>
      <c r="G563">
        <f t="shared" si="317"/>
        <v>0</v>
      </c>
      <c r="H563">
        <f t="shared" si="318"/>
        <v>0</v>
      </c>
      <c r="I563">
        <f t="shared" si="319"/>
        <v>0</v>
      </c>
      <c r="J563">
        <f t="shared" si="320"/>
        <v>43.7917285967369</v>
      </c>
      <c r="K563" s="40">
        <f t="shared" si="321"/>
        <v>89996.1209615889</v>
      </c>
      <c r="L563" s="40">
        <f t="shared" si="322"/>
        <v>89996.1209615889</v>
      </c>
      <c r="M563" s="40">
        <f t="shared" si="323"/>
        <v>89996.1209615889</v>
      </c>
      <c r="N563">
        <v>441.25</v>
      </c>
      <c r="O563">
        <v>437.703</v>
      </c>
      <c r="P563">
        <v>0</v>
      </c>
      <c r="Q563" s="39">
        <f t="shared" si="324"/>
        <v>494808.3765</v>
      </c>
      <c r="R563" s="39">
        <f t="shared" si="325"/>
        <v>3350689.2009</v>
      </c>
      <c r="S563" s="39" t="str">
        <f t="shared" si="346"/>
        <v> </v>
      </c>
      <c r="T563" s="39" t="str">
        <f t="shared" si="347"/>
        <v> </v>
      </c>
      <c r="U563" s="39" t="str">
        <f t="shared" si="348"/>
        <v> </v>
      </c>
      <c r="V563" s="39" t="str">
        <f t="shared" si="349"/>
        <v> </v>
      </c>
      <c r="AI563" t="str">
        <f t="array" ref="AI563">IFERROR(INDEX($L$2:$L$789,SMALL(IF(ISNUMBER(FIND($AH$2,$C$2:$C$789)),ROW($2:$789)-1,4^8),ROW(A562)))&amp;"","")</f>
        <v/>
      </c>
      <c r="AT563" t="str">
        <f t="shared" si="350"/>
        <v>494808.3765,3350689.2009</v>
      </c>
      <c r="AV563">
        <f t="shared" si="351"/>
        <v>441.953</v>
      </c>
      <c r="AX563" t="str">
        <f t="shared" si="352"/>
        <v>pl 44998.0604807945,279 44998.0604807945,400 </v>
      </c>
      <c r="AY563" t="str">
        <f t="shared" si="353"/>
        <v>44998.0604807945,437.703</v>
      </c>
      <c r="AZ563" t="str">
        <f t="shared" si="354"/>
        <v>44998.0604807945,441.25</v>
      </c>
      <c r="BA563" t="str">
        <f t="shared" si="355"/>
        <v>44998.0604807945,441.953</v>
      </c>
      <c r="BB563" t="str">
        <f t="shared" si="356"/>
        <v>-text 44997.0604807945,337 3.5 90 437.703 </v>
      </c>
      <c r="BC563" t="str">
        <f t="shared" si="357"/>
        <v>-text 44997.0604807945,320 3.5 90 441.953 </v>
      </c>
      <c r="BD563" t="str">
        <f t="shared" si="358"/>
        <v>-text 44997.0604807945,306 3.5 90 441.250 </v>
      </c>
      <c r="BE563" t="str">
        <f t="shared" si="359"/>
        <v>-text 44997.0604807945,352 3.5 90 ZG89+996.121 </v>
      </c>
      <c r="BF563" t="str">
        <f t="shared" si="360"/>
        <v>-text 44997.0604807945,280 3.5 90 谭家沟渡槽进 </v>
      </c>
      <c r="BG563" t="str">
        <f t="shared" si="361"/>
        <v/>
      </c>
      <c r="BH563" t="str">
        <f t="shared" si="362"/>
        <v> </v>
      </c>
      <c r="BI563" t="str">
        <f t="shared" si="363"/>
        <v> </v>
      </c>
      <c r="BJ563" t="str">
        <f t="shared" si="364"/>
        <v> </v>
      </c>
    </row>
    <row r="564" spans="1:62">
      <c r="A564">
        <v>2</v>
      </c>
      <c r="B564">
        <v>563</v>
      </c>
      <c r="C564" t="str">
        <f>Sheet1!C511</f>
        <v>谭家沟渡槽出</v>
      </c>
      <c r="D564">
        <v>495016.943</v>
      </c>
      <c r="E564">
        <v>3350532.2901</v>
      </c>
      <c r="G564">
        <f t="shared" si="317"/>
        <v>0</v>
      </c>
      <c r="H564">
        <f t="shared" si="318"/>
        <v>0</v>
      </c>
      <c r="I564">
        <f t="shared" si="319"/>
        <v>0</v>
      </c>
      <c r="J564">
        <f t="shared" si="320"/>
        <v>260.999969499912</v>
      </c>
      <c r="K564" s="40">
        <f t="shared" si="321"/>
        <v>90257.1209310888</v>
      </c>
      <c r="L564" s="40">
        <f t="shared" si="322"/>
        <v>90257.1209310888</v>
      </c>
      <c r="M564" s="40">
        <f t="shared" si="323"/>
        <v>90257.1209310888</v>
      </c>
      <c r="N564">
        <v>441.175</v>
      </c>
      <c r="O564">
        <v>437.628</v>
      </c>
      <c r="P564">
        <v>0</v>
      </c>
      <c r="Q564" s="39">
        <f t="shared" si="324"/>
        <v>495016.943</v>
      </c>
      <c r="R564" s="39">
        <f t="shared" si="325"/>
        <v>3350532.2901</v>
      </c>
      <c r="S564" s="39" t="str">
        <f t="shared" si="346"/>
        <v> </v>
      </c>
      <c r="T564" s="39" t="str">
        <f t="shared" si="347"/>
        <v> </v>
      </c>
      <c r="U564" s="39" t="str">
        <f t="shared" si="348"/>
        <v> </v>
      </c>
      <c r="V564" s="39" t="str">
        <f t="shared" si="349"/>
        <v> </v>
      </c>
      <c r="AI564" t="str">
        <f t="array" ref="AI564">IFERROR(INDEX($L$2:$L$789,SMALL(IF(ISNUMBER(FIND($AH$2,$C$2:$C$789)),ROW($2:$789)-1,4^8),ROW(A563)))&amp;"","")</f>
        <v/>
      </c>
      <c r="AT564" t="str">
        <f t="shared" si="350"/>
        <v>495016.943,3350532.2901</v>
      </c>
      <c r="AV564">
        <f t="shared" si="351"/>
        <v>441.878</v>
      </c>
      <c r="AX564" t="str">
        <f t="shared" si="352"/>
        <v>pl 45128.5604655444,279 45128.5604655444,400 </v>
      </c>
      <c r="AY564" t="str">
        <f t="shared" si="353"/>
        <v>45128.5604655444,437.628</v>
      </c>
      <c r="AZ564" t="str">
        <f t="shared" si="354"/>
        <v>45128.5604655444,441.175</v>
      </c>
      <c r="BA564" t="str">
        <f t="shared" si="355"/>
        <v>45128.5604655444,441.878</v>
      </c>
      <c r="BB564" t="str">
        <f t="shared" si="356"/>
        <v>-text 45127.5604655444,337 3.5 90 437.628 </v>
      </c>
      <c r="BC564" t="str">
        <f t="shared" si="357"/>
        <v>-text 45127.5604655444,320 3.5 90 441.878 </v>
      </c>
      <c r="BD564" t="str">
        <f t="shared" si="358"/>
        <v>-text 45127.5604655444,306 3.5 90 441.175 </v>
      </c>
      <c r="BE564" t="str">
        <f t="shared" si="359"/>
        <v>-text 45127.5604655444,352 3.5 90 ZG90+257.121 </v>
      </c>
      <c r="BF564" t="str">
        <f t="shared" si="360"/>
        <v>-text 45127.5604655444,280 3.5 90 谭家沟渡槽出 </v>
      </c>
      <c r="BG564" t="str">
        <f t="shared" si="361"/>
        <v/>
      </c>
      <c r="BH564" t="str">
        <f t="shared" si="362"/>
        <v> </v>
      </c>
      <c r="BI564" t="str">
        <f t="shared" si="363"/>
        <v> </v>
      </c>
      <c r="BJ564" t="str">
        <f t="shared" si="364"/>
        <v> </v>
      </c>
    </row>
    <row r="565" spans="1:62">
      <c r="A565">
        <v>1</v>
      </c>
      <c r="B565">
        <v>564</v>
      </c>
      <c r="C565" t="str">
        <f>Sheet1!C512</f>
        <v>棕树湾隧进</v>
      </c>
      <c r="D565">
        <v>495048.9072</v>
      </c>
      <c r="E565">
        <v>3350508.2424</v>
      </c>
      <c r="G565">
        <f t="shared" si="317"/>
        <v>0</v>
      </c>
      <c r="H565">
        <f t="shared" si="318"/>
        <v>0</v>
      </c>
      <c r="I565">
        <f t="shared" si="319"/>
        <v>0</v>
      </c>
      <c r="J565">
        <f t="shared" si="320"/>
        <v>40.0000244616049</v>
      </c>
      <c r="K565" s="40">
        <f t="shared" si="321"/>
        <v>90297.1209555504</v>
      </c>
      <c r="L565" s="40">
        <f t="shared" si="322"/>
        <v>90297.1209555504</v>
      </c>
      <c r="M565" s="40">
        <f t="shared" si="323"/>
        <v>90297.1209555504</v>
      </c>
      <c r="N565">
        <v>441.189</v>
      </c>
      <c r="O565">
        <v>437.3</v>
      </c>
      <c r="P565">
        <v>0</v>
      </c>
      <c r="Q565" s="39">
        <f t="shared" si="324"/>
        <v>495048.9072</v>
      </c>
      <c r="R565" s="39">
        <f t="shared" si="325"/>
        <v>3350508.2424</v>
      </c>
      <c r="S565" s="39" t="str">
        <f t="shared" si="346"/>
        <v> </v>
      </c>
      <c r="T565" s="39" t="str">
        <f t="shared" si="347"/>
        <v> </v>
      </c>
      <c r="U565" s="39" t="str">
        <f t="shared" si="348"/>
        <v> </v>
      </c>
      <c r="V565" s="39" t="str">
        <f t="shared" si="349"/>
        <v> </v>
      </c>
      <c r="AI565" t="str">
        <f t="array" ref="AI565">IFERROR(INDEX($L$2:$L$789,SMALL(IF(ISNUMBER(FIND($AH$2,$C$2:$C$789)),ROW($2:$789)-1,4^8),ROW(A564)))&amp;"","")</f>
        <v/>
      </c>
      <c r="AT565" t="str">
        <f t="shared" si="350"/>
        <v>495048.9072,3350508.2424</v>
      </c>
      <c r="AV565">
        <f t="shared" si="351"/>
        <v>442.4</v>
      </c>
      <c r="AX565" t="str">
        <f t="shared" si="352"/>
        <v>pl 45148.5604777752,279 45148.5604777752,400 </v>
      </c>
      <c r="AY565" t="str">
        <f t="shared" si="353"/>
        <v>45148.5604777752,437.3</v>
      </c>
      <c r="AZ565" t="str">
        <f t="shared" si="354"/>
        <v>45148.5604777752,441.189</v>
      </c>
      <c r="BA565" t="str">
        <f t="shared" si="355"/>
        <v>45148.5604777752,442.4</v>
      </c>
      <c r="BB565" t="str">
        <f t="shared" si="356"/>
        <v>-text 45147.5604777752,337 3.5 90 437.300 </v>
      </c>
      <c r="BC565" t="str">
        <f t="shared" si="357"/>
        <v>-text 45147.5604777752,320 3.5 90 442.400 </v>
      </c>
      <c r="BD565" t="str">
        <f t="shared" si="358"/>
        <v>-text 45147.5604777752,306 3.5 90 441.189 </v>
      </c>
      <c r="BE565" t="str">
        <f t="shared" si="359"/>
        <v>-text 45147.5604777752,352 3.5 90 ZG90+297.121 </v>
      </c>
      <c r="BF565" t="str">
        <f t="shared" si="360"/>
        <v>-text 45147.5604777752,280 3.5 90 棕树湾隧进 </v>
      </c>
      <c r="BG565" t="str">
        <f t="shared" si="361"/>
        <v/>
      </c>
      <c r="BH565" t="str">
        <f t="shared" si="362"/>
        <v> </v>
      </c>
      <c r="BI565" t="str">
        <f t="shared" si="363"/>
        <v> </v>
      </c>
      <c r="BJ565" t="str">
        <f t="shared" si="364"/>
        <v> </v>
      </c>
    </row>
    <row r="566" spans="1:62">
      <c r="A566">
        <v>1</v>
      </c>
      <c r="B566">
        <v>565</v>
      </c>
      <c r="C566" t="str">
        <f>Sheet1!C513</f>
        <v>棕树湾隧出</v>
      </c>
      <c r="D566">
        <v>495206.331</v>
      </c>
      <c r="E566">
        <v>3350389.8078</v>
      </c>
      <c r="G566">
        <f t="shared" si="317"/>
        <v>0</v>
      </c>
      <c r="H566">
        <f t="shared" si="318"/>
        <v>0</v>
      </c>
      <c r="I566">
        <f t="shared" si="319"/>
        <v>0</v>
      </c>
      <c r="J566">
        <f t="shared" si="320"/>
        <v>197.000018486167</v>
      </c>
      <c r="K566" s="40">
        <f t="shared" si="321"/>
        <v>90494.1209740366</v>
      </c>
      <c r="L566" s="40">
        <f t="shared" si="322"/>
        <v>90494.1209740366</v>
      </c>
      <c r="M566" s="40">
        <f t="shared" si="323"/>
        <v>90494.1209740366</v>
      </c>
      <c r="N566">
        <v>441.153</v>
      </c>
      <c r="O566">
        <v>437.264</v>
      </c>
      <c r="P566">
        <v>0</v>
      </c>
      <c r="Q566" s="39">
        <f t="shared" si="324"/>
        <v>495206.331</v>
      </c>
      <c r="R566" s="39">
        <f t="shared" si="325"/>
        <v>3350389.8078</v>
      </c>
      <c r="S566" s="39" t="str">
        <f t="shared" si="346"/>
        <v> </v>
      </c>
      <c r="T566" s="39" t="str">
        <f t="shared" si="347"/>
        <v> </v>
      </c>
      <c r="U566" s="39" t="str">
        <f t="shared" si="348"/>
        <v> </v>
      </c>
      <c r="V566" s="39" t="str">
        <f t="shared" si="349"/>
        <v> </v>
      </c>
      <c r="AI566" t="str">
        <f t="array" ref="AI566">IFERROR(INDEX($L$2:$L$789,SMALL(IF(ISNUMBER(FIND($AH$2,$C$2:$C$789)),ROW($2:$789)-1,4^8),ROW(A565)))&amp;"","")</f>
        <v/>
      </c>
      <c r="AT566" t="str">
        <f t="shared" si="350"/>
        <v>495206.331,3350389.8078</v>
      </c>
      <c r="AV566">
        <f t="shared" si="351"/>
        <v>442.364</v>
      </c>
      <c r="AX566" t="str">
        <f t="shared" si="352"/>
        <v>pl 45247.0604870183,279 45247.0604870183,400 </v>
      </c>
      <c r="AY566" t="str">
        <f t="shared" si="353"/>
        <v>45247.0604870183,437.264</v>
      </c>
      <c r="AZ566" t="str">
        <f t="shared" si="354"/>
        <v>45247.0604870183,441.153</v>
      </c>
      <c r="BA566" t="str">
        <f t="shared" si="355"/>
        <v>45247.0604870183,442.364</v>
      </c>
      <c r="BB566" t="str">
        <f t="shared" si="356"/>
        <v>-text 45246.0604870183,337 3.5 90 437.264 </v>
      </c>
      <c r="BC566" t="str">
        <f t="shared" si="357"/>
        <v>-text 45246.0604870183,320 3.5 90 442.364 </v>
      </c>
      <c r="BD566" t="str">
        <f t="shared" si="358"/>
        <v>-text 45246.0604870183,306 3.5 90 441.153 </v>
      </c>
      <c r="BE566" t="str">
        <f t="shared" si="359"/>
        <v>-text 45246.0604870183,352 3.5 90 ZG90+494.121 </v>
      </c>
      <c r="BF566" t="str">
        <f t="shared" si="360"/>
        <v>-text 45246.0604870183,280 3.5 90 棕树湾隧出 </v>
      </c>
      <c r="BG566" t="str">
        <f t="shared" si="361"/>
        <v/>
      </c>
      <c r="BH566" t="str">
        <f t="shared" si="362"/>
        <v> </v>
      </c>
      <c r="BI566" t="str">
        <f t="shared" si="363"/>
        <v> </v>
      </c>
      <c r="BJ566" t="str">
        <f t="shared" si="364"/>
        <v> </v>
      </c>
    </row>
    <row r="567" spans="1:62">
      <c r="A567">
        <v>0</v>
      </c>
      <c r="B567">
        <v>566</v>
      </c>
      <c r="C567" t="s">
        <v>534</v>
      </c>
      <c r="D567">
        <v>495227.2678</v>
      </c>
      <c r="E567">
        <v>3350374.0564</v>
      </c>
      <c r="F567">
        <v>60</v>
      </c>
      <c r="G567">
        <f t="shared" si="317"/>
        <v>6.197</v>
      </c>
      <c r="H567">
        <f t="shared" si="318"/>
        <v>3.24790844383199</v>
      </c>
      <c r="I567">
        <f t="shared" si="319"/>
        <v>6.48948322476532</v>
      </c>
      <c r="J567">
        <f t="shared" si="320"/>
        <v>26.2003090859065</v>
      </c>
      <c r="K567" s="40">
        <f t="shared" si="321"/>
        <v>90517.0733746787</v>
      </c>
      <c r="L567" s="40">
        <f t="shared" si="322"/>
        <v>90520.3181162911</v>
      </c>
      <c r="M567" s="40">
        <f t="shared" si="323"/>
        <v>90523.5628579035</v>
      </c>
      <c r="N567">
        <v>441.151</v>
      </c>
      <c r="O567">
        <v>437.236</v>
      </c>
      <c r="P567">
        <v>0</v>
      </c>
      <c r="Q567" s="39">
        <f t="shared" si="324"/>
        <v>495224.672379874</v>
      </c>
      <c r="R567" s="39">
        <f t="shared" si="325"/>
        <v>3350376.00901456</v>
      </c>
      <c r="S567" s="39">
        <f t="shared" si="346"/>
        <v>495227.31673665</v>
      </c>
      <c r="T567" s="39">
        <f t="shared" si="347"/>
        <v>3350374.12934377</v>
      </c>
      <c r="U567" s="39">
        <f t="shared" si="348"/>
        <v>495230.058823643</v>
      </c>
      <c r="V567" s="39">
        <f t="shared" si="349"/>
        <v>3350372.39534724</v>
      </c>
      <c r="AI567" t="str">
        <f t="array" ref="AI567">IFERROR(INDEX($L$2:$L$789,SMALL(IF(ISNUMBER(FIND($AH$2,$C$2:$C$789)),ROW($2:$789)-1,4^8),ROW(A566)))&amp;"","")</f>
        <v/>
      </c>
      <c r="AS567" t="str">
        <f>"-text"&amp;" "&amp;D567&amp;","&amp;E567&amp;" "&amp;"10"&amp;" "&amp;"0"&amp;" "&amp;C567</f>
        <v>-text 495227.2678,3350374.0564 10 0 IP309</v>
      </c>
      <c r="AT567" t="str">
        <f t="shared" si="350"/>
        <v>495227.2678,3350374.0564</v>
      </c>
      <c r="AV567">
        <f t="shared" si="351"/>
        <v>442.636</v>
      </c>
      <c r="AX567" t="str">
        <f t="shared" si="352"/>
        <v>pl 45260.1590581455,279 45260.1590581455,400 </v>
      </c>
      <c r="AY567" t="str">
        <f t="shared" si="353"/>
        <v>45260.1590581455,437.236</v>
      </c>
      <c r="AZ567" t="str">
        <f t="shared" si="354"/>
        <v>45260.1590581455,441.151</v>
      </c>
      <c r="BA567" t="str">
        <f t="shared" si="355"/>
        <v>45260.1590581455,442.636</v>
      </c>
      <c r="BB567" t="str">
        <f t="shared" si="356"/>
        <v>-text 45259.1590581455,337 3.5 90 437.236 </v>
      </c>
      <c r="BC567" t="str">
        <f t="shared" si="357"/>
        <v>-text 45259.1590581455,320 3.5 90 442.636 </v>
      </c>
      <c r="BD567" t="str">
        <f t="shared" si="358"/>
        <v>-text 45259.1590581455,306 3.5 90 441.151 </v>
      </c>
      <c r="BE567" t="str">
        <f t="shared" si="359"/>
        <v>-text 45259.1590581455,352 3.5 90 ZG90+520.318 </v>
      </c>
      <c r="BF567" t="str">
        <f t="shared" si="360"/>
        <v>-text 45259.1590581455,280 3.5 90 IP309 </v>
      </c>
      <c r="BG567" t="str">
        <f t="shared" si="361"/>
        <v>-TEXT 45261.1590581455,300 3.5 0 R=60</v>
      </c>
      <c r="BH567" t="str">
        <f t="shared" si="362"/>
        <v>-TEXT 45261.1590581455,295 3.5 0 α=6.20° </v>
      </c>
      <c r="BI567" t="str">
        <f t="shared" si="363"/>
        <v>-TEXT 45261.1590581455,290 3.5 0 T=3.25 </v>
      </c>
      <c r="BJ567" t="str">
        <f t="shared" si="364"/>
        <v>-TEXT 45261.1590581455,285 3.5 0 S=6.49 </v>
      </c>
    </row>
    <row r="568" spans="1:62">
      <c r="A568">
        <v>0</v>
      </c>
      <c r="B568">
        <v>567</v>
      </c>
      <c r="C568" t="s">
        <v>535</v>
      </c>
      <c r="D568">
        <v>495312.3604</v>
      </c>
      <c r="E568">
        <v>3350323.4143</v>
      </c>
      <c r="F568">
        <v>40</v>
      </c>
      <c r="G568">
        <f t="shared" si="317"/>
        <v>53.176</v>
      </c>
      <c r="H568">
        <f t="shared" si="318"/>
        <v>20.0200306385045</v>
      </c>
      <c r="I568">
        <f t="shared" si="319"/>
        <v>37.1238513216202</v>
      </c>
      <c r="J568">
        <f t="shared" si="320"/>
        <v>99.0220827250405</v>
      </c>
      <c r="K568" s="40">
        <f t="shared" si="321"/>
        <v>90599.3170015461</v>
      </c>
      <c r="L568" s="40">
        <f t="shared" si="322"/>
        <v>90617.8789272069</v>
      </c>
      <c r="M568" s="40">
        <f t="shared" si="323"/>
        <v>90636.4408528678</v>
      </c>
      <c r="N568">
        <v>441.132</v>
      </c>
      <c r="O568">
        <v>437.217</v>
      </c>
      <c r="P568">
        <v>0.002</v>
      </c>
      <c r="Q568" s="39">
        <f t="shared" si="324"/>
        <v>495295.156596442</v>
      </c>
      <c r="R568" s="39">
        <f t="shared" si="325"/>
        <v>3350333.65298985</v>
      </c>
      <c r="S568" s="39">
        <f t="shared" si="346"/>
        <v>495308.37771497</v>
      </c>
      <c r="T568" s="39">
        <f t="shared" si="347"/>
        <v>3350320.86203011</v>
      </c>
      <c r="U568" s="39">
        <f t="shared" si="348"/>
        <v>495314.475817288</v>
      </c>
      <c r="V568" s="39">
        <f t="shared" si="349"/>
        <v>3350303.5063459</v>
      </c>
      <c r="AI568" t="str">
        <f t="array" ref="AI568">IFERROR(INDEX($L$2:$L$789,SMALL(IF(ISNUMBER(FIND($AH$2,$C$2:$C$789)),ROW($2:$789)-1,4^8),ROW(A567)))&amp;"","")</f>
        <v/>
      </c>
      <c r="AS568" t="str">
        <f>"-text"&amp;" "&amp;D568&amp;","&amp;E568&amp;" "&amp;"10"&amp;" "&amp;"0"&amp;" "&amp;C568</f>
        <v>-text 495312.3604,3350323.4143 10 0 IP310</v>
      </c>
      <c r="AT568" t="str">
        <f t="shared" si="350"/>
        <v>495312.3604,3350323.4143</v>
      </c>
      <c r="AV568">
        <f t="shared" ref="AV568:AV604" si="365">IF(A568=0,O568+5.4,IF(A568=1,O568+5.1,O568+4.25))</f>
        <v>442.617</v>
      </c>
      <c r="AX568" t="str">
        <f t="shared" si="352"/>
        <v>pl 45308.9394636035,279 45308.9394636035,400 </v>
      </c>
      <c r="AY568" t="str">
        <f t="shared" si="353"/>
        <v>45308.9394636035,437.217</v>
      </c>
      <c r="AZ568" t="str">
        <f t="shared" si="354"/>
        <v>45308.9394636035,441.132</v>
      </c>
      <c r="BA568" t="str">
        <f t="shared" si="355"/>
        <v>45308.9394636035,442.617</v>
      </c>
      <c r="BB568" t="str">
        <f t="shared" si="356"/>
        <v>-text 45307.9394636035,337 3.5 90 437.217 </v>
      </c>
      <c r="BC568" t="str">
        <f t="shared" si="357"/>
        <v>-text 45307.9394636035,320 3.5 90 442.617 </v>
      </c>
      <c r="BD568" t="str">
        <f t="shared" si="358"/>
        <v>-text 45307.9394636035,306 3.5 90 441.132 </v>
      </c>
      <c r="BE568" t="str">
        <f t="shared" si="359"/>
        <v>-text 45307.9394636035,352 3.5 90 ZG90+617.879 </v>
      </c>
      <c r="BF568" t="str">
        <f t="shared" si="360"/>
        <v>-text 45307.9394636035,280 3.5 90 IP310 </v>
      </c>
      <c r="BG568" t="str">
        <f t="shared" si="361"/>
        <v>-TEXT 45309.9394636035,300 3.5 0 R=40</v>
      </c>
      <c r="BH568" t="str">
        <f t="shared" si="362"/>
        <v>-TEXT 45309.9394636035,295 3.5 0 α=53.18° </v>
      </c>
      <c r="BI568" t="str">
        <f t="shared" si="363"/>
        <v>-TEXT 45309.9394636035,290 3.5 0 T=20.02 </v>
      </c>
      <c r="BJ568" t="str">
        <f t="shared" si="364"/>
        <v>-TEXT 45309.9394636035,285 3.5 0 S=37.12 </v>
      </c>
    </row>
    <row r="569" spans="1:62">
      <c r="A569">
        <v>0</v>
      </c>
      <c r="B569">
        <v>568</v>
      </c>
      <c r="C569" t="s">
        <v>536</v>
      </c>
      <c r="D569">
        <v>495330.8146</v>
      </c>
      <c r="E569">
        <v>3350149.7439</v>
      </c>
      <c r="F569">
        <v>60</v>
      </c>
      <c r="G569">
        <f t="shared" si="317"/>
        <v>20.934</v>
      </c>
      <c r="H569">
        <f t="shared" si="318"/>
        <v>11.0846019178029</v>
      </c>
      <c r="I569">
        <f t="shared" si="319"/>
        <v>21.9220335367496</v>
      </c>
      <c r="J569">
        <f t="shared" si="320"/>
        <v>174.648118609102</v>
      </c>
      <c r="K569" s="40">
        <f t="shared" si="321"/>
        <v>90779.9843389205</v>
      </c>
      <c r="L569" s="40">
        <f t="shared" si="322"/>
        <v>90790.9453556889</v>
      </c>
      <c r="M569" s="40">
        <f t="shared" si="323"/>
        <v>90801.9063724573</v>
      </c>
      <c r="N569">
        <v>441.098</v>
      </c>
      <c r="O569">
        <v>437.183</v>
      </c>
      <c r="P569">
        <v>0.001</v>
      </c>
      <c r="Q569" s="39">
        <f t="shared" si="324"/>
        <v>495329.643345123</v>
      </c>
      <c r="R569" s="39">
        <f t="shared" si="325"/>
        <v>3350160.76644788</v>
      </c>
      <c r="S569" s="39">
        <f t="shared" si="346"/>
        <v>495331.787938374</v>
      </c>
      <c r="T569" s="39">
        <f t="shared" si="347"/>
        <v>3350150.03281632</v>
      </c>
      <c r="U569" s="39">
        <f t="shared" si="348"/>
        <v>495335.846815098</v>
      </c>
      <c r="V569" s="39">
        <f t="shared" si="349"/>
        <v>3350139.86740209</v>
      </c>
      <c r="AI569" t="str">
        <f t="array" ref="AI569">IFERROR(INDEX($L$2:$L$789,SMALL(IF(ISNUMBER(FIND($AH$2,$C$2:$C$789)),ROW($2:$789)-1,4^8),ROW(A568)))&amp;"","")</f>
        <v/>
      </c>
      <c r="AS569" t="str">
        <f>"-text"&amp;" "&amp;D569&amp;","&amp;E569&amp;" "&amp;"10"&amp;" "&amp;"0"&amp;" "&amp;C569</f>
        <v>-text 495330.8146,3350149.7439 10 0 IP311</v>
      </c>
      <c r="AT569" t="str">
        <f t="shared" si="350"/>
        <v>495330.8146,3350149.7439</v>
      </c>
      <c r="AV569">
        <f t="shared" si="365"/>
        <v>442.583</v>
      </c>
      <c r="AX569" t="str">
        <f t="shared" si="352"/>
        <v>pl 45395.4726778445,279 45395.4726778445,400 </v>
      </c>
      <c r="AY569" t="str">
        <f t="shared" si="353"/>
        <v>45395.4726778445,437.183</v>
      </c>
      <c r="AZ569" t="str">
        <f t="shared" si="354"/>
        <v>45395.4726778445,441.098</v>
      </c>
      <c r="BA569" t="str">
        <f t="shared" si="355"/>
        <v>45395.4726778445,442.583</v>
      </c>
      <c r="BB569" t="str">
        <f t="shared" si="356"/>
        <v>-text 45394.4726778445,337 3.5 90 437.183 </v>
      </c>
      <c r="BC569" t="str">
        <f t="shared" si="357"/>
        <v>-text 45394.4726778445,320 3.5 90 442.583 </v>
      </c>
      <c r="BD569" t="str">
        <f t="shared" si="358"/>
        <v>-text 45394.4726778445,306 3.5 90 441.098 </v>
      </c>
      <c r="BE569" t="str">
        <f t="shared" si="359"/>
        <v>-text 45394.4726778445,352 3.5 90 ZG90+790.945 </v>
      </c>
      <c r="BF569" t="str">
        <f t="shared" si="360"/>
        <v>-text 45394.4726778445,280 3.5 90 IP311 </v>
      </c>
      <c r="BG569" t="str">
        <f t="shared" si="361"/>
        <v>-TEXT 45396.4726778445,300 3.5 0 R=60</v>
      </c>
      <c r="BH569" t="str">
        <f t="shared" si="362"/>
        <v>-TEXT 45396.4726778445,295 3.5 0 α=20.93° </v>
      </c>
      <c r="BI569" t="str">
        <f t="shared" si="363"/>
        <v>-TEXT 45396.4726778445,290 3.5 0 T=11.08 </v>
      </c>
      <c r="BJ569" t="str">
        <f t="shared" si="364"/>
        <v>-TEXT 45396.4726778445,285 3.5 0 S=21.92 </v>
      </c>
    </row>
    <row r="570" spans="1:62">
      <c r="A570">
        <v>0</v>
      </c>
      <c r="B570">
        <v>569</v>
      </c>
      <c r="C570" t="s">
        <v>537</v>
      </c>
      <c r="D570">
        <v>495387.5813</v>
      </c>
      <c r="E570">
        <v>3350038.3305</v>
      </c>
      <c r="F570">
        <v>60</v>
      </c>
      <c r="G570">
        <f t="shared" si="317"/>
        <v>27.788</v>
      </c>
      <c r="H570">
        <f t="shared" si="318"/>
        <v>14.8418310188006</v>
      </c>
      <c r="I570">
        <f t="shared" si="319"/>
        <v>29.0995255526511</v>
      </c>
      <c r="J570">
        <f t="shared" si="320"/>
        <v>125.041608788617</v>
      </c>
      <c r="K570" s="40">
        <f t="shared" si="321"/>
        <v>90901.0215483093</v>
      </c>
      <c r="L570" s="40">
        <f t="shared" si="322"/>
        <v>90915.5713110856</v>
      </c>
      <c r="M570" s="40">
        <f t="shared" si="323"/>
        <v>90930.1210738619</v>
      </c>
      <c r="N570">
        <v>441.074</v>
      </c>
      <c r="O570">
        <v>437.159</v>
      </c>
      <c r="P570">
        <v>0.001</v>
      </c>
      <c r="Q570" s="39">
        <f t="shared" si="324"/>
        <v>495380.843368706</v>
      </c>
      <c r="R570" s="39">
        <f t="shared" si="325"/>
        <v>3350051.5547289</v>
      </c>
      <c r="S570" s="39">
        <f t="shared" si="346"/>
        <v>495388.948330639</v>
      </c>
      <c r="T570" s="39">
        <f t="shared" si="347"/>
        <v>3350039.51438733</v>
      </c>
      <c r="U570" s="39">
        <f t="shared" si="348"/>
        <v>495399.70735968</v>
      </c>
      <c r="V570" s="39">
        <f t="shared" si="349"/>
        <v>3350029.7725432</v>
      </c>
      <c r="AI570" t="str">
        <f t="array" ref="AI570">IFERROR(INDEX($L$2:$L$789,SMALL(IF(ISNUMBER(FIND($AH$2,$C$2:$C$789)),ROW($2:$789)-1,4^8),ROW(A569)))&amp;"","")</f>
        <v/>
      </c>
      <c r="AS570" t="str">
        <f>"-text"&amp;" "&amp;D570&amp;","&amp;E570&amp;" "&amp;"10"&amp;" "&amp;"0"&amp;" "&amp;C570</f>
        <v>-text 495387.5813,3350038.3305 10 0 IP312</v>
      </c>
      <c r="AT570" t="str">
        <f t="shared" si="350"/>
        <v>495387.5813,3350038.3305</v>
      </c>
      <c r="AV570">
        <f t="shared" si="365"/>
        <v>442.559</v>
      </c>
      <c r="AX570" t="str">
        <f t="shared" si="352"/>
        <v>pl 45457.7856555428,279 45457.7856555428,400 </v>
      </c>
      <c r="AY570" t="str">
        <f t="shared" si="353"/>
        <v>45457.7856555428,437.159</v>
      </c>
      <c r="AZ570" t="str">
        <f t="shared" si="354"/>
        <v>45457.7856555428,441.074</v>
      </c>
      <c r="BA570" t="str">
        <f t="shared" si="355"/>
        <v>45457.7856555428,442.559</v>
      </c>
      <c r="BB570" t="str">
        <f t="shared" si="356"/>
        <v>-text 45456.7856555428,337 3.5 90 437.159 </v>
      </c>
      <c r="BC570" t="str">
        <f t="shared" si="357"/>
        <v>-text 45456.7856555428,320 3.5 90 442.559 </v>
      </c>
      <c r="BD570" t="str">
        <f t="shared" si="358"/>
        <v>-text 45456.7856555428,306 3.5 90 441.074 </v>
      </c>
      <c r="BE570" t="str">
        <f t="shared" si="359"/>
        <v>-text 45456.7856555428,352 3.5 90 ZG90+915.571 </v>
      </c>
      <c r="BF570" t="str">
        <f t="shared" si="360"/>
        <v>-text 45456.7856555428,280 3.5 90 IP312 </v>
      </c>
      <c r="BG570" t="str">
        <f t="shared" si="361"/>
        <v>-TEXT 45458.7856555428,300 3.5 0 R=60</v>
      </c>
      <c r="BH570" t="str">
        <f t="shared" si="362"/>
        <v>-TEXT 45458.7856555428,295 3.5 0 α=27.79° </v>
      </c>
      <c r="BI570" t="str">
        <f t="shared" si="363"/>
        <v>-TEXT 45458.7856555428,290 3.5 0 T=14.84 </v>
      </c>
      <c r="BJ570" t="str">
        <f t="shared" si="364"/>
        <v>-TEXT 45458.7856555428,285 3.5 0 S=29.10 </v>
      </c>
    </row>
    <row r="571" spans="1:62">
      <c r="A571">
        <v>1</v>
      </c>
      <c r="B571">
        <v>570</v>
      </c>
      <c r="C571" t="str">
        <f>Sheet1!C518</f>
        <v>芋荷沟隧进</v>
      </c>
      <c r="D571">
        <v>495418.7683</v>
      </c>
      <c r="E571">
        <v>3350016.3203</v>
      </c>
      <c r="F571">
        <v>0</v>
      </c>
      <c r="G571">
        <f t="shared" si="317"/>
        <v>0</v>
      </c>
      <c r="H571">
        <f t="shared" si="318"/>
        <v>0</v>
      </c>
      <c r="I571">
        <f t="shared" si="319"/>
        <v>0</v>
      </c>
      <c r="J571">
        <f t="shared" si="320"/>
        <v>38.1716894183991</v>
      </c>
      <c r="K571" s="40">
        <f t="shared" si="321"/>
        <v>90953.4509322615</v>
      </c>
      <c r="L571" s="40">
        <f t="shared" si="322"/>
        <v>90953.4509322615</v>
      </c>
      <c r="M571" s="40">
        <f t="shared" si="323"/>
        <v>90953.4509322615</v>
      </c>
      <c r="N571">
        <v>441.063</v>
      </c>
      <c r="O571">
        <v>437.174</v>
      </c>
      <c r="P571">
        <v>0</v>
      </c>
      <c r="Q571" s="39">
        <f t="shared" si="324"/>
        <v>495418.7683</v>
      </c>
      <c r="R571" s="39">
        <f t="shared" si="325"/>
        <v>3350016.3203</v>
      </c>
      <c r="S571" s="39" t="str">
        <f t="shared" si="346"/>
        <v> </v>
      </c>
      <c r="T571" s="39" t="str">
        <f t="shared" si="347"/>
        <v> </v>
      </c>
      <c r="U571" s="39" t="str">
        <f t="shared" si="348"/>
        <v> </v>
      </c>
      <c r="V571" s="39" t="str">
        <f t="shared" si="349"/>
        <v> </v>
      </c>
      <c r="AI571" t="str">
        <f t="array" ref="AI571">IFERROR(INDEX($L$2:$L$789,SMALL(IF(ISNUMBER(FIND($AH$2,$C$2:$C$789)),ROW($2:$789)-1,4^8),ROW(A570)))&amp;"","")</f>
        <v/>
      </c>
      <c r="AT571" t="str">
        <f t="shared" si="350"/>
        <v>495418.7683,3350016.3203</v>
      </c>
      <c r="AV571">
        <f t="shared" si="365"/>
        <v>442.274</v>
      </c>
      <c r="AX571" t="str">
        <f t="shared" si="352"/>
        <v>pl 45476.7254661308,279 45476.7254661308,400 </v>
      </c>
      <c r="AY571" t="str">
        <f t="shared" si="353"/>
        <v>45476.7254661308,437.174</v>
      </c>
      <c r="AZ571" t="str">
        <f t="shared" si="354"/>
        <v>45476.7254661308,441.063</v>
      </c>
      <c r="BA571" t="str">
        <f t="shared" si="355"/>
        <v>45476.7254661308,442.274</v>
      </c>
      <c r="BB571" t="str">
        <f t="shared" si="356"/>
        <v>-text 45475.7254661308,337 3.5 90 437.174 </v>
      </c>
      <c r="BC571" t="str">
        <f t="shared" si="357"/>
        <v>-text 45475.7254661308,320 3.5 90 442.274 </v>
      </c>
      <c r="BD571" t="str">
        <f t="shared" si="358"/>
        <v>-text 45475.7254661308,306 3.5 90 441.063 </v>
      </c>
      <c r="BE571" t="str">
        <f t="shared" si="359"/>
        <v>-text 45475.7254661308,352 3.5 90 ZG90+953.451 </v>
      </c>
      <c r="BF571" t="str">
        <f t="shared" si="360"/>
        <v>-text 45475.7254661308,280 3.5 90 芋荷沟隧进 </v>
      </c>
      <c r="BG571" t="str">
        <f t="shared" si="361"/>
        <v/>
      </c>
      <c r="BH571" t="str">
        <f t="shared" si="362"/>
        <v> </v>
      </c>
      <c r="BI571" t="str">
        <f t="shared" si="363"/>
        <v> </v>
      </c>
      <c r="BJ571" t="str">
        <f t="shared" si="364"/>
        <v> </v>
      </c>
    </row>
    <row r="572" spans="1:62">
      <c r="A572">
        <v>1</v>
      </c>
      <c r="B572">
        <v>571</v>
      </c>
      <c r="C572" t="s">
        <v>539</v>
      </c>
      <c r="D572">
        <v>495701.1862</v>
      </c>
      <c r="E572">
        <v>3349817.0043</v>
      </c>
      <c r="F572">
        <v>60</v>
      </c>
      <c r="G572">
        <f t="shared" si="317"/>
        <v>9.629</v>
      </c>
      <c r="H572">
        <f t="shared" si="318"/>
        <v>5.05363253029787</v>
      </c>
      <c r="I572">
        <f t="shared" si="319"/>
        <v>10.083465220472</v>
      </c>
      <c r="J572">
        <f t="shared" si="320"/>
        <v>345.66853790339</v>
      </c>
      <c r="K572" s="40">
        <f t="shared" si="321"/>
        <v>91294.0658376346</v>
      </c>
      <c r="L572" s="40">
        <f t="shared" si="322"/>
        <v>91299.1075702449</v>
      </c>
      <c r="M572" s="40">
        <f t="shared" si="323"/>
        <v>91304.1493028551</v>
      </c>
      <c r="N572">
        <v>441</v>
      </c>
      <c r="O572">
        <v>437.111</v>
      </c>
      <c r="P572">
        <v>0</v>
      </c>
      <c r="Q572" s="39">
        <f t="shared" si="324"/>
        <v>495697.057284203</v>
      </c>
      <c r="R572" s="39">
        <f t="shared" si="325"/>
        <v>3349819.91827599</v>
      </c>
      <c r="S572" s="39">
        <f t="shared" si="346"/>
        <v>495701.049557987</v>
      </c>
      <c r="T572" s="39">
        <f t="shared" si="347"/>
        <v>3349816.84161288</v>
      </c>
      <c r="U572" s="39">
        <f t="shared" si="348"/>
        <v>495704.769511986</v>
      </c>
      <c r="V572" s="39">
        <f t="shared" si="349"/>
        <v>3349813.44072357</v>
      </c>
      <c r="AI572" t="str">
        <f t="array" ref="AI572">IFERROR(INDEX($L$2:$L$789,SMALL(IF(ISNUMBER(FIND($AH$2,$C$2:$C$789)),ROW($2:$789)-1,4^8),ROW(A571)))&amp;"","")</f>
        <v/>
      </c>
      <c r="AS572" t="str">
        <f>"-text"&amp;" "&amp;D572&amp;","&amp;E572&amp;" "&amp;"10"&amp;" "&amp;"0"&amp;" "&amp;C572</f>
        <v>-text 495701.1862,3349817.0043 10 0 IP313</v>
      </c>
      <c r="AT572" t="str">
        <f t="shared" si="350"/>
        <v>495701.1862,3349817.0043</v>
      </c>
      <c r="AV572">
        <f t="shared" si="365"/>
        <v>442.211</v>
      </c>
      <c r="AX572" t="str">
        <f t="shared" si="352"/>
        <v>pl 45649.5537851224,279 45649.5537851224,400 </v>
      </c>
      <c r="AY572" t="str">
        <f t="shared" si="353"/>
        <v>45649.5537851224,437.111</v>
      </c>
      <c r="AZ572" t="str">
        <f t="shared" si="354"/>
        <v>45649.5537851224,441</v>
      </c>
      <c r="BA572" t="str">
        <f t="shared" si="355"/>
        <v>45649.5537851224,442.211</v>
      </c>
      <c r="BB572" t="str">
        <f t="shared" si="356"/>
        <v>-text 45648.5537851224,337 3.5 90 437.111 </v>
      </c>
      <c r="BC572" t="str">
        <f t="shared" si="357"/>
        <v>-text 45648.5537851224,320 3.5 90 442.211 </v>
      </c>
      <c r="BD572" t="str">
        <f t="shared" si="358"/>
        <v>-text 45648.5537851224,306 3.5 90 441.000 </v>
      </c>
      <c r="BE572" t="str">
        <f t="shared" si="359"/>
        <v>-text 45648.5537851224,352 3.5 90 ZG91+299.108 </v>
      </c>
      <c r="BF572" t="str">
        <f t="shared" si="360"/>
        <v>-text 45648.5537851224,280 3.5 90 IP313 </v>
      </c>
      <c r="BG572" t="str">
        <f t="shared" si="361"/>
        <v>-TEXT 45650.5537851224,300 3.5 0 R=60</v>
      </c>
      <c r="BH572" t="str">
        <f t="shared" si="362"/>
        <v>-TEXT 45650.5537851224,295 3.5 0 α=9.63° </v>
      </c>
      <c r="BI572" t="str">
        <f t="shared" si="363"/>
        <v>-TEXT 45650.5537851224,290 3.5 0 T=5.05 </v>
      </c>
      <c r="BJ572" t="str">
        <f t="shared" si="364"/>
        <v>-TEXT 45650.5537851224,285 3.5 0 S=10.08 </v>
      </c>
    </row>
    <row r="573" spans="1:62">
      <c r="A573">
        <v>1</v>
      </c>
      <c r="B573">
        <v>572</v>
      </c>
      <c r="C573" t="s">
        <v>540</v>
      </c>
      <c r="D573">
        <v>495836.7436</v>
      </c>
      <c r="E573">
        <v>3349682.1935</v>
      </c>
      <c r="F573">
        <v>60</v>
      </c>
      <c r="G573">
        <f t="shared" si="317"/>
        <v>27.357</v>
      </c>
      <c r="H573">
        <f t="shared" si="318"/>
        <v>14.6025728606528</v>
      </c>
      <c r="I573">
        <f t="shared" si="319"/>
        <v>28.6481834080853</v>
      </c>
      <c r="J573">
        <f t="shared" si="320"/>
        <v>191.17991654832</v>
      </c>
      <c r="K573" s="40">
        <f t="shared" si="321"/>
        <v>91475.6730140125</v>
      </c>
      <c r="L573" s="40">
        <f t="shared" si="322"/>
        <v>91489.9971057165</v>
      </c>
      <c r="M573" s="40">
        <f t="shared" si="323"/>
        <v>91504.3211974206</v>
      </c>
      <c r="N573">
        <v>440.965</v>
      </c>
      <c r="O573">
        <v>437.076</v>
      </c>
      <c r="P573">
        <v>0.001</v>
      </c>
      <c r="Q573" s="39">
        <f t="shared" si="324"/>
        <v>495826.389547932</v>
      </c>
      <c r="R573" s="39">
        <f t="shared" si="325"/>
        <v>3349692.49052578</v>
      </c>
      <c r="S573" s="39">
        <f t="shared" si="346"/>
        <v>495837.649906434</v>
      </c>
      <c r="T573" s="39">
        <f t="shared" si="347"/>
        <v>3349683.69214919</v>
      </c>
      <c r="U573" s="39">
        <f t="shared" si="348"/>
        <v>495850.67146834</v>
      </c>
      <c r="V573" s="39">
        <f t="shared" si="349"/>
        <v>3349677.80606138</v>
      </c>
      <c r="AI573" t="str">
        <f t="array" ref="AI573">IFERROR(INDEX($L$2:$L$789,SMALL(IF(ISNUMBER(FIND($AH$2,$C$2:$C$789)),ROW($2:$789)-1,4^8),ROW(A572)))&amp;"","")</f>
        <v/>
      </c>
      <c r="AS573" t="str">
        <f>"-text"&amp;" "&amp;D573&amp;","&amp;E573&amp;" "&amp;"10"&amp;" "&amp;"0"&amp;" "&amp;C573</f>
        <v>-text 495836.7436,3349682.1935 10 0 IP314</v>
      </c>
      <c r="AT573" t="str">
        <f t="shared" si="350"/>
        <v>495836.7436,3349682.1935</v>
      </c>
      <c r="AV573">
        <f t="shared" si="365"/>
        <v>442.176</v>
      </c>
      <c r="AX573" t="str">
        <f t="shared" si="352"/>
        <v>pl 45744.9985528583,279 45744.9985528583,400 </v>
      </c>
      <c r="AY573" t="str">
        <f t="shared" si="353"/>
        <v>45744.9985528583,437.076</v>
      </c>
      <c r="AZ573" t="str">
        <f t="shared" si="354"/>
        <v>45744.9985528583,440.965</v>
      </c>
      <c r="BA573" t="str">
        <f t="shared" si="355"/>
        <v>45744.9985528583,442.176</v>
      </c>
      <c r="BB573" t="str">
        <f t="shared" si="356"/>
        <v>-text 45743.9985528583,337 3.5 90 437.076 </v>
      </c>
      <c r="BC573" t="str">
        <f t="shared" si="357"/>
        <v>-text 45743.9985528583,320 3.5 90 442.176 </v>
      </c>
      <c r="BD573" t="str">
        <f t="shared" si="358"/>
        <v>-text 45743.9985528583,306 3.5 90 440.965 </v>
      </c>
      <c r="BE573" t="str">
        <f t="shared" si="359"/>
        <v>-text 45743.9985528583,352 3.5 90 ZG91+489.997 </v>
      </c>
      <c r="BF573" t="str">
        <f t="shared" si="360"/>
        <v>-text 45743.9985528583,280 3.5 90 IP314 </v>
      </c>
      <c r="BG573" t="str">
        <f t="shared" si="361"/>
        <v>-TEXT 45745.9985528583,300 3.5 0 R=60</v>
      </c>
      <c r="BH573" t="str">
        <f t="shared" si="362"/>
        <v>-TEXT 45745.9985528583,295 3.5 0 α=27.36° </v>
      </c>
      <c r="BI573" t="str">
        <f t="shared" si="363"/>
        <v>-TEXT 45745.9985528583,290 3.5 0 T=14.60 </v>
      </c>
      <c r="BJ573" t="str">
        <f t="shared" si="364"/>
        <v>-TEXT 45745.9985528583,285 3.5 0 S=28.65 </v>
      </c>
    </row>
    <row r="574" spans="1:62">
      <c r="A574">
        <v>1</v>
      </c>
      <c r="B574">
        <v>573</v>
      </c>
      <c r="C574" t="s">
        <v>541</v>
      </c>
      <c r="D574">
        <v>496109.1362</v>
      </c>
      <c r="E574">
        <v>3349596.3867</v>
      </c>
      <c r="F574">
        <v>60</v>
      </c>
      <c r="G574">
        <f t="shared" si="317"/>
        <v>29.781</v>
      </c>
      <c r="H574">
        <f t="shared" si="318"/>
        <v>15.9541133668626</v>
      </c>
      <c r="I574">
        <f t="shared" si="319"/>
        <v>31.1865902721859</v>
      </c>
      <c r="J574">
        <f t="shared" si="320"/>
        <v>285.588052027733</v>
      </c>
      <c r="K574" s="40">
        <f t="shared" si="321"/>
        <v>91759.3525632208</v>
      </c>
      <c r="L574" s="40">
        <f t="shared" si="322"/>
        <v>91774.9458583568</v>
      </c>
      <c r="M574" s="40">
        <f t="shared" si="323"/>
        <v>91790.539153493</v>
      </c>
      <c r="N574">
        <v>440.912</v>
      </c>
      <c r="O574">
        <v>437.023</v>
      </c>
      <c r="P574">
        <v>0.001</v>
      </c>
      <c r="Q574" s="39">
        <f t="shared" si="324"/>
        <v>496093.919238402</v>
      </c>
      <c r="R574" s="39">
        <f t="shared" si="325"/>
        <v>3349601.18021781</v>
      </c>
      <c r="S574" s="39">
        <f t="shared" si="346"/>
        <v>496109.230577758</v>
      </c>
      <c r="T574" s="39">
        <f t="shared" si="347"/>
        <v>3349598.46945492</v>
      </c>
      <c r="U574" s="39">
        <f t="shared" si="348"/>
        <v>496124.724333976</v>
      </c>
      <c r="V574" s="39">
        <f t="shared" si="349"/>
        <v>3349599.78431865</v>
      </c>
      <c r="AI574" t="str">
        <f t="array" ref="AI574">IFERROR(INDEX($L$2:$L$789,SMALL(IF(ISNUMBER(FIND($AH$2,$C$2:$C$789)),ROW($2:$789)-1,4^8),ROW(A573)))&amp;"","")</f>
        <v/>
      </c>
      <c r="AS574" t="str">
        <f>"-text"&amp;" "&amp;D574&amp;","&amp;E574&amp;" "&amp;"10"&amp;" "&amp;"0"&amp;" "&amp;C574</f>
        <v>-text 496109.1362,3349596.3867 10 0 IP315</v>
      </c>
      <c r="AT574" t="str">
        <f t="shared" si="350"/>
        <v>496109.1362,3349596.3867</v>
      </c>
      <c r="AV574">
        <f t="shared" si="365"/>
        <v>442.123</v>
      </c>
      <c r="AX574" t="str">
        <f t="shared" si="352"/>
        <v>pl 45887.4729291784,279 45887.4729291784,400 </v>
      </c>
      <c r="AY574" t="str">
        <f t="shared" si="353"/>
        <v>45887.4729291784,437.023</v>
      </c>
      <c r="AZ574" t="str">
        <f t="shared" si="354"/>
        <v>45887.4729291784,440.912</v>
      </c>
      <c r="BA574" t="str">
        <f t="shared" si="355"/>
        <v>45887.4729291784,442.123</v>
      </c>
      <c r="BB574" t="str">
        <f t="shared" si="356"/>
        <v>-text 45886.4729291784,337 3.5 90 437.023 </v>
      </c>
      <c r="BC574" t="str">
        <f t="shared" si="357"/>
        <v>-text 45886.4729291784,320 3.5 90 442.123 </v>
      </c>
      <c r="BD574" t="str">
        <f t="shared" si="358"/>
        <v>-text 45886.4729291784,306 3.5 90 440.912 </v>
      </c>
      <c r="BE574" t="str">
        <f t="shared" si="359"/>
        <v>-text 45886.4729291784,352 3.5 90 ZG91+774.946 </v>
      </c>
      <c r="BF574" t="str">
        <f t="shared" si="360"/>
        <v>-text 45886.4729291784,280 3.5 90 IP315 </v>
      </c>
      <c r="BG574" t="str">
        <f t="shared" si="361"/>
        <v>-TEXT 45888.4729291784,300 3.5 0 R=60</v>
      </c>
      <c r="BH574" t="str">
        <f t="shared" si="362"/>
        <v>-TEXT 45888.4729291784,295 3.5 0 α=29.78° </v>
      </c>
      <c r="BI574" t="str">
        <f t="shared" si="363"/>
        <v>-TEXT 45888.4729291784,290 3.5 0 T=15.95 </v>
      </c>
      <c r="BJ574" t="str">
        <f t="shared" si="364"/>
        <v>-TEXT 45888.4729291784,285 3.5 0 S=31.19 </v>
      </c>
    </row>
    <row r="575" spans="1:62">
      <c r="A575">
        <v>1</v>
      </c>
      <c r="B575">
        <v>574</v>
      </c>
      <c r="C575" t="s">
        <v>542</v>
      </c>
      <c r="D575">
        <v>496306.2216</v>
      </c>
      <c r="E575">
        <v>3349639.3438</v>
      </c>
      <c r="F575">
        <v>60</v>
      </c>
      <c r="G575">
        <f t="shared" si="317"/>
        <v>25.907</v>
      </c>
      <c r="H575">
        <f t="shared" si="318"/>
        <v>13.8008109457554</v>
      </c>
      <c r="I575">
        <f t="shared" si="319"/>
        <v>27.1297469588503</v>
      </c>
      <c r="J575">
        <f t="shared" si="320"/>
        <v>201.712585957205</v>
      </c>
      <c r="K575" s="40">
        <f t="shared" si="321"/>
        <v>91962.4968151375</v>
      </c>
      <c r="L575" s="40">
        <f t="shared" si="322"/>
        <v>91976.0616886169</v>
      </c>
      <c r="M575" s="40">
        <f t="shared" si="323"/>
        <v>91989.6265620964</v>
      </c>
      <c r="N575">
        <v>440.874</v>
      </c>
      <c r="O575">
        <v>436.985</v>
      </c>
      <c r="P575">
        <v>0.001</v>
      </c>
      <c r="Q575" s="39">
        <f t="shared" si="324"/>
        <v>496292.737372763</v>
      </c>
      <c r="R575" s="39">
        <f t="shared" si="325"/>
        <v>3349636.40475278</v>
      </c>
      <c r="S575" s="39">
        <f t="shared" si="346"/>
        <v>496306.203618044</v>
      </c>
      <c r="T575" s="39">
        <f t="shared" si="347"/>
        <v>3349637.77716022</v>
      </c>
      <c r="U575" s="39">
        <f t="shared" si="348"/>
        <v>496319.634814613</v>
      </c>
      <c r="V575" s="39">
        <f t="shared" si="349"/>
        <v>3349636.09602284</v>
      </c>
      <c r="AI575" t="str">
        <f t="array" ref="AI575">IFERROR(INDEX($L$2:$L$789,SMALL(IF(ISNUMBER(FIND($AH$2,$C$2:$C$789)),ROW($2:$789)-1,4^8),ROW(A574)))&amp;"","")</f>
        <v/>
      </c>
      <c r="AS575" t="str">
        <f>"-text"&amp;" "&amp;D575&amp;","&amp;E575&amp;" "&amp;"10"&amp;" "&amp;"0"&amp;" "&amp;C575</f>
        <v>-text 496306.2216,3349639.3438 10 0 IP316</v>
      </c>
      <c r="AT575" t="str">
        <f t="shared" si="350"/>
        <v>496306.2216,3349639.3438</v>
      </c>
      <c r="AV575">
        <f t="shared" si="365"/>
        <v>442.085</v>
      </c>
      <c r="AX575" t="str">
        <f t="shared" si="352"/>
        <v>pl 45988.0308443085,279 45988.0308443085,400 </v>
      </c>
      <c r="AY575" t="str">
        <f t="shared" si="353"/>
        <v>45988.0308443085,436.985</v>
      </c>
      <c r="AZ575" t="str">
        <f t="shared" si="354"/>
        <v>45988.0308443085,440.874</v>
      </c>
      <c r="BA575" t="str">
        <f t="shared" si="355"/>
        <v>45988.0308443085,442.085</v>
      </c>
      <c r="BB575" t="str">
        <f t="shared" si="356"/>
        <v>-text 45987.0308443085,337 3.5 90 436.985 </v>
      </c>
      <c r="BC575" t="str">
        <f t="shared" si="357"/>
        <v>-text 45987.0308443085,320 3.5 90 442.085 </v>
      </c>
      <c r="BD575" t="str">
        <f t="shared" si="358"/>
        <v>-text 45987.0308443085,306 3.5 90 440.874 </v>
      </c>
      <c r="BE575" t="str">
        <f t="shared" si="359"/>
        <v>-text 45987.0308443085,352 3.5 90 ZG91+976.062 </v>
      </c>
      <c r="BF575" t="str">
        <f t="shared" si="360"/>
        <v>-text 45987.0308443085,280 3.5 90 IP316 </v>
      </c>
      <c r="BG575" t="str">
        <f t="shared" si="361"/>
        <v>-TEXT 45989.0308443085,300 3.5 0 R=60</v>
      </c>
      <c r="BH575" t="str">
        <f t="shared" si="362"/>
        <v>-TEXT 45989.0308443085,295 3.5 0 α=25.91° </v>
      </c>
      <c r="BI575" t="str">
        <f t="shared" si="363"/>
        <v>-TEXT 45989.0308443085,290 3.5 0 T=13.80 </v>
      </c>
      <c r="BJ575" t="str">
        <f t="shared" si="364"/>
        <v>-TEXT 45989.0308443085,285 3.5 0 S=27.13 </v>
      </c>
    </row>
    <row r="576" spans="1:62">
      <c r="A576">
        <v>1</v>
      </c>
      <c r="B576">
        <v>575</v>
      </c>
      <c r="C576" t="s">
        <v>543</v>
      </c>
      <c r="D576">
        <v>496628.4202</v>
      </c>
      <c r="E576">
        <v>3349561.329</v>
      </c>
      <c r="F576">
        <v>60</v>
      </c>
      <c r="G576">
        <f>ROUND(IF((2*SQRT((D575-D576)^2+(E575-E576)^2)*SQRT((D577-D576)^2+(E577-E576)^2))=0,0,180-ACOS(((D575-D576)^2+(E575-E576)^2+(D577-D576)^2+(E577-E576)^2-(D577-D575)^2-(E577-E575)^2)/(2*SQRT((D575-D576)^2+(E575-E576)^2)*SQRT((D577-D576)^2+(E577-E576)^2)))/PI()*180),3)</f>
        <v>24.395</v>
      </c>
      <c r="H576">
        <f>F576*TAN(PI()/180*G576/2)</f>
        <v>12.9697188286272</v>
      </c>
      <c r="I576">
        <f>F576*G576/180*PI()</f>
        <v>25.546384261441</v>
      </c>
      <c r="J576">
        <f>SQRT((D576-D575)^2+(E576-E575)^2)</f>
        <v>331.509044915826</v>
      </c>
      <c r="K576" s="40">
        <f>L576-I576/2</f>
        <v>92294.3650772378</v>
      </c>
      <c r="L576" s="40">
        <f>L575+J576-H576+I576/2+I575/2-H575</f>
        <v>92307.1382693685</v>
      </c>
      <c r="M576" s="40">
        <f>K576+I576</f>
        <v>92319.9114614993</v>
      </c>
      <c r="N576">
        <v>440.813</v>
      </c>
      <c r="O576">
        <v>436.924</v>
      </c>
      <c r="P576">
        <v>0.001</v>
      </c>
      <c r="Q576" s="39">
        <f>IF(G576=0,D576,D575+(D576-D575)/J576*(J576-H576))</f>
        <v>496615.814736249</v>
      </c>
      <c r="R576" s="39">
        <f>IF(G576=0,E576,E575+(E576-E575)/J576*(J576-H576))</f>
        <v>3349564.38119431</v>
      </c>
      <c r="S576" s="39">
        <f t="shared" si="346"/>
        <v>496627.816865712</v>
      </c>
      <c r="T576" s="39">
        <f t="shared" si="347"/>
        <v>3349560.08143627</v>
      </c>
      <c r="U576" s="39">
        <f t="shared" si="348"/>
        <v>496638.639567003</v>
      </c>
      <c r="V576" s="39">
        <f t="shared" si="349"/>
        <v>3349553.342878</v>
      </c>
      <c r="AI576" t="str">
        <f t="array" ref="AI576">IFERROR(INDEX($L$2:$L$789,SMALL(IF(ISNUMBER(FIND($AH$2,$C$2:$C$789)),ROW($2:$789)-1,4^8),ROW(A575)))&amp;"","")</f>
        <v/>
      </c>
      <c r="AS576" t="str">
        <f>"-text"&amp;" "&amp;D576&amp;","&amp;E576&amp;" "&amp;"10"&amp;" "&amp;"0"&amp;" "&amp;C576</f>
        <v>-text 496628.4202,3349561.329 10 0 IP317</v>
      </c>
      <c r="AT576" t="str">
        <f t="shared" si="350"/>
        <v>496628.4202,3349561.329</v>
      </c>
      <c r="AV576">
        <f t="shared" si="365"/>
        <v>442.024</v>
      </c>
      <c r="AX576" t="str">
        <f t="shared" si="352"/>
        <v>pl 46153.5691346843,279 46153.5691346843,400 </v>
      </c>
      <c r="AY576" t="str">
        <f t="shared" si="353"/>
        <v>46153.5691346843,436.924</v>
      </c>
      <c r="AZ576" t="str">
        <f t="shared" si="354"/>
        <v>46153.5691346843,440.813</v>
      </c>
      <c r="BA576" t="str">
        <f t="shared" si="355"/>
        <v>46153.5691346843,442.024</v>
      </c>
      <c r="BB576" t="str">
        <f t="shared" si="356"/>
        <v>-text 46152.5691346843,337 3.5 90 436.924 </v>
      </c>
      <c r="BC576" t="str">
        <f t="shared" si="357"/>
        <v>-text 46152.5691346843,320 3.5 90 442.024 </v>
      </c>
      <c r="BD576" t="str">
        <f t="shared" si="358"/>
        <v>-text 46152.5691346843,306 3.5 90 440.813 </v>
      </c>
      <c r="BE576" t="str">
        <f t="shared" si="359"/>
        <v>-text 46152.5691346843,352 3.5 90 ZG92+307.138 </v>
      </c>
      <c r="BF576" t="str">
        <f t="shared" si="360"/>
        <v>-text 46152.5691346843,280 3.5 90 IP317 </v>
      </c>
      <c r="BG576" t="str">
        <f t="shared" si="361"/>
        <v>-TEXT 46154.5691346843,300 3.5 0 R=60</v>
      </c>
      <c r="BH576" t="str">
        <f t="shared" si="362"/>
        <v>-TEXT 46154.5691346843,295 3.5 0 α=24.40° </v>
      </c>
      <c r="BI576" t="str">
        <f t="shared" si="363"/>
        <v>-TEXT 46154.5691346843,290 3.5 0 T=12.97 </v>
      </c>
      <c r="BJ576" t="str">
        <f t="shared" si="364"/>
        <v>-TEXT 46154.5691346843,285 3.5 0 S=25.55 </v>
      </c>
    </row>
    <row r="577" spans="1:62">
      <c r="A577">
        <v>1</v>
      </c>
      <c r="B577">
        <v>576</v>
      </c>
      <c r="C577" t="str">
        <f>Sheet1!C524</f>
        <v>芋荷沟隧出</v>
      </c>
      <c r="D577">
        <v>496780.894</v>
      </c>
      <c r="E577">
        <v>3349442.1754</v>
      </c>
      <c r="F577">
        <v>0</v>
      </c>
      <c r="G577">
        <f t="shared" ref="G577:G583" si="366">ROUND(IF((2*SQRT((D576-D577)^2+(E576-E577)^2)*SQRT((D578-D577)^2+(E578-E577)^2))=0,0,180-ACOS(((D576-D577)^2+(E576-E577)^2+(D578-D577)^2+(E578-E577)^2-(D578-D576)^2-(E578-E576)^2)/(2*SQRT((D576-D577)^2+(E576-E577)^2)*SQRT((D578-D577)^2+(E578-E577)^2)))/PI()*180),3)</f>
        <v>0</v>
      </c>
      <c r="H577">
        <f t="shared" ref="H577:H628" si="367">F577*TAN(PI()/180*G577/2)</f>
        <v>0</v>
      </c>
      <c r="I577">
        <f t="shared" ref="I577:I628" si="368">F577*G577/180*PI()</f>
        <v>0</v>
      </c>
      <c r="J577">
        <f t="shared" ref="J577:J628" si="369">SQRT((D577-D576)^2+(E577-E576)^2)</f>
        <v>193.509276468484</v>
      </c>
      <c r="K577" s="40">
        <f t="shared" ref="K577:K605" si="370">L577-I577/2</f>
        <v>92500.4510191391</v>
      </c>
      <c r="L577" s="40">
        <f t="shared" ref="L577:L605" si="371">L576+J577-H577+I577/2+I576/2-H576</f>
        <v>92500.4510191391</v>
      </c>
      <c r="M577" s="40">
        <f t="shared" ref="M577:M605" si="372">K577+I577</f>
        <v>92500.4510191391</v>
      </c>
      <c r="N577">
        <v>440.777</v>
      </c>
      <c r="O577">
        <v>436.888</v>
      </c>
      <c r="P577">
        <v>0</v>
      </c>
      <c r="Q577" s="39">
        <f t="shared" ref="Q577:Q640" si="373">IF(G577=0,D577,D576+(D577-D576)/J577*(J577-H577))</f>
        <v>496780.894</v>
      </c>
      <c r="R577" s="39">
        <f t="shared" ref="R577:R640" si="374">IF(G577=0,E577,E576+(E577-E576)/J577*(J577-H577))</f>
        <v>3349442.1754</v>
      </c>
      <c r="S577" s="39" t="str">
        <f t="shared" ref="S577:S640" si="375">IF(G577=0," ",(Q577+U577)/2+(D577-(Q577+U577)/2)/(H577*SIN(G577/360*PI()))*(F577-F577*COS(G577/360*PI())))</f>
        <v> </v>
      </c>
      <c r="T577" s="39" t="str">
        <f t="shared" ref="T577:T640" si="376">IF(G577=0," ",(R577+V577)/2+(E577-(R577+V577)/2)/(H577*SIN(G577/360*PI()))*(F577-F577*COS(G577/360*PI())))</f>
        <v> </v>
      </c>
      <c r="U577" s="39" t="str">
        <f t="shared" ref="U577:U605" si="377">IF(G577=0," ",D577+(D578-D577)/J578*H577)</f>
        <v> </v>
      </c>
      <c r="V577" s="39" t="str">
        <f t="shared" ref="V577:V605" si="378">IF(G577=0," ",E577+(E578-E577)/J578*H577)</f>
        <v> </v>
      </c>
      <c r="AI577" t="str">
        <f t="array" ref="AI577">IFERROR(INDEX($L$2:$L$789,SMALL(IF(ISNUMBER(FIND($AH$2,$C$2:$C$789)),ROW($2:$789)-1,4^8),ROW(A576)))&amp;"","")</f>
        <v/>
      </c>
      <c r="AT577" t="str">
        <f t="shared" si="350"/>
        <v>496780.894,3349442.1754</v>
      </c>
      <c r="AV577">
        <f t="shared" si="365"/>
        <v>441.988</v>
      </c>
      <c r="AX577" t="str">
        <f t="shared" si="352"/>
        <v>pl 46250.2255095696,279 46250.2255095696,400 </v>
      </c>
      <c r="AY577" t="str">
        <f t="shared" si="353"/>
        <v>46250.2255095696,436.888</v>
      </c>
      <c r="AZ577" t="str">
        <f t="shared" si="354"/>
        <v>46250.2255095696,440.777</v>
      </c>
      <c r="BA577" t="str">
        <f t="shared" si="355"/>
        <v>46250.2255095696,441.988</v>
      </c>
      <c r="BB577" t="str">
        <f t="shared" si="356"/>
        <v>-text 46249.2255095696,337 3.5 90 436.888 </v>
      </c>
      <c r="BC577" t="str">
        <f t="shared" si="357"/>
        <v>-text 46249.2255095696,320 3.5 90 441.988 </v>
      </c>
      <c r="BD577" t="str">
        <f t="shared" si="358"/>
        <v>-text 46249.2255095696,306 3.5 90 440.777 </v>
      </c>
      <c r="BE577" t="str">
        <f t="shared" si="359"/>
        <v>-text 46249.2255095696,352 3.5 90 ZG92+500.451 </v>
      </c>
      <c r="BF577" t="str">
        <f t="shared" si="360"/>
        <v>-text 46249.2255095696,280 3.5 90 芋荷沟隧出 </v>
      </c>
      <c r="BG577" t="str">
        <f t="shared" si="361"/>
        <v/>
      </c>
      <c r="BH577" t="str">
        <f t="shared" si="362"/>
        <v> </v>
      </c>
      <c r="BI577" t="str">
        <f t="shared" si="363"/>
        <v> </v>
      </c>
      <c r="BJ577" t="str">
        <f t="shared" si="364"/>
        <v> </v>
      </c>
    </row>
    <row r="578" spans="1:62">
      <c r="A578">
        <v>0</v>
      </c>
      <c r="B578">
        <v>577</v>
      </c>
      <c r="C578" t="s">
        <v>545</v>
      </c>
      <c r="D578">
        <v>496824.4977</v>
      </c>
      <c r="E578">
        <v>3349408.1004</v>
      </c>
      <c r="F578">
        <v>60</v>
      </c>
      <c r="G578">
        <f t="shared" si="366"/>
        <v>32.138</v>
      </c>
      <c r="H578">
        <f t="shared" si="367"/>
        <v>17.2829479779708</v>
      </c>
      <c r="I578">
        <f t="shared" si="368"/>
        <v>33.6548349003563</v>
      </c>
      <c r="J578">
        <f t="shared" si="369"/>
        <v>55.3388496330185</v>
      </c>
      <c r="K578" s="40">
        <f t="shared" si="370"/>
        <v>92538.5069207942</v>
      </c>
      <c r="L578" s="40">
        <f t="shared" si="371"/>
        <v>92555.3343382443</v>
      </c>
      <c r="M578" s="40">
        <f t="shared" si="372"/>
        <v>92572.1617556945</v>
      </c>
      <c r="N578">
        <v>440.77</v>
      </c>
      <c r="O578">
        <v>436.855</v>
      </c>
      <c r="P578">
        <v>0.001</v>
      </c>
      <c r="Q578" s="39">
        <f t="shared" si="373"/>
        <v>496810.87977184</v>
      </c>
      <c r="R578" s="39">
        <f t="shared" si="374"/>
        <v>3349418.74240749</v>
      </c>
      <c r="S578" s="39">
        <f t="shared" si="375"/>
        <v>496822.522189924</v>
      </c>
      <c r="T578" s="39">
        <f t="shared" si="376"/>
        <v>3349406.66907227</v>
      </c>
      <c r="U578" s="39">
        <f t="shared" si="377"/>
        <v>496830.367957945</v>
      </c>
      <c r="V578" s="39">
        <f t="shared" si="378"/>
        <v>3349391.84492823</v>
      </c>
      <c r="AI578" t="str">
        <f t="array" ref="AI578">IFERROR(INDEX($L$2:$L$789,SMALL(IF(ISNUMBER(FIND($AH$2,$C$2:$C$789)),ROW($2:$789)-1,4^8),ROW(A577)))&amp;"","")</f>
        <v/>
      </c>
      <c r="AS578" t="str">
        <f>"-text"&amp;" "&amp;D578&amp;","&amp;E578&amp;" "&amp;"10"&amp;" "&amp;"0"&amp;" "&amp;C578</f>
        <v>-text 496824.4977,3349408.1004 10 0 IP318</v>
      </c>
      <c r="AT578" t="str">
        <f t="shared" si="350"/>
        <v>496824.4977,3349408.1004</v>
      </c>
      <c r="AV578">
        <f t="shared" si="365"/>
        <v>442.255</v>
      </c>
      <c r="AX578" t="str">
        <f t="shared" si="352"/>
        <v>pl 46277.6671691222,279 46277.6671691222,400 </v>
      </c>
      <c r="AY578" t="str">
        <f t="shared" si="353"/>
        <v>46277.6671691222,436.855</v>
      </c>
      <c r="AZ578" t="str">
        <f t="shared" si="354"/>
        <v>46277.6671691222,440.77</v>
      </c>
      <c r="BA578" t="str">
        <f t="shared" si="355"/>
        <v>46277.6671691222,442.255</v>
      </c>
      <c r="BB578" t="str">
        <f t="shared" si="356"/>
        <v>-text 46276.6671691222,337 3.5 90 436.855 </v>
      </c>
      <c r="BC578" t="str">
        <f t="shared" si="357"/>
        <v>-text 46276.6671691222,320 3.5 90 442.255 </v>
      </c>
      <c r="BD578" t="str">
        <f t="shared" si="358"/>
        <v>-text 46276.6671691222,306 3.5 90 440.770 </v>
      </c>
      <c r="BE578" t="str">
        <f t="shared" si="359"/>
        <v>-text 46276.6671691222,352 3.5 90 ZG92+555.334 </v>
      </c>
      <c r="BF578" t="str">
        <f t="shared" si="360"/>
        <v>-text 46276.6671691222,280 3.5 90 IP318 </v>
      </c>
      <c r="BG578" t="str">
        <f t="shared" si="361"/>
        <v>-TEXT 46278.6671691222,300 3.5 0 R=60</v>
      </c>
      <c r="BH578" t="str">
        <f t="shared" si="362"/>
        <v>-TEXT 46278.6671691222,295 3.5 0 α=32.14° </v>
      </c>
      <c r="BI578" t="str">
        <f t="shared" si="363"/>
        <v>-TEXT 46278.6671691222,290 3.5 0 T=17.28 </v>
      </c>
      <c r="BJ578" t="str">
        <f t="shared" si="364"/>
        <v>-TEXT 46278.6671691222,285 3.5 0 S=33.65 </v>
      </c>
    </row>
    <row r="579" spans="1:62">
      <c r="A579">
        <v>0</v>
      </c>
      <c r="B579">
        <v>578</v>
      </c>
      <c r="C579" t="s">
        <v>546</v>
      </c>
      <c r="D579">
        <v>496853.1542</v>
      </c>
      <c r="E579">
        <v>3349328.747</v>
      </c>
      <c r="F579">
        <v>60</v>
      </c>
      <c r="G579">
        <f t="shared" si="366"/>
        <v>40.743</v>
      </c>
      <c r="H579">
        <f t="shared" si="367"/>
        <v>22.2798333371006</v>
      </c>
      <c r="I579">
        <f t="shared" si="368"/>
        <v>42.665969828403</v>
      </c>
      <c r="J579">
        <f t="shared" si="369"/>
        <v>84.3691714063496</v>
      </c>
      <c r="K579" s="40">
        <f t="shared" si="370"/>
        <v>92616.9681457858</v>
      </c>
      <c r="L579" s="40">
        <f t="shared" si="371"/>
        <v>92638.3011307</v>
      </c>
      <c r="M579" s="40">
        <f t="shared" si="372"/>
        <v>92659.6341156142</v>
      </c>
      <c r="N579">
        <v>440.753</v>
      </c>
      <c r="O579">
        <v>436.838</v>
      </c>
      <c r="P579">
        <v>0.002</v>
      </c>
      <c r="Q579" s="39">
        <f t="shared" si="373"/>
        <v>496845.586719682</v>
      </c>
      <c r="R579" s="39">
        <f t="shared" si="374"/>
        <v>3349349.70229086</v>
      </c>
      <c r="S579" s="39">
        <f t="shared" si="375"/>
        <v>496856.210502263</v>
      </c>
      <c r="T579" s="39">
        <f t="shared" si="376"/>
        <v>3349331.33230444</v>
      </c>
      <c r="U579" s="39">
        <f t="shared" si="377"/>
        <v>496872.564578109</v>
      </c>
      <c r="V579" s="39">
        <f t="shared" si="378"/>
        <v>3349317.80953251</v>
      </c>
      <c r="AI579" t="str">
        <f t="array" ref="AI579">IFERROR(INDEX($L$2:$L$789,SMALL(IF(ISNUMBER(FIND($AH$2,$C$2:$C$789)),ROW($2:$789)-1,4^8),ROW(A578)))&amp;"","")</f>
        <v/>
      </c>
      <c r="AS579" t="str">
        <f>"-text"&amp;" "&amp;D579&amp;","&amp;E579&amp;" "&amp;"10"&amp;" "&amp;"0"&amp;" "&amp;C579</f>
        <v>-text 496853.1542,3349328.747 10 0 IP319</v>
      </c>
      <c r="AT579" t="str">
        <f t="shared" si="350"/>
        <v>496853.1542,3349328.747</v>
      </c>
      <c r="AV579">
        <f t="shared" si="365"/>
        <v>442.238</v>
      </c>
      <c r="AX579" t="str">
        <f t="shared" si="352"/>
        <v>pl 46319.15056535,279 46319.15056535,400 </v>
      </c>
      <c r="AY579" t="str">
        <f t="shared" si="353"/>
        <v>46319.15056535,436.838</v>
      </c>
      <c r="AZ579" t="str">
        <f t="shared" si="354"/>
        <v>46319.15056535,440.753</v>
      </c>
      <c r="BA579" t="str">
        <f t="shared" si="355"/>
        <v>46319.15056535,442.238</v>
      </c>
      <c r="BB579" t="str">
        <f t="shared" si="356"/>
        <v>-text 46318.15056535,337 3.5 90 436.838 </v>
      </c>
      <c r="BC579" t="str">
        <f t="shared" si="357"/>
        <v>-text 46318.15056535,320 3.5 90 442.238 </v>
      </c>
      <c r="BD579" t="str">
        <f t="shared" si="358"/>
        <v>-text 46318.15056535,306 3.5 90 440.753 </v>
      </c>
      <c r="BE579" t="str">
        <f t="shared" si="359"/>
        <v>-text 46318.15056535,352 3.5 90 ZG92+638.301 </v>
      </c>
      <c r="BF579" t="str">
        <f t="shared" si="360"/>
        <v>-text 46318.15056535,280 3.5 90 IP319 </v>
      </c>
      <c r="BG579" t="str">
        <f t="shared" si="361"/>
        <v>-TEXT 46320.15056535,300 3.5 0 R=60</v>
      </c>
      <c r="BH579" t="str">
        <f t="shared" si="362"/>
        <v>-TEXT 46320.15056535,295 3.5 0 α=40.74° </v>
      </c>
      <c r="BI579" t="str">
        <f t="shared" si="363"/>
        <v>-TEXT 46320.15056535,290 3.5 0 T=22.28 </v>
      </c>
      <c r="BJ579" t="str">
        <f t="shared" si="364"/>
        <v>-TEXT 46320.15056535,285 3.5 0 S=42.67 </v>
      </c>
    </row>
    <row r="580" spans="1:62">
      <c r="A580">
        <v>1</v>
      </c>
      <c r="B580">
        <v>579</v>
      </c>
      <c r="C580" t="str">
        <f>Sheet1!C527</f>
        <v>龙泉寺隧进</v>
      </c>
      <c r="D580">
        <v>496905.511</v>
      </c>
      <c r="E580">
        <v>3349299.2447</v>
      </c>
      <c r="F580">
        <v>0</v>
      </c>
      <c r="G580">
        <f t="shared" si="366"/>
        <v>0</v>
      </c>
      <c r="H580">
        <f t="shared" si="367"/>
        <v>0</v>
      </c>
      <c r="I580">
        <f t="shared" si="368"/>
        <v>0</v>
      </c>
      <c r="J580">
        <f t="shared" si="369"/>
        <v>60.0967570798972</v>
      </c>
      <c r="K580" s="40">
        <f t="shared" si="370"/>
        <v>92697.451039357</v>
      </c>
      <c r="L580" s="40">
        <f t="shared" si="371"/>
        <v>92697.451039357</v>
      </c>
      <c r="M580" s="40">
        <f t="shared" si="372"/>
        <v>92697.451039357</v>
      </c>
      <c r="N580">
        <v>440.738</v>
      </c>
      <c r="O580">
        <v>436.849</v>
      </c>
      <c r="P580">
        <v>0</v>
      </c>
      <c r="Q580" s="39">
        <f t="shared" si="373"/>
        <v>496905.511</v>
      </c>
      <c r="R580" s="39">
        <f t="shared" si="374"/>
        <v>3349299.2447</v>
      </c>
      <c r="S580" s="39" t="str">
        <f t="shared" si="375"/>
        <v> </v>
      </c>
      <c r="T580" s="39" t="str">
        <f t="shared" si="376"/>
        <v> </v>
      </c>
      <c r="U580" s="39" t="str">
        <f t="shared" si="377"/>
        <v> </v>
      </c>
      <c r="V580" s="39" t="str">
        <f t="shared" si="378"/>
        <v> </v>
      </c>
      <c r="AI580" t="str">
        <f t="array" ref="AI580">IFERROR(INDEX($L$2:$L$789,SMALL(IF(ISNUMBER(FIND($AH$2,$C$2:$C$789)),ROW($2:$789)-1,4^8),ROW(A579)))&amp;"","")</f>
        <v/>
      </c>
      <c r="AT580" t="str">
        <f t="shared" ref="AT580:AT599" si="379">D580&amp;","&amp;E580</f>
        <v>496905.511,3349299.2447</v>
      </c>
      <c r="AV580">
        <f t="shared" si="365"/>
        <v>441.949</v>
      </c>
      <c r="AX580" t="str">
        <f t="shared" ref="AX580:AX599" si="380">"pl "&amp;L580/2&amp;",279 "&amp;L580/2&amp;",400 "</f>
        <v>pl 46348.7255196785,279 46348.7255196785,400 </v>
      </c>
      <c r="AY580" t="str">
        <f t="shared" ref="AY580:AY599" si="381">L580/2&amp;","&amp;O580</f>
        <v>46348.7255196785,436.849</v>
      </c>
      <c r="AZ580" t="str">
        <f t="shared" ref="AZ580:AZ599" si="382">L580/2&amp;","&amp;N580</f>
        <v>46348.7255196785,440.738</v>
      </c>
      <c r="BA580" t="str">
        <f t="shared" ref="BA580:BA599" si="383">L580/2&amp;","&amp;AV580</f>
        <v>46348.7255196785,441.949</v>
      </c>
      <c r="BB580" t="str">
        <f t="shared" ref="BB580:BB599" si="384">"-text "&amp;L580/2-1&amp;",337 3.5 90 "&amp;FIXED(O580,3)&amp;" "</f>
        <v>-text 46347.7255196785,337 3.5 90 436.849 </v>
      </c>
      <c r="BC580" t="str">
        <f t="shared" ref="BC580:BC599" si="385">"-text "&amp;L580/2-1&amp;",320 3.5 90 "&amp;FIXED(AV580,3)&amp;" "</f>
        <v>-text 46347.7255196785,320 3.5 90 441.949 </v>
      </c>
      <c r="BD580" t="str">
        <f t="shared" ref="BD580:BD599" si="386">"-text "&amp;L580/2-1&amp;",306 3.5 90 "&amp;FIXED(N580,3)&amp;" "</f>
        <v>-text 46347.7255196785,306 3.5 90 440.738 </v>
      </c>
      <c r="BE580" t="str">
        <f t="shared" ref="BE580:BE599" si="387">"-text "&amp;L580/2-1&amp;",352 3.5 90 "&amp;"ZG"&amp;TEXT(L580,"0+000.000")&amp;" "</f>
        <v>-text 46347.7255196785,352 3.5 90 ZG92+697.451 </v>
      </c>
      <c r="BF580" t="str">
        <f t="shared" ref="BF580:BF599" si="388">"-text "&amp;L580/2-1&amp;",280 3.5 90 "&amp;C580&amp;" "</f>
        <v>-text 46347.7255196785,280 3.5 90 龙泉寺隧进 </v>
      </c>
      <c r="BG580" t="str">
        <f t="shared" ref="BG580:BG599" si="389">IF(G580&lt;0.01,"",("-TEXT "&amp;L580/2+1&amp;",300 3.5 0 "&amp;"R="&amp;FIXED(F580,0)))</f>
        <v/>
      </c>
      <c r="BH580" t="str">
        <f t="shared" ref="BH580:BH599" si="390">IF(G580&lt;0.01," ",("-TEXT "&amp;L580/2+1&amp;",295 3.5 0 "&amp;"α="&amp;FIXED(G580,2)&amp;"° "))</f>
        <v> </v>
      </c>
      <c r="BI580" t="str">
        <f t="shared" ref="BI580:BI599" si="391">IF(G580&lt;0.01," ",("-TEXT "&amp;L580/2+1&amp;",290 3.5 0 "&amp;"T="&amp;FIXED(H580,2)&amp;" "))</f>
        <v> </v>
      </c>
      <c r="BJ580" t="str">
        <f t="shared" ref="BJ580:BJ599" si="392">IF(G580&lt;0.01," ",("-TEXT "&amp;L580/2+1&amp;",285 3.5 0 "&amp;"S="&amp;FIXED(I580,2)&amp;" "))</f>
        <v> </v>
      </c>
    </row>
    <row r="581" spans="1:62">
      <c r="A581">
        <v>1</v>
      </c>
      <c r="B581">
        <v>580</v>
      </c>
      <c r="C581" t="s">
        <v>548</v>
      </c>
      <c r="D581">
        <v>497162.8146</v>
      </c>
      <c r="E581">
        <v>3349154.2579</v>
      </c>
      <c r="F581">
        <v>60</v>
      </c>
      <c r="G581">
        <f t="shared" si="366"/>
        <v>16.523</v>
      </c>
      <c r="H581">
        <f t="shared" si="367"/>
        <v>8.71188227452795</v>
      </c>
      <c r="I581">
        <f t="shared" si="368"/>
        <v>17.3028451384214</v>
      </c>
      <c r="J581">
        <f t="shared" si="369"/>
        <v>295.341014332945</v>
      </c>
      <c r="K581" s="40">
        <f t="shared" si="370"/>
        <v>92984.0801714154</v>
      </c>
      <c r="L581" s="40">
        <f t="shared" si="371"/>
        <v>92992.7315939846</v>
      </c>
      <c r="M581" s="40">
        <f t="shared" si="372"/>
        <v>93001.3830165538</v>
      </c>
      <c r="N581">
        <v>440.684</v>
      </c>
      <c r="O581">
        <v>436.794</v>
      </c>
      <c r="P581">
        <v>0.001</v>
      </c>
      <c r="Q581" s="39">
        <f t="shared" si="373"/>
        <v>497155.224734173</v>
      </c>
      <c r="R581" s="39">
        <f t="shared" si="374"/>
        <v>3349158.53467793</v>
      </c>
      <c r="S581" s="39">
        <f t="shared" si="375"/>
        <v>497162.430165431</v>
      </c>
      <c r="T581" s="39">
        <f t="shared" si="376"/>
        <v>3349153.75982157</v>
      </c>
      <c r="U581" s="39">
        <f t="shared" si="377"/>
        <v>497168.874706439</v>
      </c>
      <c r="V581" s="39">
        <f t="shared" si="378"/>
        <v>3349147.99914591</v>
      </c>
      <c r="AI581" t="str">
        <f t="array" ref="AI581">IFERROR(INDEX($L$2:$L$789,SMALL(IF(ISNUMBER(FIND($AH$2,$C$2:$C$789)),ROW($2:$789)-1,4^8),ROW(A580)))&amp;"","")</f>
        <v/>
      </c>
      <c r="AS581" t="str">
        <f>"-text"&amp;" "&amp;D581&amp;","&amp;E581&amp;" "&amp;"10"&amp;" "&amp;"0"&amp;" "&amp;C581</f>
        <v>-text 497162.8146,3349154.2579 10 0 IP320</v>
      </c>
      <c r="AT581" t="str">
        <f t="shared" si="379"/>
        <v>497162.8146,3349154.2579</v>
      </c>
      <c r="AV581">
        <f t="shared" si="365"/>
        <v>441.894</v>
      </c>
      <c r="AX581" t="str">
        <f t="shared" si="380"/>
        <v>pl 46496.3657969923,279 46496.3657969923,400 </v>
      </c>
      <c r="AY581" t="str">
        <f t="shared" si="381"/>
        <v>46496.3657969923,436.794</v>
      </c>
      <c r="AZ581" t="str">
        <f t="shared" si="382"/>
        <v>46496.3657969923,440.684</v>
      </c>
      <c r="BA581" t="str">
        <f t="shared" si="383"/>
        <v>46496.3657969923,441.894</v>
      </c>
      <c r="BB581" t="str">
        <f t="shared" si="384"/>
        <v>-text 46495.3657969923,337 3.5 90 436.794 </v>
      </c>
      <c r="BC581" t="str">
        <f t="shared" si="385"/>
        <v>-text 46495.3657969923,320 3.5 90 441.894 </v>
      </c>
      <c r="BD581" t="str">
        <f t="shared" si="386"/>
        <v>-text 46495.3657969923,306 3.5 90 440.684 </v>
      </c>
      <c r="BE581" t="str">
        <f t="shared" si="387"/>
        <v>-text 46495.3657969923,352 3.5 90 ZG92+992.732 </v>
      </c>
      <c r="BF581" t="str">
        <f t="shared" si="388"/>
        <v>-text 46495.3657969923,280 3.5 90 IP320 </v>
      </c>
      <c r="BG581" t="str">
        <f t="shared" si="389"/>
        <v>-TEXT 46497.3657969923,300 3.5 0 R=60</v>
      </c>
      <c r="BH581" t="str">
        <f t="shared" si="390"/>
        <v>-TEXT 46497.3657969923,295 3.5 0 α=16.52° </v>
      </c>
      <c r="BI581" t="str">
        <f t="shared" si="391"/>
        <v>-TEXT 46497.3657969923,290 3.5 0 T=8.71 </v>
      </c>
      <c r="BJ581" t="str">
        <f t="shared" si="392"/>
        <v>-TEXT 46497.3657969923,285 3.5 0 S=17.30 </v>
      </c>
    </row>
    <row r="582" spans="1:62">
      <c r="A582">
        <v>1</v>
      </c>
      <c r="B582">
        <v>581</v>
      </c>
      <c r="C582" t="s">
        <v>549</v>
      </c>
      <c r="D582">
        <v>497442.4858</v>
      </c>
      <c r="E582">
        <v>3348865.4192</v>
      </c>
      <c r="F582">
        <v>60</v>
      </c>
      <c r="G582">
        <f t="shared" si="366"/>
        <v>20.209</v>
      </c>
      <c r="H582">
        <f t="shared" si="367"/>
        <v>10.6924897878873</v>
      </c>
      <c r="I582">
        <f t="shared" si="368"/>
        <v>21.162815312132</v>
      </c>
      <c r="J582">
        <f t="shared" si="369"/>
        <v>402.049468010177</v>
      </c>
      <c r="K582" s="40">
        <f t="shared" si="370"/>
        <v>93384.0281125016</v>
      </c>
      <c r="L582" s="40">
        <f t="shared" si="371"/>
        <v>93394.6095201576</v>
      </c>
      <c r="M582" s="40">
        <f t="shared" si="372"/>
        <v>93405.1909278137</v>
      </c>
      <c r="N582">
        <v>440.61</v>
      </c>
      <c r="O582">
        <v>436.721</v>
      </c>
      <c r="P582">
        <v>0.001</v>
      </c>
      <c r="Q582" s="39">
        <f t="shared" si="373"/>
        <v>497435.047955436</v>
      </c>
      <c r="R582" s="39">
        <f t="shared" si="374"/>
        <v>3348873.10085387</v>
      </c>
      <c r="S582" s="39">
        <f t="shared" si="375"/>
        <v>497443.039027204</v>
      </c>
      <c r="T582" s="39">
        <f t="shared" si="376"/>
        <v>3348866.18572919</v>
      </c>
      <c r="U582" s="39">
        <f t="shared" si="377"/>
        <v>497452.119391613</v>
      </c>
      <c r="V582" s="39">
        <f t="shared" si="378"/>
        <v>3348860.77988426</v>
      </c>
      <c r="AI582" t="str">
        <f t="array" ref="AI582">IFERROR(INDEX($L$2:$L$789,SMALL(IF(ISNUMBER(FIND($AH$2,$C$2:$C$789)),ROW($2:$789)-1,4^8),ROW(A581)))&amp;"","")</f>
        <v/>
      </c>
      <c r="AS582" t="str">
        <f>"-text"&amp;" "&amp;D582&amp;","&amp;E582&amp;" "&amp;"10"&amp;" "&amp;"0"&amp;" "&amp;C582</f>
        <v>-text 497442.4858,3348865.4192 10 0 IP321</v>
      </c>
      <c r="AT582" t="str">
        <f t="shared" si="379"/>
        <v>497442.4858,3348865.4192</v>
      </c>
      <c r="AV582">
        <f t="shared" si="365"/>
        <v>441.821</v>
      </c>
      <c r="AX582" t="str">
        <f t="shared" si="380"/>
        <v>pl 46697.3047600788,279 46697.3047600788,400 </v>
      </c>
      <c r="AY582" t="str">
        <f t="shared" si="381"/>
        <v>46697.3047600788,436.721</v>
      </c>
      <c r="AZ582" t="str">
        <f t="shared" si="382"/>
        <v>46697.3047600788,440.61</v>
      </c>
      <c r="BA582" t="str">
        <f t="shared" si="383"/>
        <v>46697.3047600788,441.821</v>
      </c>
      <c r="BB582" t="str">
        <f t="shared" si="384"/>
        <v>-text 46696.3047600788,337 3.5 90 436.721 </v>
      </c>
      <c r="BC582" t="str">
        <f t="shared" si="385"/>
        <v>-text 46696.3047600788,320 3.5 90 441.821 </v>
      </c>
      <c r="BD582" t="str">
        <f t="shared" si="386"/>
        <v>-text 46696.3047600788,306 3.5 90 440.610 </v>
      </c>
      <c r="BE582" t="str">
        <f t="shared" si="387"/>
        <v>-text 46696.3047600788,352 3.5 90 ZG93+394.610 </v>
      </c>
      <c r="BF582" t="str">
        <f t="shared" si="388"/>
        <v>-text 46696.3047600788,280 3.5 90 IP321 </v>
      </c>
      <c r="BG582" t="str">
        <f t="shared" si="389"/>
        <v>-TEXT 46698.3047600788,300 3.5 0 R=60</v>
      </c>
      <c r="BH582" t="str">
        <f t="shared" si="390"/>
        <v>-TEXT 46698.3047600788,295 3.5 0 α=20.21° </v>
      </c>
      <c r="BI582" t="str">
        <f t="shared" si="391"/>
        <v>-TEXT 46698.3047600788,290 3.5 0 T=10.69 </v>
      </c>
      <c r="BJ582" t="str">
        <f t="shared" si="392"/>
        <v>-TEXT 46698.3047600788,285 3.5 0 S=21.16 </v>
      </c>
    </row>
    <row r="583" spans="1:62">
      <c r="A583">
        <v>1</v>
      </c>
      <c r="B583">
        <v>582</v>
      </c>
      <c r="C583" t="s">
        <v>550</v>
      </c>
      <c r="D583">
        <v>497826.1005</v>
      </c>
      <c r="E583">
        <v>3348680.6792</v>
      </c>
      <c r="F583">
        <v>60</v>
      </c>
      <c r="G583">
        <f t="shared" si="366"/>
        <v>23.112</v>
      </c>
      <c r="H583">
        <f t="shared" si="367"/>
        <v>12.2682205968971</v>
      </c>
      <c r="I583">
        <f t="shared" si="368"/>
        <v>24.2028298032558</v>
      </c>
      <c r="J583">
        <f t="shared" si="369"/>
        <v>425.780583934945</v>
      </c>
      <c r="K583" s="40">
        <f t="shared" si="370"/>
        <v>93808.0108013639</v>
      </c>
      <c r="L583" s="40">
        <f t="shared" si="371"/>
        <v>93820.1122162655</v>
      </c>
      <c r="M583" s="40">
        <f t="shared" si="372"/>
        <v>93832.2136311671</v>
      </c>
      <c r="N583">
        <v>440.532</v>
      </c>
      <c r="O583">
        <v>436.643</v>
      </c>
      <c r="P583">
        <v>0.001</v>
      </c>
      <c r="Q583" s="39">
        <f t="shared" si="373"/>
        <v>497815.047225282</v>
      </c>
      <c r="R583" s="39">
        <f t="shared" si="374"/>
        <v>3348686.00220241</v>
      </c>
      <c r="S583" s="39">
        <f t="shared" si="375"/>
        <v>497826.404152039</v>
      </c>
      <c r="T583" s="39">
        <f t="shared" si="376"/>
        <v>3348681.88291597</v>
      </c>
      <c r="U583" s="39">
        <f t="shared" si="377"/>
        <v>497838.356072444</v>
      </c>
      <c r="V583" s="39">
        <f t="shared" si="378"/>
        <v>3348680.12226133</v>
      </c>
      <c r="AI583" t="str">
        <f t="array" ref="AI583">IFERROR(INDEX($L$2:$L$789,SMALL(IF(ISNUMBER(FIND($AH$2,$C$2:$C$789)),ROW($2:$789)-1,4^8),ROW(A582)))&amp;"","")</f>
        <v/>
      </c>
      <c r="AS583" t="str">
        <f>"-text"&amp;" "&amp;D583&amp;","&amp;E583&amp;" "&amp;"10"&amp;" "&amp;"0"&amp;" "&amp;C583</f>
        <v>-text 497826.1005,3348680.6792 10 0 IP322</v>
      </c>
      <c r="AT583" t="str">
        <f t="shared" si="379"/>
        <v>497826.1005,3348680.6792</v>
      </c>
      <c r="AV583">
        <f t="shared" si="365"/>
        <v>441.743</v>
      </c>
      <c r="AX583" t="str">
        <f t="shared" si="380"/>
        <v>pl 46910.0561081327,279 46910.0561081327,400 </v>
      </c>
      <c r="AY583" t="str">
        <f t="shared" si="381"/>
        <v>46910.0561081327,436.643</v>
      </c>
      <c r="AZ583" t="str">
        <f t="shared" si="382"/>
        <v>46910.0561081327,440.532</v>
      </c>
      <c r="BA583" t="str">
        <f t="shared" si="383"/>
        <v>46910.0561081327,441.743</v>
      </c>
      <c r="BB583" t="str">
        <f t="shared" si="384"/>
        <v>-text 46909.0561081327,337 3.5 90 436.643 </v>
      </c>
      <c r="BC583" t="str">
        <f t="shared" si="385"/>
        <v>-text 46909.0561081327,320 3.5 90 441.743 </v>
      </c>
      <c r="BD583" t="str">
        <f t="shared" si="386"/>
        <v>-text 46909.0561081327,306 3.5 90 440.532 </v>
      </c>
      <c r="BE583" t="str">
        <f t="shared" si="387"/>
        <v>-text 46909.0561081327,352 3.5 90 ZG93+820.112 </v>
      </c>
      <c r="BF583" t="str">
        <f t="shared" si="388"/>
        <v>-text 46909.0561081327,280 3.5 90 IP322 </v>
      </c>
      <c r="BG583" t="str">
        <f t="shared" si="389"/>
        <v>-TEXT 46911.0561081327,300 3.5 0 R=60</v>
      </c>
      <c r="BH583" t="str">
        <f t="shared" si="390"/>
        <v>-TEXT 46911.0561081327,295 3.5 0 α=23.11° </v>
      </c>
      <c r="BI583" t="str">
        <f t="shared" si="391"/>
        <v>-TEXT 46911.0561081327,290 3.5 0 T=12.27 </v>
      </c>
      <c r="BJ583" t="str">
        <f t="shared" si="392"/>
        <v>-TEXT 46911.0561081327,285 3.5 0 S=24.20 </v>
      </c>
    </row>
    <row r="584" spans="1:62">
      <c r="A584">
        <v>1</v>
      </c>
      <c r="B584">
        <v>583</v>
      </c>
      <c r="C584" t="s">
        <v>551</v>
      </c>
      <c r="D584">
        <v>498380.2322</v>
      </c>
      <c r="E584">
        <v>3348655.4974</v>
      </c>
      <c r="F584">
        <v>60</v>
      </c>
      <c r="G584">
        <f t="shared" ref="G584:G630" si="393">ROUND(IF((2*SQRT((D583-D584)^2+(E583-E584)^2)*SQRT((D585-D584)^2+(E585-E584)^2))=0,0,180-ACOS(((D583-D584)^2+(E583-E584)^2+(D585-D584)^2+(E585-E584)^2-(D585-D583)^2-(E585-E583)^2)/(2*SQRT((D583-D584)^2+(E583-E584)^2)*SQRT((D585-D584)^2+(E585-E584)^2)))/PI()*180),3)</f>
        <v>30.887</v>
      </c>
      <c r="H584">
        <f t="shared" si="367"/>
        <v>16.5757729384107</v>
      </c>
      <c r="I584">
        <f t="shared" si="368"/>
        <v>32.3447907638093</v>
      </c>
      <c r="J584">
        <f t="shared" si="369"/>
        <v>554.703582101428</v>
      </c>
      <c r="K584" s="40">
        <f t="shared" si="370"/>
        <v>94358.0732197332</v>
      </c>
      <c r="L584" s="40">
        <f t="shared" si="371"/>
        <v>94374.2456151151</v>
      </c>
      <c r="M584" s="40">
        <f t="shared" si="372"/>
        <v>94390.418010497</v>
      </c>
      <c r="N584">
        <v>440.43</v>
      </c>
      <c r="O584">
        <v>436.541</v>
      </c>
      <c r="P584">
        <v>0.001</v>
      </c>
      <c r="Q584" s="39">
        <f t="shared" si="373"/>
        <v>498363.673516167</v>
      </c>
      <c r="R584" s="39">
        <f t="shared" si="374"/>
        <v>3348656.24988802</v>
      </c>
      <c r="S584" s="39">
        <f t="shared" si="375"/>
        <v>498379.535992202</v>
      </c>
      <c r="T584" s="39">
        <f t="shared" si="376"/>
        <v>3348653.36043714</v>
      </c>
      <c r="U584" s="39">
        <f t="shared" si="377"/>
        <v>498394.056327879</v>
      </c>
      <c r="V584" s="39">
        <f t="shared" si="378"/>
        <v>3348646.35137699</v>
      </c>
      <c r="AI584" t="str">
        <f t="array" ref="AI584">IFERROR(INDEX($L$2:$L$789,SMALL(IF(ISNUMBER(FIND($AH$2,$C$2:$C$789)),ROW($2:$789)-1,4^8),ROW(A583)))&amp;"","")</f>
        <v/>
      </c>
      <c r="AS584" t="str">
        <f>"-text"&amp;" "&amp;D584&amp;","&amp;E584&amp;" "&amp;"10"&amp;" "&amp;"0"&amp;" "&amp;C584</f>
        <v>-text 498380.2322,3348655.4974 10 0 IP323</v>
      </c>
      <c r="AT584" t="str">
        <f t="shared" si="379"/>
        <v>498380.2322,3348655.4974</v>
      </c>
      <c r="AV584">
        <f t="shared" si="365"/>
        <v>441.641</v>
      </c>
      <c r="AX584" t="str">
        <f t="shared" si="380"/>
        <v>pl 47187.1228075576,279 47187.1228075576,400 </v>
      </c>
      <c r="AY584" t="str">
        <f t="shared" si="381"/>
        <v>47187.1228075576,436.541</v>
      </c>
      <c r="AZ584" t="str">
        <f t="shared" si="382"/>
        <v>47187.1228075576,440.43</v>
      </c>
      <c r="BA584" t="str">
        <f t="shared" si="383"/>
        <v>47187.1228075576,441.641</v>
      </c>
      <c r="BB584" t="str">
        <f t="shared" si="384"/>
        <v>-text 47186.1228075576,337 3.5 90 436.541 </v>
      </c>
      <c r="BC584" t="str">
        <f t="shared" si="385"/>
        <v>-text 47186.1228075576,320 3.5 90 441.641 </v>
      </c>
      <c r="BD584" t="str">
        <f t="shared" si="386"/>
        <v>-text 47186.1228075576,306 3.5 90 440.430 </v>
      </c>
      <c r="BE584" t="str">
        <f t="shared" si="387"/>
        <v>-text 47186.1228075576,352 3.5 90 ZG94+374.246 </v>
      </c>
      <c r="BF584" t="str">
        <f t="shared" si="388"/>
        <v>-text 47186.1228075576,280 3.5 90 IP323 </v>
      </c>
      <c r="BG584" t="str">
        <f t="shared" si="389"/>
        <v>-TEXT 47188.1228075576,300 3.5 0 R=60</v>
      </c>
      <c r="BH584" t="str">
        <f t="shared" si="390"/>
        <v>-TEXT 47188.1228075576,295 3.5 0 α=30.89° </v>
      </c>
      <c r="BI584" t="str">
        <f t="shared" si="391"/>
        <v>-TEXT 47188.1228075576,290 3.5 0 T=16.58 </v>
      </c>
      <c r="BJ584" t="str">
        <f t="shared" si="392"/>
        <v>-TEXT 47188.1228075576,285 3.5 0 S=32.34 </v>
      </c>
    </row>
    <row r="585" spans="1:62">
      <c r="A585">
        <v>1</v>
      </c>
      <c r="B585">
        <v>584</v>
      </c>
      <c r="C585" t="s">
        <v>552</v>
      </c>
      <c r="D585">
        <v>498713.1832</v>
      </c>
      <c r="E585">
        <v>3348435.2175</v>
      </c>
      <c r="F585">
        <v>60</v>
      </c>
      <c r="G585">
        <f t="shared" si="393"/>
        <v>14.922</v>
      </c>
      <c r="H585">
        <f t="shared" si="367"/>
        <v>7.85760500067568</v>
      </c>
      <c r="I585">
        <f t="shared" si="368"/>
        <v>15.6262818589556</v>
      </c>
      <c r="J585">
        <f t="shared" si="369"/>
        <v>399.223750226863</v>
      </c>
      <c r="K585" s="40">
        <f t="shared" si="370"/>
        <v>94765.2083827848</v>
      </c>
      <c r="L585" s="40">
        <f t="shared" si="371"/>
        <v>94773.0215237143</v>
      </c>
      <c r="M585" s="40">
        <f t="shared" si="372"/>
        <v>94780.8346646438</v>
      </c>
      <c r="N585">
        <v>440.356</v>
      </c>
      <c r="O585">
        <v>436.467</v>
      </c>
      <c r="P585">
        <v>0.001</v>
      </c>
      <c r="Q585" s="39">
        <f t="shared" si="373"/>
        <v>498706.629989072</v>
      </c>
      <c r="R585" s="39">
        <f t="shared" si="374"/>
        <v>3348439.55309487</v>
      </c>
      <c r="S585" s="39">
        <f t="shared" si="375"/>
        <v>498713.408010314</v>
      </c>
      <c r="T585" s="39">
        <f t="shared" si="376"/>
        <v>3348435.6778659</v>
      </c>
      <c r="U585" s="39">
        <f t="shared" si="377"/>
        <v>498720.631845462</v>
      </c>
      <c r="V585" s="39">
        <f t="shared" si="378"/>
        <v>3348432.71557332</v>
      </c>
      <c r="AI585" t="str">
        <f t="array" ref="AI585">IFERROR(INDEX($L$2:$L$789,SMALL(IF(ISNUMBER(FIND($AH$2,$C$2:$C$789)),ROW($2:$789)-1,4^8),ROW(A584)))&amp;"","")</f>
        <v/>
      </c>
      <c r="AS585" t="str">
        <f>"-text"&amp;" "&amp;D585&amp;","&amp;E585&amp;" "&amp;"10"&amp;" "&amp;"0"&amp;" "&amp;C585</f>
        <v>-text 498713.1832,3348435.2175 10 0 IP324</v>
      </c>
      <c r="AT585" t="str">
        <f t="shared" si="379"/>
        <v>498713.1832,3348435.2175</v>
      </c>
      <c r="AV585">
        <f t="shared" si="365"/>
        <v>441.567</v>
      </c>
      <c r="AX585" t="str">
        <f t="shared" si="380"/>
        <v>pl 47386.5107618571,279 47386.5107618571,400 </v>
      </c>
      <c r="AY585" t="str">
        <f t="shared" si="381"/>
        <v>47386.5107618571,436.467</v>
      </c>
      <c r="AZ585" t="str">
        <f t="shared" si="382"/>
        <v>47386.5107618571,440.356</v>
      </c>
      <c r="BA585" t="str">
        <f t="shared" si="383"/>
        <v>47386.5107618571,441.567</v>
      </c>
      <c r="BB585" t="str">
        <f t="shared" si="384"/>
        <v>-text 47385.5107618571,337 3.5 90 436.467 </v>
      </c>
      <c r="BC585" t="str">
        <f t="shared" si="385"/>
        <v>-text 47385.5107618571,320 3.5 90 441.567 </v>
      </c>
      <c r="BD585" t="str">
        <f t="shared" si="386"/>
        <v>-text 47385.5107618571,306 3.5 90 440.356 </v>
      </c>
      <c r="BE585" t="str">
        <f t="shared" si="387"/>
        <v>-text 47385.5107618571,352 3.5 90 ZG94+773.022 </v>
      </c>
      <c r="BF585" t="str">
        <f t="shared" si="388"/>
        <v>-text 47385.5107618571,280 3.5 90 IP324 </v>
      </c>
      <c r="BG585" t="str">
        <f t="shared" si="389"/>
        <v>-TEXT 47387.5107618571,300 3.5 0 R=60</v>
      </c>
      <c r="BH585" t="str">
        <f t="shared" si="390"/>
        <v>-TEXT 47387.5107618571,295 3.5 0 α=14.92° </v>
      </c>
      <c r="BI585" t="str">
        <f t="shared" si="391"/>
        <v>-TEXT 47387.5107618571,290 3.5 0 T=7.86 </v>
      </c>
      <c r="BJ585" t="str">
        <f t="shared" si="392"/>
        <v>-TEXT 47387.5107618571,285 3.5 0 S=15.63 </v>
      </c>
    </row>
    <row r="586" spans="1:62">
      <c r="A586">
        <v>1</v>
      </c>
      <c r="B586">
        <v>585</v>
      </c>
      <c r="C586" t="str">
        <f>Sheet1!C533</f>
        <v>龙泉寺隧出</v>
      </c>
      <c r="D586">
        <v>498795.7727</v>
      </c>
      <c r="E586">
        <v>3348407.4765</v>
      </c>
      <c r="F586">
        <v>0</v>
      </c>
      <c r="G586">
        <f t="shared" si="393"/>
        <v>0</v>
      </c>
      <c r="H586">
        <f t="shared" si="367"/>
        <v>0</v>
      </c>
      <c r="I586">
        <f t="shared" si="368"/>
        <v>0</v>
      </c>
      <c r="J586">
        <f t="shared" si="369"/>
        <v>87.1239840183881</v>
      </c>
      <c r="K586" s="40">
        <f t="shared" si="370"/>
        <v>94860.1010436615</v>
      </c>
      <c r="L586" s="40">
        <f t="shared" si="371"/>
        <v>94860.1010436615</v>
      </c>
      <c r="M586" s="40">
        <f t="shared" si="372"/>
        <v>94860.1010436615</v>
      </c>
      <c r="N586">
        <v>440.34</v>
      </c>
      <c r="O586">
        <v>436.451</v>
      </c>
      <c r="P586">
        <v>0</v>
      </c>
      <c r="Q586" s="39">
        <f t="shared" si="373"/>
        <v>498795.7727</v>
      </c>
      <c r="R586" s="39">
        <f t="shared" si="374"/>
        <v>3348407.4765</v>
      </c>
      <c r="S586" s="39" t="str">
        <f t="shared" si="375"/>
        <v> </v>
      </c>
      <c r="T586" s="39" t="str">
        <f t="shared" si="376"/>
        <v> </v>
      </c>
      <c r="U586" s="39" t="str">
        <f t="shared" si="377"/>
        <v> </v>
      </c>
      <c r="V586" s="39" t="str">
        <f t="shared" si="378"/>
        <v> </v>
      </c>
      <c r="AI586" t="str">
        <f t="array" ref="AI586">IFERROR(INDEX($L$2:$L$789,SMALL(IF(ISNUMBER(FIND($AH$2,$C$2:$C$789)),ROW($2:$789)-1,4^8),ROW(A585)))&amp;"","")</f>
        <v/>
      </c>
      <c r="AT586" t="str">
        <f t="shared" si="379"/>
        <v>498795.7727,3348407.4765</v>
      </c>
      <c r="AV586">
        <f t="shared" si="365"/>
        <v>441.551</v>
      </c>
      <c r="AX586" t="str">
        <f t="shared" si="380"/>
        <v>pl 47430.0505218307,279 47430.0505218307,400 </v>
      </c>
      <c r="AY586" t="str">
        <f t="shared" si="381"/>
        <v>47430.0505218307,436.451</v>
      </c>
      <c r="AZ586" t="str">
        <f t="shared" si="382"/>
        <v>47430.0505218307,440.34</v>
      </c>
      <c r="BA586" t="str">
        <f t="shared" si="383"/>
        <v>47430.0505218307,441.551</v>
      </c>
      <c r="BB586" t="str">
        <f t="shared" si="384"/>
        <v>-text 47429.0505218307,337 3.5 90 436.451 </v>
      </c>
      <c r="BC586" t="str">
        <f t="shared" si="385"/>
        <v>-text 47429.0505218307,320 3.5 90 441.551 </v>
      </c>
      <c r="BD586" t="str">
        <f t="shared" si="386"/>
        <v>-text 47429.0505218307,306 3.5 90 440.340 </v>
      </c>
      <c r="BE586" t="str">
        <f t="shared" si="387"/>
        <v>-text 47429.0505218307,352 3.5 90 ZG94+860.101 </v>
      </c>
      <c r="BF586" t="str">
        <f t="shared" si="388"/>
        <v>-text 47429.0505218307,280 3.5 90 龙泉寺隧出 </v>
      </c>
      <c r="BG586" t="str">
        <f t="shared" si="389"/>
        <v/>
      </c>
      <c r="BH586" t="str">
        <f t="shared" si="390"/>
        <v> </v>
      </c>
      <c r="BI586" t="str">
        <f t="shared" si="391"/>
        <v> </v>
      </c>
      <c r="BJ586" t="str">
        <f t="shared" si="392"/>
        <v> </v>
      </c>
    </row>
    <row r="587" spans="1:62">
      <c r="A587">
        <v>0</v>
      </c>
      <c r="B587">
        <v>586</v>
      </c>
      <c r="C587" t="s">
        <v>554</v>
      </c>
      <c r="D587">
        <v>498851.3025</v>
      </c>
      <c r="E587">
        <v>3348388.8246</v>
      </c>
      <c r="F587">
        <v>60</v>
      </c>
      <c r="G587">
        <f t="shared" si="393"/>
        <v>24.497</v>
      </c>
      <c r="H587">
        <f t="shared" si="367"/>
        <v>13.0256321758608</v>
      </c>
      <c r="I587">
        <f t="shared" si="368"/>
        <v>25.6531984116631</v>
      </c>
      <c r="J587">
        <f t="shared" si="369"/>
        <v>58.5785973001212</v>
      </c>
      <c r="K587" s="40">
        <f t="shared" si="370"/>
        <v>94905.6540087857</v>
      </c>
      <c r="L587" s="40">
        <f t="shared" si="371"/>
        <v>94918.4806079915</v>
      </c>
      <c r="M587" s="40">
        <f t="shared" si="372"/>
        <v>94931.3072071974</v>
      </c>
      <c r="N587">
        <v>440.332</v>
      </c>
      <c r="O587">
        <v>436.417</v>
      </c>
      <c r="P587">
        <v>0.001</v>
      </c>
      <c r="Q587" s="39">
        <f t="shared" si="373"/>
        <v>498838.954803351</v>
      </c>
      <c r="R587" s="39">
        <f t="shared" si="374"/>
        <v>3348392.97206682</v>
      </c>
      <c r="S587" s="39">
        <f t="shared" si="375"/>
        <v>498850.5865442</v>
      </c>
      <c r="T587" s="39">
        <f t="shared" si="376"/>
        <v>3348387.62429562</v>
      </c>
      <c r="U587" s="39">
        <f t="shared" si="377"/>
        <v>498860.81896854</v>
      </c>
      <c r="V587" s="39">
        <f t="shared" si="378"/>
        <v>3348379.93056154</v>
      </c>
      <c r="AI587" t="str">
        <f t="array" ref="AI587">IFERROR(INDEX($L$2:$L$789,SMALL(IF(ISNUMBER(FIND($AH$2,$C$2:$C$789)),ROW($2:$789)-1,4^8),ROW(A586)))&amp;"","")</f>
        <v/>
      </c>
      <c r="AS587" t="str">
        <f>"-text"&amp;" "&amp;D587&amp;","&amp;E587&amp;" "&amp;"10"&amp;" "&amp;"0"&amp;" "&amp;C587</f>
        <v>-text 498851.3025,3348388.8246 10 0 IP325</v>
      </c>
      <c r="AT587" t="str">
        <f t="shared" si="379"/>
        <v>498851.3025,3348388.8246</v>
      </c>
      <c r="AV587">
        <f t="shared" si="365"/>
        <v>441.817</v>
      </c>
      <c r="AX587" t="str">
        <f t="shared" si="380"/>
        <v>pl 47459.2403039958,279 47459.2403039958,400 </v>
      </c>
      <c r="AY587" t="str">
        <f t="shared" si="381"/>
        <v>47459.2403039958,436.417</v>
      </c>
      <c r="AZ587" t="str">
        <f t="shared" si="382"/>
        <v>47459.2403039958,440.332</v>
      </c>
      <c r="BA587" t="str">
        <f t="shared" si="383"/>
        <v>47459.2403039958,441.817</v>
      </c>
      <c r="BB587" t="str">
        <f t="shared" si="384"/>
        <v>-text 47458.2403039958,337 3.5 90 436.417 </v>
      </c>
      <c r="BC587" t="str">
        <f t="shared" si="385"/>
        <v>-text 47458.2403039958,320 3.5 90 441.817 </v>
      </c>
      <c r="BD587" t="str">
        <f t="shared" si="386"/>
        <v>-text 47458.2403039958,306 3.5 90 440.332 </v>
      </c>
      <c r="BE587" t="str">
        <f t="shared" si="387"/>
        <v>-text 47458.2403039958,352 3.5 90 ZG94+918.481 </v>
      </c>
      <c r="BF587" t="str">
        <f t="shared" si="388"/>
        <v>-text 47458.2403039958,280 3.5 90 IP325 </v>
      </c>
      <c r="BG587" t="str">
        <f t="shared" si="389"/>
        <v>-TEXT 47460.2403039958,300 3.5 0 R=60</v>
      </c>
      <c r="BH587" t="str">
        <f t="shared" si="390"/>
        <v>-TEXT 47460.2403039958,295 3.5 0 α=24.50° </v>
      </c>
      <c r="BI587" t="str">
        <f t="shared" si="391"/>
        <v>-TEXT 47460.2403039958,290 3.5 0 T=13.03 </v>
      </c>
      <c r="BJ587" t="str">
        <f t="shared" si="392"/>
        <v>-TEXT 47460.2403039958,285 3.5 0 S=25.65 </v>
      </c>
    </row>
    <row r="588" spans="1:62">
      <c r="A588">
        <v>0</v>
      </c>
      <c r="B588">
        <v>587</v>
      </c>
      <c r="C588" t="s">
        <v>555</v>
      </c>
      <c r="D588">
        <v>498916.6532</v>
      </c>
      <c r="E588">
        <v>3348327.7482</v>
      </c>
      <c r="F588">
        <v>60</v>
      </c>
      <c r="G588">
        <f t="shared" si="393"/>
        <v>11.692</v>
      </c>
      <c r="H588">
        <f t="shared" si="367"/>
        <v>6.14324983303504</v>
      </c>
      <c r="I588">
        <f t="shared" si="368"/>
        <v>12.2438337685906</v>
      </c>
      <c r="J588">
        <f t="shared" si="369"/>
        <v>89.4485361952221</v>
      </c>
      <c r="K588" s="40">
        <f t="shared" si="370"/>
        <v>95001.5868613837</v>
      </c>
      <c r="L588" s="40">
        <f t="shared" si="371"/>
        <v>95007.708778268</v>
      </c>
      <c r="M588" s="40">
        <f t="shared" si="372"/>
        <v>95013.8306951523</v>
      </c>
      <c r="N588">
        <v>440.315</v>
      </c>
      <c r="O588">
        <v>436.4</v>
      </c>
      <c r="P588">
        <v>0</v>
      </c>
      <c r="Q588" s="39">
        <f t="shared" si="373"/>
        <v>498912.164969181</v>
      </c>
      <c r="R588" s="39">
        <f t="shared" si="374"/>
        <v>3348331.94287551</v>
      </c>
      <c r="S588" s="39">
        <f t="shared" si="375"/>
        <v>498916.416798478</v>
      </c>
      <c r="T588" s="39">
        <f t="shared" si="376"/>
        <v>3348327.54204264</v>
      </c>
      <c r="U588" s="39">
        <f t="shared" si="377"/>
        <v>498920.198283658</v>
      </c>
      <c r="V588" s="39">
        <f t="shared" si="378"/>
        <v>3348322.73103941</v>
      </c>
      <c r="AI588" t="str">
        <f t="array" ref="AI588">IFERROR(INDEX($L$2:$L$789,SMALL(IF(ISNUMBER(FIND($AH$2,$C$2:$C$789)),ROW($2:$789)-1,4^8),ROW(A587)))&amp;"","")</f>
        <v/>
      </c>
      <c r="AS588" t="str">
        <f>"-text"&amp;" "&amp;D588&amp;","&amp;E588&amp;" "&amp;"10"&amp;" "&amp;"0"&amp;" "&amp;C588</f>
        <v>-text 498916.6532,3348327.7482 10 0 IP326</v>
      </c>
      <c r="AT588" t="str">
        <f t="shared" si="379"/>
        <v>498916.6532,3348327.7482</v>
      </c>
      <c r="AV588">
        <f t="shared" si="365"/>
        <v>441.8</v>
      </c>
      <c r="AX588" t="str">
        <f t="shared" si="380"/>
        <v>pl 47503.854389134,279 47503.854389134,400 </v>
      </c>
      <c r="AY588" t="str">
        <f t="shared" si="381"/>
        <v>47503.854389134,436.4</v>
      </c>
      <c r="AZ588" t="str">
        <f t="shared" si="382"/>
        <v>47503.854389134,440.315</v>
      </c>
      <c r="BA588" t="str">
        <f t="shared" si="383"/>
        <v>47503.854389134,441.8</v>
      </c>
      <c r="BB588" t="str">
        <f t="shared" si="384"/>
        <v>-text 47502.854389134,337 3.5 90 436.400 </v>
      </c>
      <c r="BC588" t="str">
        <f t="shared" si="385"/>
        <v>-text 47502.854389134,320 3.5 90 441.800 </v>
      </c>
      <c r="BD588" t="str">
        <f t="shared" si="386"/>
        <v>-text 47502.854389134,306 3.5 90 440.315 </v>
      </c>
      <c r="BE588" t="str">
        <f t="shared" si="387"/>
        <v>-text 47502.854389134,352 3.5 90 ZG95+007.709 </v>
      </c>
      <c r="BF588" t="str">
        <f t="shared" si="388"/>
        <v>-text 47502.854389134,280 3.5 90 IP326 </v>
      </c>
      <c r="BG588" t="str">
        <f t="shared" si="389"/>
        <v>-TEXT 47504.854389134,300 3.5 0 R=60</v>
      </c>
      <c r="BH588" t="str">
        <f t="shared" si="390"/>
        <v>-TEXT 47504.854389134,295 3.5 0 α=11.69° </v>
      </c>
      <c r="BI588" t="str">
        <f t="shared" si="391"/>
        <v>-TEXT 47504.854389134,290 3.5 0 T=6.14 </v>
      </c>
      <c r="BJ588" t="str">
        <f t="shared" si="392"/>
        <v>-TEXT 47504.854389134,285 3.5 0 S=12.24 </v>
      </c>
    </row>
    <row r="589" spans="1:62">
      <c r="A589">
        <v>2</v>
      </c>
      <c r="B589">
        <v>588</v>
      </c>
      <c r="C589" t="str">
        <f>Sheet1!C536</f>
        <v>陈家湾渡槽进</v>
      </c>
      <c r="D589">
        <v>498933.0498</v>
      </c>
      <c r="E589">
        <v>3348304.543</v>
      </c>
      <c r="F589">
        <v>0</v>
      </c>
      <c r="G589">
        <f t="shared" si="393"/>
        <v>0</v>
      </c>
      <c r="H589">
        <f t="shared" si="367"/>
        <v>0</v>
      </c>
      <c r="I589">
        <f t="shared" si="368"/>
        <v>0</v>
      </c>
      <c r="J589">
        <f t="shared" si="369"/>
        <v>28.4135495597959</v>
      </c>
      <c r="K589" s="40">
        <f t="shared" si="370"/>
        <v>95036.100994879</v>
      </c>
      <c r="L589" s="40">
        <f t="shared" si="371"/>
        <v>95036.100994879</v>
      </c>
      <c r="M589" s="40">
        <f t="shared" si="372"/>
        <v>95036.100994879</v>
      </c>
      <c r="N589">
        <v>440.266</v>
      </c>
      <c r="O589">
        <v>436.719</v>
      </c>
      <c r="P589">
        <v>0</v>
      </c>
      <c r="Q589" s="39">
        <f t="shared" si="373"/>
        <v>498933.0498</v>
      </c>
      <c r="R589" s="39">
        <f t="shared" si="374"/>
        <v>3348304.543</v>
      </c>
      <c r="S589" s="39" t="str">
        <f t="shared" si="375"/>
        <v> </v>
      </c>
      <c r="T589" s="39" t="str">
        <f t="shared" si="376"/>
        <v> </v>
      </c>
      <c r="U589" s="39" t="str">
        <f t="shared" si="377"/>
        <v> </v>
      </c>
      <c r="V589" s="39" t="str">
        <f t="shared" si="378"/>
        <v> </v>
      </c>
      <c r="AI589" t="str">
        <f t="array" ref="AI589">IFERROR(INDEX($L$2:$L$789,SMALL(IF(ISNUMBER(FIND($AH$2,$C$2:$C$789)),ROW($2:$789)-1,4^8),ROW(A588)))&amp;"","")</f>
        <v/>
      </c>
      <c r="AT589" t="str">
        <f t="shared" si="379"/>
        <v>498933.0498,3348304.543</v>
      </c>
      <c r="AV589">
        <f t="shared" si="365"/>
        <v>440.969</v>
      </c>
      <c r="AX589" t="str">
        <f t="shared" si="380"/>
        <v>pl 47518.0504974395,279 47518.0504974395,400 </v>
      </c>
      <c r="AY589" t="str">
        <f t="shared" si="381"/>
        <v>47518.0504974395,436.719</v>
      </c>
      <c r="AZ589" t="str">
        <f t="shared" si="382"/>
        <v>47518.0504974395,440.266</v>
      </c>
      <c r="BA589" t="str">
        <f t="shared" si="383"/>
        <v>47518.0504974395,440.969</v>
      </c>
      <c r="BB589" t="str">
        <f t="shared" si="384"/>
        <v>-text 47517.0504974395,337 3.5 90 436.719 </v>
      </c>
      <c r="BC589" t="str">
        <f t="shared" si="385"/>
        <v>-text 47517.0504974395,320 3.5 90 440.969 </v>
      </c>
      <c r="BD589" t="str">
        <f t="shared" si="386"/>
        <v>-text 47517.0504974395,306 3.5 90 440.266 </v>
      </c>
      <c r="BE589" t="str">
        <f t="shared" si="387"/>
        <v>-text 47517.0504974395,352 3.5 90 ZG95+036.101 </v>
      </c>
      <c r="BF589" t="str">
        <f t="shared" si="388"/>
        <v>-text 47517.0504974395,280 3.5 90 陈家湾渡槽进 </v>
      </c>
      <c r="BG589" t="str">
        <f t="shared" si="389"/>
        <v/>
      </c>
      <c r="BH589" t="str">
        <f t="shared" si="390"/>
        <v> </v>
      </c>
      <c r="BI589" t="str">
        <f t="shared" si="391"/>
        <v> </v>
      </c>
      <c r="BJ589" t="str">
        <f t="shared" si="392"/>
        <v> </v>
      </c>
    </row>
    <row r="590" spans="1:62">
      <c r="A590">
        <v>2</v>
      </c>
      <c r="B590">
        <v>589</v>
      </c>
      <c r="C590" t="str">
        <f>Sheet1!C537</f>
        <v>陈家湾渡槽出</v>
      </c>
      <c r="D590">
        <v>499075.0091</v>
      </c>
      <c r="E590">
        <v>3348103.6361</v>
      </c>
      <c r="F590">
        <v>0</v>
      </c>
      <c r="G590">
        <f t="shared" si="393"/>
        <v>0</v>
      </c>
      <c r="H590">
        <f t="shared" si="367"/>
        <v>0</v>
      </c>
      <c r="I590">
        <f t="shared" si="368"/>
        <v>0</v>
      </c>
      <c r="J590">
        <f t="shared" si="369"/>
        <v>246.000051472008</v>
      </c>
      <c r="K590" s="40">
        <f t="shared" si="370"/>
        <v>95282.101046351</v>
      </c>
      <c r="L590" s="40">
        <f t="shared" si="371"/>
        <v>95282.101046351</v>
      </c>
      <c r="M590" s="40">
        <f t="shared" si="372"/>
        <v>95282.101046351</v>
      </c>
      <c r="N590">
        <v>440.195</v>
      </c>
      <c r="O590">
        <v>436.648</v>
      </c>
      <c r="P590">
        <v>0</v>
      </c>
      <c r="Q590" s="39">
        <f t="shared" si="373"/>
        <v>499075.0091</v>
      </c>
      <c r="R590" s="39">
        <f t="shared" si="374"/>
        <v>3348103.6361</v>
      </c>
      <c r="S590" s="39" t="str">
        <f t="shared" si="375"/>
        <v> </v>
      </c>
      <c r="T590" s="39" t="str">
        <f t="shared" si="376"/>
        <v> </v>
      </c>
      <c r="U590" s="39" t="str">
        <f t="shared" si="377"/>
        <v> </v>
      </c>
      <c r="V590" s="39" t="str">
        <f t="shared" si="378"/>
        <v> </v>
      </c>
      <c r="AI590" t="str">
        <f t="array" ref="AI590">IFERROR(INDEX($L$2:$L$789,SMALL(IF(ISNUMBER(FIND($AH$2,$C$2:$C$789)),ROW($2:$789)-1,4^8),ROW(A589)))&amp;"","")</f>
        <v/>
      </c>
      <c r="AT590" t="str">
        <f t="shared" si="379"/>
        <v>499075.0091,3348103.6361</v>
      </c>
      <c r="AV590">
        <f t="shared" si="365"/>
        <v>440.898</v>
      </c>
      <c r="AX590" t="str">
        <f t="shared" si="380"/>
        <v>pl 47641.0505231755,279 47641.0505231755,400 </v>
      </c>
      <c r="AY590" t="str">
        <f t="shared" si="381"/>
        <v>47641.0505231755,436.648</v>
      </c>
      <c r="AZ590" t="str">
        <f t="shared" si="382"/>
        <v>47641.0505231755,440.195</v>
      </c>
      <c r="BA590" t="str">
        <f t="shared" si="383"/>
        <v>47641.0505231755,440.898</v>
      </c>
      <c r="BB590" t="str">
        <f t="shared" si="384"/>
        <v>-text 47640.0505231755,337 3.5 90 436.648 </v>
      </c>
      <c r="BC590" t="str">
        <f t="shared" si="385"/>
        <v>-text 47640.0505231755,320 3.5 90 440.898 </v>
      </c>
      <c r="BD590" t="str">
        <f t="shared" si="386"/>
        <v>-text 47640.0505231755,306 3.5 90 440.195 </v>
      </c>
      <c r="BE590" t="str">
        <f t="shared" si="387"/>
        <v>-text 47640.0505231755,352 3.5 90 ZG95+282.101 </v>
      </c>
      <c r="BF590" t="str">
        <f t="shared" si="388"/>
        <v>-text 47640.0505231755,280 3.5 90 陈家湾渡槽出 </v>
      </c>
      <c r="BG590" t="str">
        <f t="shared" si="389"/>
        <v/>
      </c>
      <c r="BH590" t="str">
        <f t="shared" si="390"/>
        <v> </v>
      </c>
      <c r="BI590" t="str">
        <f t="shared" si="391"/>
        <v> </v>
      </c>
      <c r="BJ590" t="str">
        <f t="shared" si="392"/>
        <v> </v>
      </c>
    </row>
    <row r="591" spans="1:62">
      <c r="A591">
        <v>0</v>
      </c>
      <c r="B591">
        <v>590</v>
      </c>
      <c r="C591" s="58" t="s">
        <v>558</v>
      </c>
      <c r="D591" s="58">
        <v>499097.1372</v>
      </c>
      <c r="E591" s="58">
        <v>3348072.3194</v>
      </c>
      <c r="F591">
        <v>60</v>
      </c>
      <c r="G591">
        <f t="shared" si="393"/>
        <v>41.247</v>
      </c>
      <c r="H591">
        <f t="shared" si="367"/>
        <v>22.5806076419917</v>
      </c>
      <c r="I591">
        <f t="shared" si="368"/>
        <v>43.1937573942061</v>
      </c>
      <c r="J591">
        <f t="shared" si="369"/>
        <v>38.3456452350121</v>
      </c>
      <c r="K591" s="40">
        <f t="shared" si="370"/>
        <v>95297.8660839441</v>
      </c>
      <c r="L591" s="40">
        <f t="shared" si="371"/>
        <v>95319.4629626412</v>
      </c>
      <c r="M591" s="40">
        <f t="shared" si="372"/>
        <v>95341.0598413383</v>
      </c>
      <c r="N591">
        <v>440.212</v>
      </c>
      <c r="O591">
        <v>436.297</v>
      </c>
      <c r="P591">
        <v>0</v>
      </c>
      <c r="Q591" s="39">
        <f t="shared" si="373"/>
        <v>499084.106621406</v>
      </c>
      <c r="R591" s="39">
        <f t="shared" si="374"/>
        <v>3348090.76087128</v>
      </c>
      <c r="S591" s="39">
        <f t="shared" si="375"/>
        <v>499093.16185503</v>
      </c>
      <c r="T591" s="39">
        <f t="shared" si="376"/>
        <v>3348071.28233599</v>
      </c>
      <c r="U591" s="39">
        <f t="shared" si="377"/>
        <v>499094.775917501</v>
      </c>
      <c r="V591" s="39">
        <f t="shared" si="378"/>
        <v>3348049.86259287</v>
      </c>
      <c r="AI591" t="str">
        <f t="array" ref="AI591">IFERROR(INDEX($L$2:$L$789,SMALL(IF(ISNUMBER(FIND($AH$2,$C$2:$C$789)),ROW($2:$789)-1,4^8),ROW(A590)))&amp;"","")</f>
        <v/>
      </c>
      <c r="AS591" t="str">
        <f>"-text"&amp;" "&amp;D591&amp;","&amp;E591&amp;" "&amp;"10"&amp;" "&amp;"0"&amp;" "&amp;C591</f>
        <v>-text 499097.1372,3348072.3194 10 0 IP327</v>
      </c>
      <c r="AT591" t="str">
        <f t="shared" si="379"/>
        <v>499097.1372,3348072.3194</v>
      </c>
      <c r="AV591">
        <f t="shared" si="365"/>
        <v>441.697</v>
      </c>
      <c r="AX591" t="str">
        <f t="shared" si="380"/>
        <v>pl 47659.7314813206,279 47659.7314813206,400 </v>
      </c>
      <c r="AY591" t="str">
        <f t="shared" si="381"/>
        <v>47659.7314813206,436.297</v>
      </c>
      <c r="AZ591" t="str">
        <f t="shared" si="382"/>
        <v>47659.7314813206,440.212</v>
      </c>
      <c r="BA591" t="str">
        <f t="shared" si="383"/>
        <v>47659.7314813206,441.697</v>
      </c>
      <c r="BB591" t="str">
        <f t="shared" si="384"/>
        <v>-text 47658.7314813206,337 3.5 90 436.297 </v>
      </c>
      <c r="BC591" t="str">
        <f t="shared" si="385"/>
        <v>-text 47658.7314813206,320 3.5 90 441.697 </v>
      </c>
      <c r="BD591" t="str">
        <f t="shared" si="386"/>
        <v>-text 47658.7314813206,306 3.5 90 440.212 </v>
      </c>
      <c r="BE591" t="str">
        <f t="shared" si="387"/>
        <v>-text 47658.7314813206,352 3.5 90 ZG95+319.463 </v>
      </c>
      <c r="BF591" t="str">
        <f t="shared" si="388"/>
        <v>-text 47658.7314813206,280 3.5 90 IP327 </v>
      </c>
      <c r="BG591" t="str">
        <f t="shared" si="389"/>
        <v>-TEXT 47660.7314813206,300 3.5 0 R=60</v>
      </c>
      <c r="BH591" t="str">
        <f t="shared" si="390"/>
        <v>-TEXT 47660.7314813206,295 3.5 0 α=41.25° </v>
      </c>
      <c r="BI591" t="str">
        <f t="shared" si="391"/>
        <v>-TEXT 47660.7314813206,290 3.5 0 T=22.58 </v>
      </c>
      <c r="BJ591" t="str">
        <f t="shared" si="392"/>
        <v>-TEXT 47660.7314813206,285 3.5 0 S=43.19 </v>
      </c>
    </row>
    <row r="592" spans="1:62">
      <c r="A592">
        <v>2</v>
      </c>
      <c r="B592">
        <v>591</v>
      </c>
      <c r="C592" s="58" t="s">
        <v>865</v>
      </c>
      <c r="D592" s="58">
        <v>499093.7281</v>
      </c>
      <c r="E592" s="58">
        <v>3348039.8974</v>
      </c>
      <c r="F592">
        <v>0</v>
      </c>
      <c r="G592">
        <f t="shared" si="393"/>
        <v>0</v>
      </c>
      <c r="H592">
        <f t="shared" si="367"/>
        <v>0</v>
      </c>
      <c r="I592">
        <f t="shared" si="368"/>
        <v>0</v>
      </c>
      <c r="J592">
        <f t="shared" si="369"/>
        <v>32.6007369057229</v>
      </c>
      <c r="K592" s="40">
        <f t="shared" si="370"/>
        <v>95351.079970602</v>
      </c>
      <c r="L592" s="40">
        <f t="shared" si="371"/>
        <v>95351.079970602</v>
      </c>
      <c r="M592" s="40">
        <f t="shared" si="372"/>
        <v>95351.079970602</v>
      </c>
      <c r="N592">
        <v>440.185</v>
      </c>
      <c r="O592">
        <v>436.27</v>
      </c>
      <c r="P592">
        <v>0.001</v>
      </c>
      <c r="Q592" s="39">
        <f t="shared" si="373"/>
        <v>499093.7281</v>
      </c>
      <c r="R592" s="39">
        <f t="shared" si="374"/>
        <v>3348039.8974</v>
      </c>
      <c r="S592" s="39" t="str">
        <f t="shared" si="375"/>
        <v> </v>
      </c>
      <c r="T592" s="39" t="str">
        <f t="shared" si="376"/>
        <v> </v>
      </c>
      <c r="U592" s="39" t="str">
        <f t="shared" si="377"/>
        <v> </v>
      </c>
      <c r="V592" s="39" t="str">
        <f t="shared" si="378"/>
        <v> </v>
      </c>
      <c r="AI592" t="str">
        <f t="array" ref="AI592">IFERROR(INDEX($L$2:$L$789,SMALL(IF(ISNUMBER(FIND($AH$2,$C$2:$C$789)),ROW($2:$789)-1,4^8),ROW(A591)))&amp;"","")</f>
        <v/>
      </c>
      <c r="AT592" t="str">
        <f t="shared" si="379"/>
        <v>499093.7281,3348039.8974</v>
      </c>
      <c r="AV592">
        <f t="shared" si="365"/>
        <v>440.52</v>
      </c>
      <c r="AX592" t="str">
        <f t="shared" si="380"/>
        <v>pl 47675.539985301,279 47675.539985301,400 </v>
      </c>
      <c r="AY592" t="str">
        <f t="shared" si="381"/>
        <v>47675.539985301,436.27</v>
      </c>
      <c r="AZ592" t="str">
        <f t="shared" si="382"/>
        <v>47675.539985301,440.185</v>
      </c>
      <c r="BA592" t="str">
        <f t="shared" si="383"/>
        <v>47675.539985301,440.52</v>
      </c>
      <c r="BB592" t="str">
        <f t="shared" si="384"/>
        <v>-text 47674.539985301,337 3.5 90 436.270 </v>
      </c>
      <c r="BC592" t="str">
        <f t="shared" si="385"/>
        <v>-text 47674.539985301,320 3.5 90 440.520 </v>
      </c>
      <c r="BD592" t="str">
        <f t="shared" si="386"/>
        <v>-text 47674.539985301,306 3.5 90 440.185 </v>
      </c>
      <c r="BE592" t="str">
        <f t="shared" si="387"/>
        <v>-text 47674.539985301,352 3.5 90 ZG95+351.080 </v>
      </c>
      <c r="BF592" t="str">
        <f t="shared" si="388"/>
        <v>-text 47674.539985301,280 3.5 90 黄家湾1#渡槽进 </v>
      </c>
      <c r="BG592" t="str">
        <f t="shared" si="389"/>
        <v/>
      </c>
      <c r="BH592" t="str">
        <f t="shared" si="390"/>
        <v> </v>
      </c>
      <c r="BI592" t="str">
        <f t="shared" si="391"/>
        <v> </v>
      </c>
      <c r="BJ592" t="str">
        <f t="shared" si="392"/>
        <v> </v>
      </c>
    </row>
    <row r="593" spans="1:62">
      <c r="A593">
        <v>2</v>
      </c>
      <c r="B593">
        <v>592</v>
      </c>
      <c r="C593" s="58" t="s">
        <v>866</v>
      </c>
      <c r="D593" s="59">
        <v>499076.1627</v>
      </c>
      <c r="E593" s="59">
        <v>3347872.8415</v>
      </c>
      <c r="F593">
        <v>0</v>
      </c>
      <c r="G593">
        <f t="shared" si="393"/>
        <v>0</v>
      </c>
      <c r="H593">
        <f t="shared" si="367"/>
        <v>0</v>
      </c>
      <c r="I593">
        <f t="shared" si="368"/>
        <v>0</v>
      </c>
      <c r="J593">
        <f t="shared" si="369"/>
        <v>167.976834718311</v>
      </c>
      <c r="K593" s="40">
        <f t="shared" si="370"/>
        <v>95519.0568053203</v>
      </c>
      <c r="L593" s="40">
        <f t="shared" si="371"/>
        <v>95519.0568053203</v>
      </c>
      <c r="M593" s="40">
        <f t="shared" si="372"/>
        <v>95519.0568053203</v>
      </c>
      <c r="N593">
        <v>440.162</v>
      </c>
      <c r="O593">
        <v>436.273</v>
      </c>
      <c r="P593">
        <v>0</v>
      </c>
      <c r="Q593" s="39">
        <f t="shared" si="373"/>
        <v>499076.1627</v>
      </c>
      <c r="R593" s="39">
        <f t="shared" si="374"/>
        <v>3347872.8415</v>
      </c>
      <c r="S593" s="39" t="str">
        <f t="shared" si="375"/>
        <v> </v>
      </c>
      <c r="T593" s="39" t="str">
        <f t="shared" si="376"/>
        <v> </v>
      </c>
      <c r="U593" s="39" t="str">
        <f t="shared" si="377"/>
        <v> </v>
      </c>
      <c r="V593" s="39" t="str">
        <f t="shared" si="378"/>
        <v> </v>
      </c>
      <c r="AI593" t="str">
        <f t="array" ref="AI593">IFERROR(INDEX($L$2:$L$789,SMALL(IF(ISNUMBER(FIND($AH$2,$C$2:$C$789)),ROW($2:$789)-1,4^8),ROW(A592)))&amp;"","")</f>
        <v/>
      </c>
      <c r="AT593" t="str">
        <f t="shared" si="379"/>
        <v>499076.1627,3347872.8415</v>
      </c>
      <c r="AV593">
        <f t="shared" si="365"/>
        <v>440.523</v>
      </c>
      <c r="AX593" t="str">
        <f t="shared" si="380"/>
        <v>pl 47759.5284026602,279 47759.5284026602,400 </v>
      </c>
      <c r="AY593" t="str">
        <f t="shared" si="381"/>
        <v>47759.5284026602,436.273</v>
      </c>
      <c r="AZ593" t="str">
        <f t="shared" si="382"/>
        <v>47759.5284026602,440.162</v>
      </c>
      <c r="BA593" t="str">
        <f t="shared" si="383"/>
        <v>47759.5284026602,440.523</v>
      </c>
      <c r="BB593" t="str">
        <f t="shared" si="384"/>
        <v>-text 47758.5284026602,337 3.5 90 436.273 </v>
      </c>
      <c r="BC593" t="str">
        <f t="shared" si="385"/>
        <v>-text 47758.5284026602,320 3.5 90 440.523 </v>
      </c>
      <c r="BD593" t="str">
        <f t="shared" si="386"/>
        <v>-text 47758.5284026602,306 3.5 90 440.162 </v>
      </c>
      <c r="BE593" t="str">
        <f t="shared" si="387"/>
        <v>-text 47758.5284026602,352 3.5 90 ZG95+519.057 </v>
      </c>
      <c r="BF593" t="str">
        <f t="shared" si="388"/>
        <v>-text 47758.5284026602,280 3.5 90 黄家湾1#渡槽出 </v>
      </c>
      <c r="BG593" t="str">
        <f t="shared" si="389"/>
        <v/>
      </c>
      <c r="BH593" t="str">
        <f t="shared" si="390"/>
        <v> </v>
      </c>
      <c r="BI593" t="str">
        <f t="shared" si="391"/>
        <v> </v>
      </c>
      <c r="BJ593" t="str">
        <f t="shared" si="392"/>
        <v> </v>
      </c>
    </row>
    <row r="594" spans="1:62">
      <c r="A594">
        <v>1</v>
      </c>
      <c r="B594">
        <v>593</v>
      </c>
      <c r="C594" s="58" t="s">
        <v>560</v>
      </c>
      <c r="D594" s="59">
        <v>499073.2165</v>
      </c>
      <c r="E594" s="59">
        <v>3347844.8215</v>
      </c>
      <c r="F594">
        <v>0</v>
      </c>
      <c r="G594">
        <f t="shared" si="393"/>
        <v>0</v>
      </c>
      <c r="H594">
        <f t="shared" si="367"/>
        <v>0</v>
      </c>
      <c r="I594">
        <f t="shared" si="368"/>
        <v>0</v>
      </c>
      <c r="J594">
        <f t="shared" si="369"/>
        <v>28.1744652911298</v>
      </c>
      <c r="K594" s="40">
        <f t="shared" si="370"/>
        <v>95547.2312706114</v>
      </c>
      <c r="L594" s="40">
        <f t="shared" si="371"/>
        <v>95547.2312706114</v>
      </c>
      <c r="M594" s="40">
        <f t="shared" si="372"/>
        <v>95547.2312706114</v>
      </c>
      <c r="N594">
        <v>440.136</v>
      </c>
      <c r="O594">
        <v>436.247</v>
      </c>
      <c r="P594">
        <v>0.001</v>
      </c>
      <c r="Q594" s="39">
        <f t="shared" si="373"/>
        <v>499073.2165</v>
      </c>
      <c r="R594" s="39">
        <f t="shared" si="374"/>
        <v>3347844.8215</v>
      </c>
      <c r="S594" s="39" t="str">
        <f t="shared" si="375"/>
        <v> </v>
      </c>
      <c r="T594" s="39" t="str">
        <f t="shared" si="376"/>
        <v> </v>
      </c>
      <c r="U594" s="39" t="str">
        <f t="shared" si="377"/>
        <v> </v>
      </c>
      <c r="V594" s="39" t="str">
        <f t="shared" si="378"/>
        <v> </v>
      </c>
      <c r="AI594" t="str">
        <f t="array" ref="AI594">IFERROR(INDEX($L$2:$L$789,SMALL(IF(ISNUMBER(FIND($AH$2,$C$2:$C$789)),ROW($2:$789)-1,4^8),ROW(A593)))&amp;"","")</f>
        <v/>
      </c>
      <c r="AT594" t="str">
        <f t="shared" si="379"/>
        <v>499073.2165,3347844.8215</v>
      </c>
      <c r="AV594">
        <f t="shared" si="365"/>
        <v>441.347</v>
      </c>
      <c r="AX594" t="str">
        <f t="shared" si="380"/>
        <v>pl 47773.6156353057,279 47773.6156353057,400 </v>
      </c>
      <c r="AY594" t="str">
        <f t="shared" si="381"/>
        <v>47773.6156353057,436.247</v>
      </c>
      <c r="AZ594" t="str">
        <f t="shared" si="382"/>
        <v>47773.6156353057,440.136</v>
      </c>
      <c r="BA594" t="str">
        <f t="shared" si="383"/>
        <v>47773.6156353057,441.347</v>
      </c>
      <c r="BB594" t="str">
        <f t="shared" si="384"/>
        <v>-text 47772.6156353057,337 3.5 90 436.247 </v>
      </c>
      <c r="BC594" t="str">
        <f t="shared" si="385"/>
        <v>-text 47772.6156353057,320 3.5 90 441.347 </v>
      </c>
      <c r="BD594" t="str">
        <f t="shared" si="386"/>
        <v>-text 47772.6156353057,306 3.5 90 440.136 </v>
      </c>
      <c r="BE594" t="str">
        <f t="shared" si="387"/>
        <v>-text 47772.6156353057,352 3.5 90 ZG95+547.231 </v>
      </c>
      <c r="BF594" t="str">
        <f t="shared" si="388"/>
        <v>-text 47772.6156353057,280 3.5 90 黄家湾隧进 </v>
      </c>
      <c r="BG594" t="str">
        <f t="shared" si="389"/>
        <v/>
      </c>
      <c r="BH594" t="str">
        <f t="shared" si="390"/>
        <v> </v>
      </c>
      <c r="BI594" t="str">
        <f t="shared" si="391"/>
        <v> </v>
      </c>
      <c r="BJ594" t="str">
        <f t="shared" si="392"/>
        <v> </v>
      </c>
    </row>
    <row r="595" spans="1:62">
      <c r="A595">
        <v>1</v>
      </c>
      <c r="B595">
        <v>594</v>
      </c>
      <c r="C595" s="58" t="s">
        <v>559</v>
      </c>
      <c r="D595" s="59">
        <v>499061.5566</v>
      </c>
      <c r="E595" s="59">
        <v>3347733.9307</v>
      </c>
      <c r="F595">
        <v>60</v>
      </c>
      <c r="G595">
        <f t="shared" si="393"/>
        <v>32.054</v>
      </c>
      <c r="H595">
        <f t="shared" si="367"/>
        <v>17.2353264151476</v>
      </c>
      <c r="I595">
        <f t="shared" si="368"/>
        <v>33.5668703060557</v>
      </c>
      <c r="J595">
        <f t="shared" si="369"/>
        <v>111.50212012642</v>
      </c>
      <c r="K595" s="40">
        <f t="shared" si="370"/>
        <v>95641.4980643227</v>
      </c>
      <c r="L595" s="40">
        <f t="shared" si="371"/>
        <v>95658.2814994757</v>
      </c>
      <c r="M595" s="40">
        <f t="shared" si="372"/>
        <v>95675.0649346288</v>
      </c>
      <c r="N595">
        <v>440.119</v>
      </c>
      <c r="O595">
        <v>436.23</v>
      </c>
      <c r="P595">
        <v>0.001</v>
      </c>
      <c r="Q595" s="39">
        <f t="shared" si="373"/>
        <v>499063.358917142</v>
      </c>
      <c r="R595" s="39">
        <f t="shared" si="374"/>
        <v>3347751.07153223</v>
      </c>
      <c r="S595" s="39">
        <f t="shared" si="375"/>
        <v>499063.945948093</v>
      </c>
      <c r="T595" s="39">
        <f t="shared" si="376"/>
        <v>3347734.35305661</v>
      </c>
      <c r="U595" s="39">
        <f t="shared" si="377"/>
        <v>499069.125935424</v>
      </c>
      <c r="V595" s="39">
        <f t="shared" si="378"/>
        <v>3347718.44646163</v>
      </c>
      <c r="AI595" t="str">
        <f t="array" ref="AI595">IFERROR(INDEX($L$2:$L$789,SMALL(IF(ISNUMBER(FIND($AH$2,$C$2:$C$789)),ROW($2:$789)-1,4^8),ROW(A594)))&amp;"","")</f>
        <v/>
      </c>
      <c r="AS595" t="str">
        <f>"-text"&amp;" "&amp;D595&amp;","&amp;E595&amp;" "&amp;"10"&amp;" "&amp;"0"&amp;" "&amp;C595</f>
        <v>-text 499061.5566,3347733.9307 10 0 IP328</v>
      </c>
      <c r="AT595" t="str">
        <f t="shared" si="379"/>
        <v>499061.5566,3347733.9307</v>
      </c>
      <c r="AV595">
        <f t="shared" si="365"/>
        <v>441.33</v>
      </c>
      <c r="AX595" t="str">
        <f t="shared" si="380"/>
        <v>pl 47829.1407497379,279 47829.1407497379,400 </v>
      </c>
      <c r="AY595" t="str">
        <f t="shared" si="381"/>
        <v>47829.1407497379,436.23</v>
      </c>
      <c r="AZ595" t="str">
        <f t="shared" si="382"/>
        <v>47829.1407497379,440.119</v>
      </c>
      <c r="BA595" t="str">
        <f t="shared" si="383"/>
        <v>47829.1407497379,441.33</v>
      </c>
      <c r="BB595" t="str">
        <f t="shared" si="384"/>
        <v>-text 47828.1407497379,337 3.5 90 436.230 </v>
      </c>
      <c r="BC595" t="str">
        <f t="shared" si="385"/>
        <v>-text 47828.1407497379,320 3.5 90 441.330 </v>
      </c>
      <c r="BD595" t="str">
        <f t="shared" si="386"/>
        <v>-text 47828.1407497379,306 3.5 90 440.119 </v>
      </c>
      <c r="BE595" t="str">
        <f t="shared" si="387"/>
        <v>-text 47828.1407497379,352 3.5 90 ZG95+658.281 </v>
      </c>
      <c r="BF595" t="str">
        <f t="shared" si="388"/>
        <v>-text 47828.1407497379,280 3.5 90 IP328 </v>
      </c>
      <c r="BG595" t="str">
        <f t="shared" si="389"/>
        <v>-TEXT 47830.1407497379,300 3.5 0 R=60</v>
      </c>
      <c r="BH595" t="str">
        <f t="shared" si="390"/>
        <v>-TEXT 47830.1407497379,295 3.5 0 α=32.05° </v>
      </c>
      <c r="BI595" t="str">
        <f t="shared" si="391"/>
        <v>-TEXT 47830.1407497379,290 3.5 0 T=17.24 </v>
      </c>
      <c r="BJ595" t="str">
        <f t="shared" si="392"/>
        <v>-TEXT 47830.1407497379,285 3.5 0 S=33.57 </v>
      </c>
    </row>
    <row r="596" spans="1:62">
      <c r="A596">
        <v>1</v>
      </c>
      <c r="B596">
        <v>595</v>
      </c>
      <c r="C596" s="58" t="s">
        <v>563</v>
      </c>
      <c r="D596" s="59">
        <v>499080.8738</v>
      </c>
      <c r="E596" s="59">
        <v>3347694.4144</v>
      </c>
      <c r="F596">
        <v>0</v>
      </c>
      <c r="G596">
        <f t="shared" si="393"/>
        <v>0</v>
      </c>
      <c r="H596">
        <f t="shared" si="367"/>
        <v>0</v>
      </c>
      <c r="I596">
        <f t="shared" si="368"/>
        <v>0</v>
      </c>
      <c r="J596">
        <f t="shared" si="369"/>
        <v>43.9851359155864</v>
      </c>
      <c r="K596" s="40">
        <f t="shared" si="370"/>
        <v>95701.8147441292</v>
      </c>
      <c r="L596" s="40">
        <f t="shared" si="371"/>
        <v>95701.8147441292</v>
      </c>
      <c r="M596" s="40">
        <f t="shared" si="372"/>
        <v>95701.8147441292</v>
      </c>
      <c r="N596">
        <v>440.106</v>
      </c>
      <c r="O596">
        <v>436.217</v>
      </c>
      <c r="P596">
        <v>0</v>
      </c>
      <c r="Q596" s="39">
        <f t="shared" si="373"/>
        <v>499080.8738</v>
      </c>
      <c r="R596" s="39">
        <f t="shared" si="374"/>
        <v>3347694.4144</v>
      </c>
      <c r="S596" s="39" t="str">
        <f t="shared" si="375"/>
        <v> </v>
      </c>
      <c r="T596" s="39" t="str">
        <f t="shared" si="376"/>
        <v> </v>
      </c>
      <c r="U596" s="39" t="str">
        <f t="shared" si="377"/>
        <v> </v>
      </c>
      <c r="V596" s="39" t="str">
        <f t="shared" si="378"/>
        <v> </v>
      </c>
      <c r="AI596" t="str">
        <f t="array" ref="AI596">IFERROR(INDEX($L$2:$L$789,SMALL(IF(ISNUMBER(FIND($AH$2,$C$2:$C$789)),ROW($2:$789)-1,4^8),ROW(A595)))&amp;"","")</f>
        <v/>
      </c>
      <c r="AT596" t="str">
        <f t="shared" si="379"/>
        <v>499080.8738,3347694.4144</v>
      </c>
      <c r="AV596">
        <f t="shared" si="365"/>
        <v>441.317</v>
      </c>
      <c r="AX596" t="str">
        <f t="shared" si="380"/>
        <v>pl 47850.9073720646,279 47850.9073720646,400 </v>
      </c>
      <c r="AY596" t="str">
        <f t="shared" si="381"/>
        <v>47850.9073720646,436.217</v>
      </c>
      <c r="AZ596" t="str">
        <f t="shared" si="382"/>
        <v>47850.9073720646,440.106</v>
      </c>
      <c r="BA596" t="str">
        <f t="shared" si="383"/>
        <v>47850.9073720646,441.317</v>
      </c>
      <c r="BB596" t="str">
        <f t="shared" si="384"/>
        <v>-text 47849.9073720646,337 3.5 90 436.217 </v>
      </c>
      <c r="BC596" t="str">
        <f t="shared" si="385"/>
        <v>-text 47849.9073720646,320 3.5 90 441.317 </v>
      </c>
      <c r="BD596" t="str">
        <f t="shared" si="386"/>
        <v>-text 47849.9073720646,306 3.5 90 440.106 </v>
      </c>
      <c r="BE596" t="str">
        <f t="shared" si="387"/>
        <v>-text 47849.9073720646,352 3.5 90 ZG95+701.815 </v>
      </c>
      <c r="BF596" t="str">
        <f t="shared" si="388"/>
        <v>-text 47849.9073720646,280 3.5 90 黄家湾隧出 </v>
      </c>
      <c r="BG596" t="str">
        <f t="shared" si="389"/>
        <v/>
      </c>
      <c r="BH596" t="str">
        <f t="shared" si="390"/>
        <v> </v>
      </c>
      <c r="BI596" t="str">
        <f t="shared" si="391"/>
        <v> </v>
      </c>
      <c r="BJ596" t="str">
        <f t="shared" si="392"/>
        <v> </v>
      </c>
    </row>
    <row r="597" spans="1:62">
      <c r="A597">
        <v>2</v>
      </c>
      <c r="B597">
        <v>596</v>
      </c>
      <c r="C597" s="58" t="s">
        <v>867</v>
      </c>
      <c r="D597" s="59">
        <v>499091.9276</v>
      </c>
      <c r="E597" s="59">
        <v>3347671.8022</v>
      </c>
      <c r="F597">
        <v>0</v>
      </c>
      <c r="G597">
        <f t="shared" si="393"/>
        <v>0</v>
      </c>
      <c r="H597">
        <f t="shared" si="367"/>
        <v>0</v>
      </c>
      <c r="I597">
        <f t="shared" si="368"/>
        <v>0</v>
      </c>
      <c r="J597">
        <f t="shared" si="369"/>
        <v>25.1693878212104</v>
      </c>
      <c r="K597" s="40">
        <f t="shared" si="370"/>
        <v>95726.9841319504</v>
      </c>
      <c r="L597" s="40">
        <f t="shared" si="371"/>
        <v>95726.9841319504</v>
      </c>
      <c r="M597" s="40">
        <f t="shared" si="372"/>
        <v>95726.9841319504</v>
      </c>
      <c r="N597">
        <v>440.092</v>
      </c>
      <c r="O597">
        <v>436.177</v>
      </c>
      <c r="P597">
        <v>0.001</v>
      </c>
      <c r="Q597" s="39">
        <f t="shared" si="373"/>
        <v>499091.9276</v>
      </c>
      <c r="R597" s="39">
        <f t="shared" si="374"/>
        <v>3347671.8022</v>
      </c>
      <c r="S597" s="39" t="str">
        <f t="shared" si="375"/>
        <v> </v>
      </c>
      <c r="T597" s="39" t="str">
        <f t="shared" si="376"/>
        <v> </v>
      </c>
      <c r="U597" s="39" t="str">
        <f t="shared" si="377"/>
        <v> </v>
      </c>
      <c r="V597" s="39" t="str">
        <f t="shared" si="378"/>
        <v> </v>
      </c>
      <c r="AI597" t="str">
        <f t="array" ref="AI597">IFERROR(INDEX($L$2:$L$789,SMALL(IF(ISNUMBER(FIND($AH$2,$C$2:$C$789)),ROW($2:$789)-1,4^8),ROW(A596)))&amp;"","")</f>
        <v/>
      </c>
      <c r="AT597" t="str">
        <f t="shared" si="379"/>
        <v>499091.9276,3347671.8022</v>
      </c>
      <c r="AV597">
        <f t="shared" si="365"/>
        <v>440.427</v>
      </c>
      <c r="AX597" t="str">
        <f t="shared" si="380"/>
        <v>pl 47863.4920659752,279 47863.4920659752,400 </v>
      </c>
      <c r="AY597" t="str">
        <f t="shared" si="381"/>
        <v>47863.4920659752,436.177</v>
      </c>
      <c r="AZ597" t="str">
        <f t="shared" si="382"/>
        <v>47863.4920659752,440.092</v>
      </c>
      <c r="BA597" t="str">
        <f t="shared" si="383"/>
        <v>47863.4920659752,440.427</v>
      </c>
      <c r="BB597" t="str">
        <f t="shared" si="384"/>
        <v>-text 47862.4920659752,337 3.5 90 436.177 </v>
      </c>
      <c r="BC597" t="str">
        <f t="shared" si="385"/>
        <v>-text 47862.4920659752,320 3.5 90 440.427 </v>
      </c>
      <c r="BD597" t="str">
        <f t="shared" si="386"/>
        <v>-text 47862.4920659752,306 3.5 90 440.092 </v>
      </c>
      <c r="BE597" t="str">
        <f t="shared" si="387"/>
        <v>-text 47862.4920659752,352 3.5 90 ZG95+726.984 </v>
      </c>
      <c r="BF597" t="str">
        <f t="shared" si="388"/>
        <v>-text 47862.4920659752,280 3.5 90 黄家湾2#渡槽进 </v>
      </c>
      <c r="BG597" t="str">
        <f t="shared" si="389"/>
        <v/>
      </c>
      <c r="BH597" t="str">
        <f t="shared" si="390"/>
        <v> </v>
      </c>
      <c r="BI597" t="str">
        <f t="shared" si="391"/>
        <v> </v>
      </c>
      <c r="BJ597" t="str">
        <f t="shared" si="392"/>
        <v> </v>
      </c>
    </row>
    <row r="598" spans="1:62">
      <c r="A598">
        <v>2</v>
      </c>
      <c r="B598">
        <v>597</v>
      </c>
      <c r="C598" s="58" t="s">
        <v>868</v>
      </c>
      <c r="D598" s="59">
        <v>499144.6287</v>
      </c>
      <c r="E598" s="59">
        <v>3347563.994</v>
      </c>
      <c r="F598">
        <v>0</v>
      </c>
      <c r="G598">
        <f t="shared" si="393"/>
        <v>0</v>
      </c>
      <c r="H598">
        <f t="shared" si="367"/>
        <v>0</v>
      </c>
      <c r="I598">
        <f t="shared" si="368"/>
        <v>0</v>
      </c>
      <c r="J598">
        <f t="shared" si="369"/>
        <v>120.000058035066</v>
      </c>
      <c r="K598" s="40">
        <f t="shared" si="370"/>
        <v>95846.9841899855</v>
      </c>
      <c r="L598" s="40">
        <f t="shared" si="371"/>
        <v>95846.9841899855</v>
      </c>
      <c r="M598" s="40">
        <f t="shared" si="372"/>
        <v>95846.9841899855</v>
      </c>
      <c r="N598">
        <v>440.082</v>
      </c>
      <c r="O598">
        <v>436.167</v>
      </c>
      <c r="P598">
        <v>0.001</v>
      </c>
      <c r="Q598" s="39">
        <f t="shared" si="373"/>
        <v>499144.6287</v>
      </c>
      <c r="R598" s="39">
        <f t="shared" si="374"/>
        <v>3347563.994</v>
      </c>
      <c r="S598" s="39" t="str">
        <f t="shared" si="375"/>
        <v> </v>
      </c>
      <c r="T598" s="39" t="str">
        <f t="shared" si="376"/>
        <v> </v>
      </c>
      <c r="U598" s="39" t="str">
        <f t="shared" si="377"/>
        <v> </v>
      </c>
      <c r="V598" s="39" t="str">
        <f t="shared" si="378"/>
        <v> </v>
      </c>
      <c r="AI598" t="str">
        <f t="array" ref="AI598">IFERROR(INDEX($L$2:$L$789,SMALL(IF(ISNUMBER(FIND($AH$2,$C$2:$C$789)),ROW($2:$789)-1,4^8),ROW(A597)))&amp;"","")</f>
        <v/>
      </c>
      <c r="AT598" t="str">
        <f t="shared" si="379"/>
        <v>499144.6287,3347563.994</v>
      </c>
      <c r="AV598">
        <f t="shared" si="365"/>
        <v>440.417</v>
      </c>
      <c r="AX598" t="str">
        <f t="shared" si="380"/>
        <v>pl 47923.4920949927,279 47923.4920949927,400 </v>
      </c>
      <c r="AY598" t="str">
        <f t="shared" si="381"/>
        <v>47923.4920949927,436.167</v>
      </c>
      <c r="AZ598" t="str">
        <f t="shared" si="382"/>
        <v>47923.4920949927,440.082</v>
      </c>
      <c r="BA598" t="str">
        <f t="shared" si="383"/>
        <v>47923.4920949927,440.417</v>
      </c>
      <c r="BB598" t="str">
        <f t="shared" si="384"/>
        <v>-text 47922.4920949927,337 3.5 90 436.167 </v>
      </c>
      <c r="BC598" t="str">
        <f t="shared" si="385"/>
        <v>-text 47922.4920949927,320 3.5 90 440.417 </v>
      </c>
      <c r="BD598" t="str">
        <f t="shared" si="386"/>
        <v>-text 47922.4920949927,306 3.5 90 440.082 </v>
      </c>
      <c r="BE598" t="str">
        <f t="shared" si="387"/>
        <v>-text 47922.4920949927,352 3.5 90 ZG95+846.984 </v>
      </c>
      <c r="BF598" t="str">
        <f t="shared" si="388"/>
        <v>-text 47922.4920949927,280 3.5 90 黄家湾2#渡槽出 </v>
      </c>
      <c r="BG598" t="str">
        <f t="shared" si="389"/>
        <v/>
      </c>
      <c r="BH598" t="str">
        <f t="shared" si="390"/>
        <v> </v>
      </c>
      <c r="BI598" t="str">
        <f t="shared" si="391"/>
        <v> </v>
      </c>
      <c r="BJ598" t="str">
        <f t="shared" si="392"/>
        <v> </v>
      </c>
    </row>
    <row r="599" spans="1:62">
      <c r="A599">
        <v>0</v>
      </c>
      <c r="B599">
        <v>598</v>
      </c>
      <c r="C599" s="58" t="s">
        <v>561</v>
      </c>
      <c r="D599" s="59">
        <v>499171.8798</v>
      </c>
      <c r="E599" s="59">
        <v>3347508.2477</v>
      </c>
      <c r="F599">
        <v>60</v>
      </c>
      <c r="G599">
        <f t="shared" si="393"/>
        <v>23.906</v>
      </c>
      <c r="H599">
        <f t="shared" si="367"/>
        <v>12.7019606752011</v>
      </c>
      <c r="I599">
        <f t="shared" si="368"/>
        <v>25.0343046589059</v>
      </c>
      <c r="J599">
        <f t="shared" si="369"/>
        <v>62.0505633727333</v>
      </c>
      <c r="K599" s="40">
        <f t="shared" si="370"/>
        <v>95896.332792683</v>
      </c>
      <c r="L599" s="40">
        <f t="shared" si="371"/>
        <v>95908.8499450125</v>
      </c>
      <c r="M599" s="40">
        <f t="shared" si="372"/>
        <v>95921.3670973419</v>
      </c>
      <c r="N599">
        <v>440.065</v>
      </c>
      <c r="O599">
        <v>436.176</v>
      </c>
      <c r="P599">
        <v>0</v>
      </c>
      <c r="Q599" s="39">
        <f t="shared" si="373"/>
        <v>499166.301407448</v>
      </c>
      <c r="R599" s="39">
        <f t="shared" si="374"/>
        <v>3347519.65915659</v>
      </c>
      <c r="S599" s="39">
        <f t="shared" si="375"/>
        <v>499172.927592765</v>
      </c>
      <c r="T599" s="39">
        <f t="shared" si="376"/>
        <v>3347509.06644668</v>
      </c>
      <c r="U599" s="39">
        <f t="shared" si="377"/>
        <v>499181.603926755</v>
      </c>
      <c r="V599" s="39">
        <f t="shared" si="378"/>
        <v>3347500.07572571</v>
      </c>
      <c r="AI599" t="str">
        <f t="array" ref="AI599">IFERROR(INDEX($L$2:$L$789,SMALL(IF(ISNUMBER(FIND($AH$2,$C$2:$C$789)),ROW($2:$789)-1,4^8),ROW(A598)))&amp;"","")</f>
        <v/>
      </c>
      <c r="AS599" t="str">
        <f>"-text"&amp;" "&amp;D599&amp;","&amp;E599&amp;" "&amp;"10"&amp;" "&amp;"0"&amp;" "&amp;C599</f>
        <v>-text 499171.8798,3347508.2477 10 0 IP329</v>
      </c>
      <c r="AT599" t="str">
        <f t="shared" si="379"/>
        <v>499171.8798,3347508.2477</v>
      </c>
      <c r="AV599">
        <f t="shared" si="365"/>
        <v>441.576</v>
      </c>
      <c r="AX599" t="str">
        <f t="shared" si="380"/>
        <v>pl 47954.4249725062,279 47954.4249725062,400 </v>
      </c>
      <c r="AY599" t="str">
        <f t="shared" si="381"/>
        <v>47954.4249725062,436.176</v>
      </c>
      <c r="AZ599" t="str">
        <f t="shared" si="382"/>
        <v>47954.4249725062,440.065</v>
      </c>
      <c r="BA599" t="str">
        <f t="shared" si="383"/>
        <v>47954.4249725062,441.576</v>
      </c>
      <c r="BB599" t="str">
        <f t="shared" si="384"/>
        <v>-text 47953.4249725062,337 3.5 90 436.176 </v>
      </c>
      <c r="BC599" t="str">
        <f t="shared" si="385"/>
        <v>-text 47953.4249725062,320 3.5 90 441.576 </v>
      </c>
      <c r="BD599" t="str">
        <f t="shared" si="386"/>
        <v>-text 47953.4249725062,306 3.5 90 440.065 </v>
      </c>
      <c r="BE599" t="str">
        <f t="shared" si="387"/>
        <v>-text 47953.4249725062,352 3.5 90 ZG95+908.850 </v>
      </c>
      <c r="BF599" t="str">
        <f t="shared" si="388"/>
        <v>-text 47953.4249725062,280 3.5 90 IP329 </v>
      </c>
      <c r="BG599" t="str">
        <f t="shared" si="389"/>
        <v>-TEXT 47955.4249725062,300 3.5 0 R=60</v>
      </c>
      <c r="BH599" t="str">
        <f t="shared" si="390"/>
        <v>-TEXT 47955.4249725062,295 3.5 0 α=23.91° </v>
      </c>
      <c r="BI599" t="str">
        <f t="shared" si="391"/>
        <v>-TEXT 47955.4249725062,290 3.5 0 T=12.70 </v>
      </c>
      <c r="BJ599" t="str">
        <f t="shared" si="392"/>
        <v>-TEXT 47955.4249725062,285 3.5 0 S=25.03 </v>
      </c>
    </row>
    <row r="600" spans="1:62">
      <c r="A600">
        <v>1</v>
      </c>
      <c r="B600">
        <v>599</v>
      </c>
      <c r="C600" s="58" t="s">
        <v>566</v>
      </c>
      <c r="D600" s="59">
        <v>499183.136</v>
      </c>
      <c r="E600" s="59">
        <v>3347498.7882</v>
      </c>
      <c r="F600">
        <v>0</v>
      </c>
      <c r="G600">
        <f t="shared" si="393"/>
        <v>0</v>
      </c>
      <c r="H600">
        <f t="shared" si="367"/>
        <v>0</v>
      </c>
      <c r="I600">
        <f t="shared" si="368"/>
        <v>0</v>
      </c>
      <c r="J600">
        <f t="shared" si="369"/>
        <v>14.7032030080739</v>
      </c>
      <c r="K600" s="40">
        <f t="shared" si="370"/>
        <v>95923.3683396748</v>
      </c>
      <c r="L600" s="40">
        <f t="shared" si="371"/>
        <v>95923.3683396748</v>
      </c>
      <c r="M600" s="40">
        <f t="shared" si="372"/>
        <v>95923.3683396748</v>
      </c>
      <c r="N600">
        <v>440.047</v>
      </c>
      <c r="O600">
        <v>436.158</v>
      </c>
      <c r="P600">
        <v>0</v>
      </c>
      <c r="Q600" s="39">
        <f t="shared" si="373"/>
        <v>499183.136</v>
      </c>
      <c r="R600" s="39">
        <f t="shared" si="374"/>
        <v>3347498.7882</v>
      </c>
      <c r="S600" s="39" t="str">
        <f t="shared" si="375"/>
        <v> </v>
      </c>
      <c r="T600" s="39" t="str">
        <f t="shared" si="376"/>
        <v> </v>
      </c>
      <c r="U600" s="39" t="str">
        <f t="shared" si="377"/>
        <v> </v>
      </c>
      <c r="V600" s="39" t="str">
        <f t="shared" si="378"/>
        <v> </v>
      </c>
      <c r="AI600" t="str">
        <f t="array" ref="AI600">IFERROR(INDEX($L$2:$L$789,SMALL(IF(ISNUMBER(FIND($AH$2,$C$2:$C$789)),ROW($2:$789)-1,4^8),ROW(A599)))&amp;"","")</f>
        <v/>
      </c>
      <c r="AT600" t="str">
        <f t="shared" ref="AT600:AT663" si="394">D600&amp;","&amp;E600</f>
        <v>499183.136,3347498.7882</v>
      </c>
      <c r="AV600">
        <f t="shared" ref="AV600:AV626" si="395">IF(A600=0,O600+5.4,IF(A600=1,O600+5.1,O600+4.25))</f>
        <v>441.258</v>
      </c>
      <c r="AX600" t="str">
        <f t="shared" ref="AX600:AX663" si="396">"pl "&amp;L600/2&amp;",279 "&amp;L600/2&amp;",400 "</f>
        <v>pl 47961.6841698374,279 47961.6841698374,400 </v>
      </c>
      <c r="AY600" t="str">
        <f t="shared" ref="AY600:AY663" si="397">L600/2&amp;","&amp;O600</f>
        <v>47961.6841698374,436.158</v>
      </c>
      <c r="AZ600" t="str">
        <f t="shared" ref="AZ600:AZ663" si="398">L600/2&amp;","&amp;N600</f>
        <v>47961.6841698374,440.047</v>
      </c>
      <c r="BA600" t="str">
        <f t="shared" ref="BA600:BA663" si="399">L600/2&amp;","&amp;AV600</f>
        <v>47961.6841698374,441.258</v>
      </c>
      <c r="BB600" t="str">
        <f t="shared" ref="BB600:BB663" si="400">"-text "&amp;L600/2-1&amp;",337 3.5 90 "&amp;FIXED(O600,3)&amp;" "</f>
        <v>-text 47960.6841698374,337 3.5 90 436.158 </v>
      </c>
      <c r="BC600" t="str">
        <f t="shared" ref="BC600:BC663" si="401">"-text "&amp;L600/2-1&amp;",320 3.5 90 "&amp;FIXED(AV600,3)&amp;" "</f>
        <v>-text 47960.6841698374,320 3.5 90 441.258 </v>
      </c>
      <c r="BD600" t="str">
        <f t="shared" ref="BD600:BD663" si="402">"-text "&amp;L600/2-1&amp;",306 3.5 90 "&amp;FIXED(N600,3)&amp;" "</f>
        <v>-text 47960.6841698374,306 3.5 90 440.047 </v>
      </c>
      <c r="BE600" t="str">
        <f t="shared" ref="BE600:BE663" si="403">"-text "&amp;L600/2-1&amp;",352 3.5 90 "&amp;"ZG"&amp;TEXT(L600,"0+000.000")&amp;" "</f>
        <v>-text 47960.6841698374,352 3.5 90 ZG95+923.368 </v>
      </c>
      <c r="BF600" t="str">
        <f t="shared" ref="BF600:BF663" si="404">"-text "&amp;L600/2-1&amp;",280 3.5 90 "&amp;C600&amp;" "</f>
        <v>-text 47960.6841698374,280 3.5 90 垭口隧进 </v>
      </c>
      <c r="BG600" t="str">
        <f t="shared" ref="BG600:BG663" si="405">IF(G600&lt;0.01,"",("-TEXT "&amp;L600/2+1&amp;",300 3.5 0 "&amp;"R="&amp;FIXED(F600,0)))</f>
        <v/>
      </c>
      <c r="BH600" t="str">
        <f t="shared" ref="BH600:BH663" si="406">IF(G600&lt;0.01," ",("-TEXT "&amp;L600/2+1&amp;",295 3.5 0 "&amp;"α="&amp;FIXED(G600,2)&amp;"° "))</f>
        <v> </v>
      </c>
      <c r="BI600" t="str">
        <f t="shared" ref="BI600:BI663" si="407">IF(G600&lt;0.01," ",("-TEXT "&amp;L600/2+1&amp;",290 3.5 0 "&amp;"T="&amp;FIXED(H600,2)&amp;" "))</f>
        <v> </v>
      </c>
      <c r="BJ600" t="str">
        <f t="shared" ref="BJ600:BJ663" si="408">IF(G600&lt;0.01," ",("-TEXT "&amp;L600/2+1&amp;",285 3.5 0 "&amp;"S="&amp;FIXED(I600,2)&amp;" "))</f>
        <v> </v>
      </c>
    </row>
    <row r="601" spans="1:62">
      <c r="A601">
        <v>1</v>
      </c>
      <c r="B601">
        <v>600</v>
      </c>
      <c r="C601" s="58" t="s">
        <v>562</v>
      </c>
      <c r="D601" s="59">
        <v>499344.2846</v>
      </c>
      <c r="E601" s="59">
        <v>3347363.3626</v>
      </c>
      <c r="F601">
        <v>60</v>
      </c>
      <c r="G601">
        <f t="shared" si="393"/>
        <v>40.535</v>
      </c>
      <c r="H601">
        <f t="shared" si="367"/>
        <v>22.1559911223962</v>
      </c>
      <c r="I601">
        <f t="shared" si="368"/>
        <v>42.4481527377541</v>
      </c>
      <c r="J601">
        <f t="shared" si="369"/>
        <v>210.496946337116</v>
      </c>
      <c r="K601" s="40">
        <f t="shared" si="370"/>
        <v>96111.7092948895</v>
      </c>
      <c r="L601" s="40">
        <f t="shared" si="371"/>
        <v>96132.9333712584</v>
      </c>
      <c r="M601" s="40">
        <f t="shared" si="372"/>
        <v>96154.1574476273</v>
      </c>
      <c r="N601" s="60">
        <f>N600/2+N602/2</f>
        <v>440.0355</v>
      </c>
      <c r="O601" s="60">
        <f>O600/2+O602/2</f>
        <v>436.1465</v>
      </c>
      <c r="P601">
        <v>0.001</v>
      </c>
      <c r="Q601" s="39">
        <f t="shared" si="373"/>
        <v>499327.322800729</v>
      </c>
      <c r="R601" s="39">
        <f t="shared" si="374"/>
        <v>3347377.6169084</v>
      </c>
      <c r="S601" s="39">
        <f t="shared" si="375"/>
        <v>499345.624420438</v>
      </c>
      <c r="T601" s="39">
        <f t="shared" si="376"/>
        <v>3347367.0891521</v>
      </c>
      <c r="U601" s="39">
        <f t="shared" si="377"/>
        <v>499366.439772606</v>
      </c>
      <c r="V601" s="39">
        <f t="shared" si="378"/>
        <v>3347363.55304533</v>
      </c>
      <c r="AS601" t="str">
        <f>"-text"&amp;" "&amp;D601&amp;","&amp;E601&amp;" "&amp;"10"&amp;" "&amp;"0"&amp;" "&amp;C601</f>
        <v>-text 499344.2846,3347363.3626 10 0 IP330</v>
      </c>
      <c r="AT601" t="str">
        <f t="shared" si="394"/>
        <v>499344.2846,3347363.3626</v>
      </c>
      <c r="AV601">
        <f t="shared" si="395"/>
        <v>441.2465</v>
      </c>
      <c r="AX601" t="str">
        <f t="shared" si="396"/>
        <v>pl 48066.4666856292,279 48066.4666856292,400 </v>
      </c>
      <c r="AY601" t="str">
        <f t="shared" si="397"/>
        <v>48066.4666856292,436.1465</v>
      </c>
      <c r="AZ601" t="str">
        <f t="shared" si="398"/>
        <v>48066.4666856292,440.0355</v>
      </c>
      <c r="BA601" t="str">
        <f t="shared" si="399"/>
        <v>48066.4666856292,441.2465</v>
      </c>
      <c r="BB601" t="str">
        <f t="shared" si="400"/>
        <v>-text 48065.4666856292,337 3.5 90 436.147 </v>
      </c>
      <c r="BC601" t="str">
        <f t="shared" si="401"/>
        <v>-text 48065.4666856292,320 3.5 90 441.247 </v>
      </c>
      <c r="BD601" t="str">
        <f t="shared" si="402"/>
        <v>-text 48065.4666856292,306 3.5 90 440.036 </v>
      </c>
      <c r="BE601" t="str">
        <f t="shared" si="403"/>
        <v>-text 48065.4666856292,352 3.5 90 ZG96+132.933 </v>
      </c>
      <c r="BF601" t="str">
        <f t="shared" si="404"/>
        <v>-text 48065.4666856292,280 3.5 90 IP330 </v>
      </c>
      <c r="BG601" t="str">
        <f t="shared" si="405"/>
        <v>-TEXT 48067.4666856292,300 3.5 0 R=60</v>
      </c>
      <c r="BH601" t="str">
        <f t="shared" si="406"/>
        <v>-TEXT 48067.4666856292,295 3.5 0 α=40.54° </v>
      </c>
      <c r="BI601" t="str">
        <f t="shared" si="407"/>
        <v>-TEXT 48067.4666856292,290 3.5 0 T=22.16 </v>
      </c>
      <c r="BJ601" t="str">
        <f t="shared" si="408"/>
        <v>-TEXT 48067.4666856292,285 3.5 0 S=42.45 </v>
      </c>
    </row>
    <row r="602" spans="1:62">
      <c r="A602">
        <v>1</v>
      </c>
      <c r="B602">
        <v>601</v>
      </c>
      <c r="C602" t="str">
        <f>Sheet1!C548</f>
        <v>垭口隧出</v>
      </c>
      <c r="D602" s="39">
        <v>499574.7878</v>
      </c>
      <c r="E602" s="39">
        <v>3347365.344</v>
      </c>
      <c r="F602">
        <v>0</v>
      </c>
      <c r="G602">
        <f t="shared" si="393"/>
        <v>0</v>
      </c>
      <c r="H602">
        <f t="shared" si="367"/>
        <v>0</v>
      </c>
      <c r="I602">
        <f t="shared" si="368"/>
        <v>0</v>
      </c>
      <c r="J602">
        <f t="shared" si="369"/>
        <v>230.511715876199</v>
      </c>
      <c r="K602" s="40">
        <f t="shared" si="370"/>
        <v>96362.513172381</v>
      </c>
      <c r="L602" s="40">
        <f t="shared" si="371"/>
        <v>96362.513172381</v>
      </c>
      <c r="M602" s="40">
        <f t="shared" si="372"/>
        <v>96362.513172381</v>
      </c>
      <c r="N602">
        <v>440.024</v>
      </c>
      <c r="O602">
        <v>436.135</v>
      </c>
      <c r="P602">
        <v>0</v>
      </c>
      <c r="Q602" s="39">
        <f t="shared" si="373"/>
        <v>499574.7878</v>
      </c>
      <c r="R602" s="39">
        <f t="shared" si="374"/>
        <v>3347365.344</v>
      </c>
      <c r="S602" s="39" t="str">
        <f t="shared" si="375"/>
        <v> </v>
      </c>
      <c r="T602" s="39" t="str">
        <f t="shared" si="376"/>
        <v> </v>
      </c>
      <c r="U602" s="39" t="str">
        <f t="shared" si="377"/>
        <v> </v>
      </c>
      <c r="V602" s="39" t="str">
        <f t="shared" si="378"/>
        <v> </v>
      </c>
      <c r="AI602" t="str">
        <f t="array" ref="AI602">IFERROR(INDEX($L$2:$L$789,SMALL(IF(ISNUMBER(FIND($AH$2,$C$2:$C$789)),ROW($2:$789)-1,4^8),ROW(A600)))&amp;"","")</f>
        <v/>
      </c>
      <c r="AT602" t="str">
        <f t="shared" si="394"/>
        <v>499574.7878,3347365.344</v>
      </c>
      <c r="AV602">
        <f t="shared" si="395"/>
        <v>441.235</v>
      </c>
      <c r="AX602" t="str">
        <f t="shared" si="396"/>
        <v>pl 48181.2565861905,279 48181.2565861905,400 </v>
      </c>
      <c r="AY602" t="str">
        <f t="shared" si="397"/>
        <v>48181.2565861905,436.135</v>
      </c>
      <c r="AZ602" t="str">
        <f t="shared" si="398"/>
        <v>48181.2565861905,440.024</v>
      </c>
      <c r="BA602" t="str">
        <f t="shared" si="399"/>
        <v>48181.2565861905,441.235</v>
      </c>
      <c r="BB602" t="str">
        <f t="shared" si="400"/>
        <v>-text 48180.2565861905,337 3.5 90 436.135 </v>
      </c>
      <c r="BC602" t="str">
        <f t="shared" si="401"/>
        <v>-text 48180.2565861905,320 3.5 90 441.235 </v>
      </c>
      <c r="BD602" t="str">
        <f t="shared" si="402"/>
        <v>-text 48180.2565861905,306 3.5 90 440.024 </v>
      </c>
      <c r="BE602" t="str">
        <f t="shared" si="403"/>
        <v>-text 48180.2565861905,352 3.5 90 ZG96+362.513 </v>
      </c>
      <c r="BF602" t="str">
        <f t="shared" si="404"/>
        <v>-text 48180.2565861905,280 3.5 90 垭口隧出 </v>
      </c>
      <c r="BG602" t="str">
        <f t="shared" si="405"/>
        <v/>
      </c>
      <c r="BH602" t="str">
        <f t="shared" si="406"/>
        <v> </v>
      </c>
      <c r="BI602" t="str">
        <f t="shared" si="407"/>
        <v> </v>
      </c>
      <c r="BJ602" t="str">
        <f t="shared" si="408"/>
        <v> </v>
      </c>
    </row>
    <row r="603" spans="1:62">
      <c r="A603">
        <v>0</v>
      </c>
      <c r="B603">
        <v>602</v>
      </c>
      <c r="C603" t="s">
        <v>564</v>
      </c>
      <c r="D603" s="39">
        <v>499615.4291</v>
      </c>
      <c r="E603" s="39">
        <v>3347365.6934</v>
      </c>
      <c r="F603">
        <v>60</v>
      </c>
      <c r="G603">
        <f t="shared" si="393"/>
        <v>17.783</v>
      </c>
      <c r="H603">
        <f t="shared" si="367"/>
        <v>9.38663001590847</v>
      </c>
      <c r="I603">
        <f t="shared" si="368"/>
        <v>18.6223140529291</v>
      </c>
      <c r="J603">
        <f t="shared" si="369"/>
        <v>40.642801897157</v>
      </c>
      <c r="K603" s="40">
        <f t="shared" si="370"/>
        <v>96393.7693442623</v>
      </c>
      <c r="L603" s="40">
        <f t="shared" si="371"/>
        <v>96403.0805012888</v>
      </c>
      <c r="M603" s="40">
        <f t="shared" si="372"/>
        <v>96412.3916583152</v>
      </c>
      <c r="N603">
        <v>440.02</v>
      </c>
      <c r="O603">
        <v>436.105</v>
      </c>
      <c r="P603">
        <v>0.001</v>
      </c>
      <c r="Q603" s="39">
        <f t="shared" si="373"/>
        <v>499606.042816854</v>
      </c>
      <c r="R603" s="39">
        <f t="shared" si="374"/>
        <v>3347365.61270457</v>
      </c>
      <c r="S603" s="39">
        <f t="shared" si="375"/>
        <v>499615.322505449</v>
      </c>
      <c r="T603" s="39">
        <f t="shared" si="376"/>
        <v>3347364.97143697</v>
      </c>
      <c r="U603" s="39">
        <f t="shared" si="377"/>
        <v>499624.391566875</v>
      </c>
      <c r="V603" s="39">
        <f t="shared" si="378"/>
        <v>3347362.90359525</v>
      </c>
      <c r="AI603" t="str">
        <f t="array" ref="AI603">IFERROR(INDEX($L$2:$L$789,SMALL(IF(ISNUMBER(FIND($AH$2,$C$2:$C$789)),ROW($2:$789)-1,4^8),ROW(A602)))&amp;"","")</f>
        <v/>
      </c>
      <c r="AS603" t="str">
        <f>"-text"&amp;" "&amp;D603&amp;","&amp;E603&amp;" "&amp;"10"&amp;" "&amp;"0"&amp;" "&amp;C603</f>
        <v>-text 499615.4291,3347365.6934 10 0 IP331</v>
      </c>
      <c r="AT603" t="str">
        <f t="shared" si="394"/>
        <v>499615.4291,3347365.6934</v>
      </c>
      <c r="AV603">
        <f t="shared" si="395"/>
        <v>441.505</v>
      </c>
      <c r="AX603" t="str">
        <f t="shared" si="396"/>
        <v>pl 48201.5402506444,279 48201.5402506444,400 </v>
      </c>
      <c r="AY603" t="str">
        <f t="shared" si="397"/>
        <v>48201.5402506444,436.105</v>
      </c>
      <c r="AZ603" t="str">
        <f t="shared" si="398"/>
        <v>48201.5402506444,440.02</v>
      </c>
      <c r="BA603" t="str">
        <f t="shared" si="399"/>
        <v>48201.5402506444,441.505</v>
      </c>
      <c r="BB603" t="str">
        <f t="shared" si="400"/>
        <v>-text 48200.5402506444,337 3.5 90 436.105 </v>
      </c>
      <c r="BC603" t="str">
        <f t="shared" si="401"/>
        <v>-text 48200.5402506444,320 3.5 90 441.505 </v>
      </c>
      <c r="BD603" t="str">
        <f t="shared" si="402"/>
        <v>-text 48200.5402506444,306 3.5 90 440.020 </v>
      </c>
      <c r="BE603" t="str">
        <f t="shared" si="403"/>
        <v>-text 48200.5402506444,352 3.5 90 ZG96+403.081 </v>
      </c>
      <c r="BF603" t="str">
        <f t="shared" si="404"/>
        <v>-text 48200.5402506444,280 3.5 90 IP331 </v>
      </c>
      <c r="BG603" t="str">
        <f t="shared" si="405"/>
        <v>-TEXT 48202.5402506444,300 3.5 0 R=60</v>
      </c>
      <c r="BH603" t="str">
        <f t="shared" si="406"/>
        <v>-TEXT 48202.5402506444,295 3.5 0 α=17.78° </v>
      </c>
      <c r="BI603" t="str">
        <f t="shared" si="407"/>
        <v>-TEXT 48202.5402506444,290 3.5 0 T=9.39 </v>
      </c>
      <c r="BJ603" t="str">
        <f t="shared" si="408"/>
        <v>-TEXT 48202.5402506444,285 3.5 0 S=18.62 </v>
      </c>
    </row>
    <row r="604" spans="1:62">
      <c r="A604">
        <v>1</v>
      </c>
      <c r="B604">
        <v>603</v>
      </c>
      <c r="C604" t="str">
        <f>Sheet1!C552</f>
        <v>龙口村隧进</v>
      </c>
      <c r="D604" s="39">
        <v>499640.7394</v>
      </c>
      <c r="E604" s="39">
        <v>3347357.8149</v>
      </c>
      <c r="F604">
        <v>0</v>
      </c>
      <c r="G604">
        <f t="shared" si="393"/>
        <v>0</v>
      </c>
      <c r="H604">
        <f t="shared" si="367"/>
        <v>0</v>
      </c>
      <c r="I604">
        <f t="shared" si="368"/>
        <v>0</v>
      </c>
      <c r="J604">
        <f t="shared" si="369"/>
        <v>26.5081506020753</v>
      </c>
      <c r="K604" s="40">
        <f t="shared" si="370"/>
        <v>96429.5131789014</v>
      </c>
      <c r="L604" s="40">
        <f t="shared" si="371"/>
        <v>96429.5131789014</v>
      </c>
      <c r="M604" s="40">
        <f t="shared" si="372"/>
        <v>96429.5131789014</v>
      </c>
      <c r="N604">
        <v>439.983</v>
      </c>
      <c r="O604">
        <v>436.282</v>
      </c>
      <c r="P604">
        <v>0</v>
      </c>
      <c r="Q604" s="39">
        <f t="shared" si="373"/>
        <v>499640.7394</v>
      </c>
      <c r="R604" s="39">
        <f t="shared" si="374"/>
        <v>3347357.8149</v>
      </c>
      <c r="S604" s="39" t="str">
        <f t="shared" si="375"/>
        <v> </v>
      </c>
      <c r="T604" s="39" t="str">
        <f t="shared" si="376"/>
        <v> </v>
      </c>
      <c r="U604" s="39" t="str">
        <f t="shared" si="377"/>
        <v> </v>
      </c>
      <c r="V604" s="39" t="str">
        <f t="shared" si="378"/>
        <v> </v>
      </c>
      <c r="AI604" t="str">
        <f t="array" ref="AI604">IFERROR(INDEX($L$2:$L$189,SMALL(IF(ISNUMBER(FIND($AH$2,$C$2:$C$189)),ROW($2:$189)-1,4^8),ROW(#REF!)))&amp;"","")</f>
        <v/>
      </c>
      <c r="AT604" t="str">
        <f t="shared" si="394"/>
        <v>499640.7394,3347357.8149</v>
      </c>
      <c r="AV604">
        <f t="shared" si="395"/>
        <v>441.382</v>
      </c>
      <c r="AX604" t="str">
        <f t="shared" si="396"/>
        <v>pl 48214.7565894507,279 48214.7565894507,400 </v>
      </c>
      <c r="AY604" t="str">
        <f t="shared" si="397"/>
        <v>48214.7565894507,436.282</v>
      </c>
      <c r="AZ604" t="str">
        <f t="shared" si="398"/>
        <v>48214.7565894507,439.983</v>
      </c>
      <c r="BA604" t="str">
        <f t="shared" si="399"/>
        <v>48214.7565894507,441.382</v>
      </c>
      <c r="BB604" t="str">
        <f t="shared" si="400"/>
        <v>-text 48213.7565894507,337 3.5 90 436.282 </v>
      </c>
      <c r="BC604" t="str">
        <f t="shared" si="401"/>
        <v>-text 48213.7565894507,320 3.5 90 441.382 </v>
      </c>
      <c r="BD604" t="str">
        <f t="shared" si="402"/>
        <v>-text 48213.7565894507,306 3.5 90 439.983 </v>
      </c>
      <c r="BE604" t="str">
        <f t="shared" si="403"/>
        <v>-text 48213.7565894507,352 3.5 90 ZG96+429.513 </v>
      </c>
      <c r="BF604" t="str">
        <f t="shared" si="404"/>
        <v>-text 48213.7565894507,280 3.5 90 龙口村隧进 </v>
      </c>
      <c r="BG604" t="str">
        <f t="shared" si="405"/>
        <v/>
      </c>
      <c r="BH604" t="str">
        <f t="shared" si="406"/>
        <v> </v>
      </c>
      <c r="BI604" t="str">
        <f t="shared" si="407"/>
        <v> </v>
      </c>
      <c r="BJ604" t="str">
        <f t="shared" si="408"/>
        <v> </v>
      </c>
    </row>
    <row r="605" spans="1:62">
      <c r="A605">
        <v>1</v>
      </c>
      <c r="B605">
        <v>604</v>
      </c>
      <c r="C605" t="s">
        <v>565</v>
      </c>
      <c r="D605" s="39">
        <v>499842.1453</v>
      </c>
      <c r="E605" s="39">
        <v>3347295.1217</v>
      </c>
      <c r="F605">
        <v>60</v>
      </c>
      <c r="G605">
        <f t="shared" si="393"/>
        <v>22.91</v>
      </c>
      <c r="H605">
        <f t="shared" si="367"/>
        <v>12.1580713143983</v>
      </c>
      <c r="I605">
        <f t="shared" si="368"/>
        <v>23.991295897914</v>
      </c>
      <c r="J605">
        <f t="shared" si="369"/>
        <v>210.937843643675</v>
      </c>
      <c r="K605" s="40">
        <f t="shared" si="370"/>
        <v>96628.2929512307</v>
      </c>
      <c r="L605" s="40">
        <f t="shared" si="371"/>
        <v>96640.2885991796</v>
      </c>
      <c r="M605" s="40">
        <f t="shared" si="372"/>
        <v>96652.2842471286</v>
      </c>
      <c r="N605">
        <v>439.944</v>
      </c>
      <c r="O605">
        <v>436.243</v>
      </c>
      <c r="P605">
        <v>0.001</v>
      </c>
      <c r="Q605" s="39">
        <f t="shared" si="373"/>
        <v>499830.536632475</v>
      </c>
      <c r="R605" s="39">
        <f t="shared" si="374"/>
        <v>3347298.73522133</v>
      </c>
      <c r="S605" s="39">
        <f t="shared" si="375"/>
        <v>499841.558864359</v>
      </c>
      <c r="T605" s="39">
        <f t="shared" si="376"/>
        <v>3347294.05255224</v>
      </c>
      <c r="U605" s="39">
        <f t="shared" si="377"/>
        <v>499851.4315874</v>
      </c>
      <c r="V605" s="39">
        <f t="shared" si="378"/>
        <v>3347287.27418037</v>
      </c>
      <c r="AI605" t="str">
        <f t="array" ref="AI605">IFERROR(INDEX($L$2:$L$189,SMALL(IF(ISNUMBER(FIND($AH$2,$C$2:$C$189)),ROW($2:$189)-1,4^8),ROW(A604)))&amp;"","")</f>
        <v/>
      </c>
      <c r="AS605" t="str">
        <f>"-text"&amp;" "&amp;D605&amp;","&amp;E605&amp;" "&amp;"10"&amp;" "&amp;"0"&amp;" "&amp;C605</f>
        <v>-text 499842.1453,3347295.1217 10 0 IP332</v>
      </c>
      <c r="AT605" t="str">
        <f t="shared" si="394"/>
        <v>499842.1453,3347295.1217</v>
      </c>
      <c r="AV605">
        <f t="shared" si="395"/>
        <v>441.343</v>
      </c>
      <c r="AX605" t="str">
        <f t="shared" si="396"/>
        <v>pl 48320.1442995898,279 48320.1442995898,400 </v>
      </c>
      <c r="AY605" t="str">
        <f t="shared" si="397"/>
        <v>48320.1442995898,436.243</v>
      </c>
      <c r="AZ605" t="str">
        <f t="shared" si="398"/>
        <v>48320.1442995898,439.944</v>
      </c>
      <c r="BA605" t="str">
        <f t="shared" si="399"/>
        <v>48320.1442995898,441.343</v>
      </c>
      <c r="BB605" t="str">
        <f t="shared" si="400"/>
        <v>-text 48319.1442995898,337 3.5 90 436.243 </v>
      </c>
      <c r="BC605" t="str">
        <f t="shared" si="401"/>
        <v>-text 48319.1442995898,320 3.5 90 441.343 </v>
      </c>
      <c r="BD605" t="str">
        <f t="shared" si="402"/>
        <v>-text 48319.1442995898,306 3.5 90 439.944 </v>
      </c>
      <c r="BE605" t="str">
        <f t="shared" si="403"/>
        <v>-text 48319.1442995898,352 3.5 90 ZG96+640.289 </v>
      </c>
      <c r="BF605" t="str">
        <f t="shared" si="404"/>
        <v>-text 48319.1442995898,280 3.5 90 IP332 </v>
      </c>
      <c r="BG605" t="str">
        <f t="shared" si="405"/>
        <v>-TEXT 48321.1442995898,300 3.5 0 R=60</v>
      </c>
      <c r="BH605" t="str">
        <f t="shared" si="406"/>
        <v>-TEXT 48321.1442995898,295 3.5 0 α=22.91° </v>
      </c>
      <c r="BI605" t="str">
        <f t="shared" si="407"/>
        <v>-TEXT 48321.1442995898,290 3.5 0 T=12.16 </v>
      </c>
      <c r="BJ605" t="str">
        <f t="shared" si="408"/>
        <v>-TEXT 48321.1442995898,285 3.5 0 S=23.99 </v>
      </c>
    </row>
    <row r="606" spans="1:62">
      <c r="A606">
        <v>1</v>
      </c>
      <c r="B606">
        <v>605</v>
      </c>
      <c r="C606" t="str">
        <f>Sheet1!C554</f>
        <v>龙口村隧出</v>
      </c>
      <c r="D606" s="39">
        <v>500002.0895</v>
      </c>
      <c r="E606" s="39">
        <v>3347159.9584</v>
      </c>
      <c r="F606">
        <v>0</v>
      </c>
      <c r="G606">
        <f t="shared" si="393"/>
        <v>0</v>
      </c>
      <c r="H606">
        <f t="shared" si="367"/>
        <v>0</v>
      </c>
      <c r="I606">
        <f t="shared" si="368"/>
        <v>0</v>
      </c>
      <c r="J606">
        <f t="shared" si="369"/>
        <v>209.40693584639</v>
      </c>
      <c r="K606" s="40">
        <f t="shared" ref="K604:K639" si="409">L606-I606/2</f>
        <v>96849.5331116606</v>
      </c>
      <c r="L606" s="40">
        <f t="shared" ref="L604:L639" si="410">L605+J606-H606+I606/2+I605/2-H605</f>
        <v>96849.5331116606</v>
      </c>
      <c r="M606" s="40">
        <f t="shared" ref="M604:M639" si="411">K606+I606</f>
        <v>96849.5331116606</v>
      </c>
      <c r="N606">
        <v>439.906</v>
      </c>
      <c r="O606">
        <v>436.205</v>
      </c>
      <c r="P606">
        <v>0</v>
      </c>
      <c r="Q606" s="39">
        <f t="shared" si="373"/>
        <v>500002.0895</v>
      </c>
      <c r="R606" s="39">
        <f t="shared" si="374"/>
        <v>3347159.9584</v>
      </c>
      <c r="S606" s="39" t="str">
        <f t="shared" si="375"/>
        <v> </v>
      </c>
      <c r="T606" s="39" t="str">
        <f t="shared" si="376"/>
        <v> </v>
      </c>
      <c r="U606" s="39" t="str">
        <f t="shared" ref="U604:U648" si="412">IF(G606=0," ",D606+(D607-D606)/J607*H606)</f>
        <v> </v>
      </c>
      <c r="V606" s="39" t="str">
        <f t="shared" ref="V604:V648" si="413">IF(G606=0," ",E606+(E607-E606)/J607*H606)</f>
        <v> </v>
      </c>
      <c r="AI606" t="str">
        <f t="array" ref="AI606">IFERROR(INDEX($L$2:$L$189,SMALL(IF(ISNUMBER(FIND($AH$2,$C$2:$C$189)),ROW($2:$189)-1,4^8),ROW(A605)))&amp;"","")</f>
        <v/>
      </c>
      <c r="AT606" t="str">
        <f t="shared" si="394"/>
        <v>500002.0895,3347159.9584</v>
      </c>
      <c r="AV606">
        <f t="shared" si="395"/>
        <v>441.305</v>
      </c>
      <c r="AX606" t="str">
        <f t="shared" si="396"/>
        <v>pl 48424.7665558303,279 48424.7665558303,400 </v>
      </c>
      <c r="AY606" t="str">
        <f t="shared" si="397"/>
        <v>48424.7665558303,436.205</v>
      </c>
      <c r="AZ606" t="str">
        <f t="shared" si="398"/>
        <v>48424.7665558303,439.906</v>
      </c>
      <c r="BA606" t="str">
        <f t="shared" si="399"/>
        <v>48424.7665558303,441.305</v>
      </c>
      <c r="BB606" t="str">
        <f t="shared" si="400"/>
        <v>-text 48423.7665558303,337 3.5 90 436.205 </v>
      </c>
      <c r="BC606" t="str">
        <f t="shared" si="401"/>
        <v>-text 48423.7665558303,320 3.5 90 441.305 </v>
      </c>
      <c r="BD606" t="str">
        <f t="shared" si="402"/>
        <v>-text 48423.7665558303,306 3.5 90 439.906 </v>
      </c>
      <c r="BE606" t="str">
        <f t="shared" si="403"/>
        <v>-text 48423.7665558303,352 3.5 90 ZG96+849.533 </v>
      </c>
      <c r="BF606" t="str">
        <f t="shared" si="404"/>
        <v>-text 48423.7665558303,280 3.5 90 龙口村隧出 </v>
      </c>
      <c r="BG606" t="str">
        <f t="shared" si="405"/>
        <v/>
      </c>
      <c r="BH606" t="str">
        <f t="shared" si="406"/>
        <v> </v>
      </c>
      <c r="BI606" t="str">
        <f t="shared" si="407"/>
        <v> </v>
      </c>
      <c r="BJ606" t="str">
        <f t="shared" si="408"/>
        <v> </v>
      </c>
    </row>
    <row r="607" spans="1:62">
      <c r="A607">
        <v>0</v>
      </c>
      <c r="B607">
        <v>606</v>
      </c>
      <c r="C607" s="61" t="str">
        <f>Sheet1!C556</f>
        <v>龙口村泄水闸进</v>
      </c>
      <c r="D607" s="62">
        <v>500037.8126</v>
      </c>
      <c r="E607" s="62">
        <v>3347129.77</v>
      </c>
      <c r="F607">
        <v>0</v>
      </c>
      <c r="G607">
        <f t="shared" si="393"/>
        <v>0</v>
      </c>
      <c r="H607">
        <f t="shared" si="367"/>
        <v>0</v>
      </c>
      <c r="I607">
        <f t="shared" si="368"/>
        <v>0</v>
      </c>
      <c r="J607">
        <f t="shared" si="369"/>
        <v>46.7704967705309</v>
      </c>
      <c r="K607" s="40">
        <f t="shared" si="409"/>
        <v>96896.3036084311</v>
      </c>
      <c r="L607" s="40">
        <f t="shared" si="410"/>
        <v>96896.3036084311</v>
      </c>
      <c r="M607" s="40">
        <f t="shared" si="411"/>
        <v>96896.3036084311</v>
      </c>
      <c r="N607" s="47">
        <v>439.91</v>
      </c>
      <c r="O607" s="47">
        <v>436.177</v>
      </c>
      <c r="P607">
        <v>0</v>
      </c>
      <c r="Q607" s="39">
        <f t="shared" si="373"/>
        <v>500037.8126</v>
      </c>
      <c r="R607" s="39">
        <f t="shared" si="374"/>
        <v>3347129.77</v>
      </c>
      <c r="S607" s="39" t="str">
        <f t="shared" si="375"/>
        <v> </v>
      </c>
      <c r="T607" s="39" t="str">
        <f t="shared" si="376"/>
        <v> </v>
      </c>
      <c r="U607" s="39" t="str">
        <f t="shared" si="412"/>
        <v> </v>
      </c>
      <c r="V607" s="39" t="str">
        <f t="shared" si="413"/>
        <v> </v>
      </c>
      <c r="AI607" t="str">
        <f t="array" ref="AI607">IFERROR(INDEX($L$2:$L$189,SMALL(IF(ISNUMBER(FIND($AH$2,$C$2:$C$189)),ROW($2:$189)-1,4^8),ROW(A606)))&amp;"","")</f>
        <v/>
      </c>
      <c r="AT607" t="str">
        <f t="shared" si="394"/>
        <v>500037.8126,3347129.77</v>
      </c>
      <c r="AV607">
        <f t="shared" si="395"/>
        <v>441.577</v>
      </c>
      <c r="AX607" t="str">
        <f t="shared" si="396"/>
        <v>pl 48448.1518042156,279 48448.1518042156,400 </v>
      </c>
      <c r="AY607" t="str">
        <f t="shared" si="397"/>
        <v>48448.1518042156,436.177</v>
      </c>
      <c r="AZ607" t="str">
        <f t="shared" si="398"/>
        <v>48448.1518042156,439.91</v>
      </c>
      <c r="BA607" t="str">
        <f t="shared" si="399"/>
        <v>48448.1518042156,441.577</v>
      </c>
      <c r="BB607" t="str">
        <f t="shared" si="400"/>
        <v>-text 48447.1518042156,337 3.5 90 436.177 </v>
      </c>
      <c r="BC607" t="str">
        <f t="shared" si="401"/>
        <v>-text 48447.1518042156,320 3.5 90 441.577 </v>
      </c>
      <c r="BD607" t="str">
        <f t="shared" si="402"/>
        <v>-text 48447.1518042156,306 3.5 90 439.910 </v>
      </c>
      <c r="BE607" t="str">
        <f t="shared" si="403"/>
        <v>-text 48447.1518042156,352 3.5 90 ZG96+896.304 </v>
      </c>
      <c r="BF607" t="str">
        <f t="shared" si="404"/>
        <v>-text 48447.1518042156,280 3.5 90 龙口村泄水闸进 </v>
      </c>
      <c r="BG607" t="str">
        <f t="shared" si="405"/>
        <v/>
      </c>
      <c r="BH607" t="str">
        <f t="shared" si="406"/>
        <v> </v>
      </c>
      <c r="BI607" t="str">
        <f t="shared" si="407"/>
        <v> </v>
      </c>
      <c r="BJ607" t="str">
        <f t="shared" si="408"/>
        <v> </v>
      </c>
    </row>
    <row r="608" spans="1:62">
      <c r="A608">
        <v>0</v>
      </c>
      <c r="B608">
        <v>607</v>
      </c>
      <c r="C608" s="61" t="str">
        <f>Sheet1!C557</f>
        <v>龙口村泄水闸出</v>
      </c>
      <c r="D608" s="62">
        <v>500037.8126</v>
      </c>
      <c r="E608" s="62">
        <v>3347129.77</v>
      </c>
      <c r="F608">
        <v>0</v>
      </c>
      <c r="G608">
        <f t="shared" si="393"/>
        <v>0</v>
      </c>
      <c r="H608">
        <f t="shared" si="367"/>
        <v>0</v>
      </c>
      <c r="I608">
        <f t="shared" si="368"/>
        <v>0</v>
      </c>
      <c r="J608">
        <f t="shared" si="369"/>
        <v>0</v>
      </c>
      <c r="K608" s="40">
        <f t="shared" si="409"/>
        <v>96896.3036084311</v>
      </c>
      <c r="L608" s="40">
        <f t="shared" si="410"/>
        <v>96896.3036084311</v>
      </c>
      <c r="M608" s="40">
        <f t="shared" si="411"/>
        <v>96896.3036084311</v>
      </c>
      <c r="N608" s="47">
        <v>439.88</v>
      </c>
      <c r="O608" s="47">
        <v>436.147</v>
      </c>
      <c r="P608">
        <v>0</v>
      </c>
      <c r="Q608" s="39">
        <f t="shared" si="373"/>
        <v>500037.8126</v>
      </c>
      <c r="R608" s="39">
        <f t="shared" si="374"/>
        <v>3347129.77</v>
      </c>
      <c r="S608" s="39" t="str">
        <f t="shared" si="375"/>
        <v> </v>
      </c>
      <c r="T608" s="39" t="str">
        <f t="shared" si="376"/>
        <v> </v>
      </c>
      <c r="U608" s="39" t="str">
        <f t="shared" si="412"/>
        <v> </v>
      </c>
      <c r="V608" s="39" t="str">
        <f t="shared" si="413"/>
        <v> </v>
      </c>
      <c r="AI608" t="str">
        <f t="array" ref="AI608">IFERROR(INDEX($L$2:$L$189,SMALL(IF(ISNUMBER(FIND($AH$2,$C$2:$C$189)),ROW($2:$189)-1,4^8),ROW(A607)))&amp;"","")</f>
        <v/>
      </c>
      <c r="AT608" t="str">
        <f t="shared" si="394"/>
        <v>500037.8126,3347129.77</v>
      </c>
      <c r="AV608">
        <f t="shared" si="395"/>
        <v>441.547</v>
      </c>
      <c r="AX608" t="str">
        <f t="shared" si="396"/>
        <v>pl 48448.1518042156,279 48448.1518042156,400 </v>
      </c>
      <c r="AY608" t="str">
        <f t="shared" si="397"/>
        <v>48448.1518042156,436.147</v>
      </c>
      <c r="AZ608" t="str">
        <f t="shared" si="398"/>
        <v>48448.1518042156,439.88</v>
      </c>
      <c r="BA608" t="str">
        <f t="shared" si="399"/>
        <v>48448.1518042156,441.547</v>
      </c>
      <c r="BB608" t="str">
        <f t="shared" si="400"/>
        <v>-text 48447.1518042156,337 3.5 90 436.147 </v>
      </c>
      <c r="BC608" t="str">
        <f t="shared" si="401"/>
        <v>-text 48447.1518042156,320 3.5 90 441.547 </v>
      </c>
      <c r="BD608" t="str">
        <f t="shared" si="402"/>
        <v>-text 48447.1518042156,306 3.5 90 439.880 </v>
      </c>
      <c r="BE608" t="str">
        <f t="shared" si="403"/>
        <v>-text 48447.1518042156,352 3.5 90 ZG96+896.304 </v>
      </c>
      <c r="BF608" t="str">
        <f t="shared" si="404"/>
        <v>-text 48447.1518042156,280 3.5 90 龙口村泄水闸出 </v>
      </c>
      <c r="BG608" t="str">
        <f t="shared" si="405"/>
        <v/>
      </c>
      <c r="BH608" t="str">
        <f t="shared" si="406"/>
        <v> </v>
      </c>
      <c r="BI608" t="str">
        <f t="shared" si="407"/>
        <v> </v>
      </c>
      <c r="BJ608" t="str">
        <f t="shared" si="408"/>
        <v> </v>
      </c>
    </row>
    <row r="609" spans="1:62">
      <c r="A609">
        <v>0</v>
      </c>
      <c r="B609">
        <v>608</v>
      </c>
      <c r="C609" t="s">
        <v>567</v>
      </c>
      <c r="D609" s="49">
        <v>500058.1473</v>
      </c>
      <c r="E609" s="49">
        <v>3347112.5858</v>
      </c>
      <c r="F609">
        <v>60</v>
      </c>
      <c r="G609">
        <f t="shared" si="393"/>
        <v>32.054</v>
      </c>
      <c r="H609">
        <f t="shared" si="367"/>
        <v>17.2353264151476</v>
      </c>
      <c r="I609">
        <f t="shared" si="368"/>
        <v>33.5668703060557</v>
      </c>
      <c r="J609">
        <f t="shared" si="369"/>
        <v>26.6232371009028</v>
      </c>
      <c r="K609" s="40">
        <f t="shared" si="409"/>
        <v>96905.6915191169</v>
      </c>
      <c r="L609" s="40">
        <f t="shared" si="410"/>
        <v>96922.4749542699</v>
      </c>
      <c r="M609" s="40">
        <f t="shared" si="411"/>
        <v>96939.2583894229</v>
      </c>
      <c r="N609" s="47">
        <v>439.865</v>
      </c>
      <c r="O609" s="47">
        <v>436.132</v>
      </c>
      <c r="P609" s="47">
        <v>0.001</v>
      </c>
      <c r="Q609" s="39">
        <f t="shared" si="373"/>
        <v>500044.983040871</v>
      </c>
      <c r="R609" s="39">
        <f t="shared" si="374"/>
        <v>3347123.71049138</v>
      </c>
      <c r="S609" s="39">
        <f t="shared" si="375"/>
        <v>500056.130374941</v>
      </c>
      <c r="T609" s="39">
        <f t="shared" si="376"/>
        <v>3347111.2369591</v>
      </c>
      <c r="U609" s="39">
        <f t="shared" si="412"/>
        <v>500063.400647799</v>
      </c>
      <c r="V609" s="39">
        <f t="shared" si="413"/>
        <v>3347096.17059931</v>
      </c>
      <c r="AI609" t="str">
        <f t="array" ref="AI609">IFERROR(INDEX($L$2:$L$189,SMALL(IF(ISNUMBER(FIND($AH$2,$C$2:$C$189)),ROW($2:$189)-1,4^8),ROW(A608)))&amp;"","")</f>
        <v/>
      </c>
      <c r="AS609" t="str">
        <f>"-text"&amp;" "&amp;D609&amp;","&amp;E609&amp;" "&amp;"10"&amp;" "&amp;"0"&amp;" "&amp;C609</f>
        <v>-text 500058.1473,3347112.5858 10 0 IP333</v>
      </c>
      <c r="AT609" t="str">
        <f t="shared" si="394"/>
        <v>500058.1473,3347112.5858</v>
      </c>
      <c r="AV609">
        <f t="shared" si="395"/>
        <v>441.532</v>
      </c>
      <c r="AX609" t="str">
        <f t="shared" si="396"/>
        <v>pl 48461.237477135,279 48461.237477135,400 </v>
      </c>
      <c r="AY609" t="str">
        <f t="shared" si="397"/>
        <v>48461.237477135,436.132</v>
      </c>
      <c r="AZ609" t="str">
        <f t="shared" si="398"/>
        <v>48461.237477135,439.865</v>
      </c>
      <c r="BA609" t="str">
        <f t="shared" si="399"/>
        <v>48461.237477135,441.532</v>
      </c>
      <c r="BB609" t="str">
        <f t="shared" si="400"/>
        <v>-text 48460.237477135,337 3.5 90 436.132 </v>
      </c>
      <c r="BC609" t="str">
        <f t="shared" si="401"/>
        <v>-text 48460.237477135,320 3.5 90 441.532 </v>
      </c>
      <c r="BD609" t="str">
        <f t="shared" si="402"/>
        <v>-text 48460.237477135,306 3.5 90 439.865 </v>
      </c>
      <c r="BE609" t="str">
        <f t="shared" si="403"/>
        <v>-text 48460.237477135,352 3.5 90 ZG96+922.475 </v>
      </c>
      <c r="BF609" t="str">
        <f t="shared" si="404"/>
        <v>-text 48460.237477135,280 3.5 90 IP333 </v>
      </c>
      <c r="BG609" t="str">
        <f t="shared" si="405"/>
        <v>-TEXT 48462.237477135,300 3.5 0 R=60</v>
      </c>
      <c r="BH609" t="str">
        <f t="shared" si="406"/>
        <v>-TEXT 48462.237477135,295 3.5 0 α=32.05° </v>
      </c>
      <c r="BI609" t="str">
        <f t="shared" si="407"/>
        <v>-TEXT 48462.237477135,290 3.5 0 T=17.24 </v>
      </c>
      <c r="BJ609" t="str">
        <f t="shared" si="408"/>
        <v>-TEXT 48462.237477135,285 3.5 0 S=33.57 </v>
      </c>
    </row>
    <row r="610" spans="1:62">
      <c r="A610">
        <v>2</v>
      </c>
      <c r="B610">
        <v>609</v>
      </c>
      <c r="C610" t="str">
        <f>Sheet1!C558</f>
        <v>龙口村渡槽进</v>
      </c>
      <c r="D610" s="39">
        <v>500064.9261</v>
      </c>
      <c r="E610" s="39">
        <v>3347091.404</v>
      </c>
      <c r="F610">
        <v>0</v>
      </c>
      <c r="G610">
        <f t="shared" si="393"/>
        <v>0</v>
      </c>
      <c r="H610">
        <f t="shared" si="367"/>
        <v>0</v>
      </c>
      <c r="I610">
        <f t="shared" si="368"/>
        <v>0</v>
      </c>
      <c r="J610">
        <f t="shared" si="369"/>
        <v>22.2400715078782</v>
      </c>
      <c r="K610" s="40">
        <f t="shared" si="409"/>
        <v>96944.2631345157</v>
      </c>
      <c r="L610" s="40">
        <f t="shared" si="410"/>
        <v>96944.2631345157</v>
      </c>
      <c r="M610" s="40">
        <f t="shared" si="411"/>
        <v>96944.2631345157</v>
      </c>
      <c r="N610">
        <v>439.819</v>
      </c>
      <c r="O610">
        <v>436.42</v>
      </c>
      <c r="P610">
        <v>0</v>
      </c>
      <c r="Q610" s="39">
        <f t="shared" si="373"/>
        <v>500064.9261</v>
      </c>
      <c r="R610" s="39">
        <f t="shared" si="374"/>
        <v>3347091.404</v>
      </c>
      <c r="S610" s="39" t="str">
        <f t="shared" si="375"/>
        <v> </v>
      </c>
      <c r="T610" s="39" t="str">
        <f t="shared" si="376"/>
        <v> </v>
      </c>
      <c r="U610" s="39" t="str">
        <f t="shared" si="412"/>
        <v> </v>
      </c>
      <c r="V610" s="39" t="str">
        <f t="shared" si="413"/>
        <v> </v>
      </c>
      <c r="AI610" t="str">
        <f t="array" ref="AI610">IFERROR(INDEX($L$2:$L$189,SMALL(IF(ISNUMBER(FIND($AH$2,$C$2:$C$189)),ROW($2:$189)-1,4^8),ROW(A609)))&amp;"","")</f>
        <v/>
      </c>
      <c r="AT610" t="str">
        <f t="shared" si="394"/>
        <v>500064.9261,3347091.404</v>
      </c>
      <c r="AV610">
        <f t="shared" si="395"/>
        <v>440.67</v>
      </c>
      <c r="AX610" t="str">
        <f t="shared" si="396"/>
        <v>pl 48472.1315672578,279 48472.1315672578,400 </v>
      </c>
      <c r="AY610" t="str">
        <f t="shared" si="397"/>
        <v>48472.1315672578,436.42</v>
      </c>
      <c r="AZ610" t="str">
        <f t="shared" si="398"/>
        <v>48472.1315672578,439.819</v>
      </c>
      <c r="BA610" t="str">
        <f t="shared" si="399"/>
        <v>48472.1315672578,440.67</v>
      </c>
      <c r="BB610" t="str">
        <f t="shared" si="400"/>
        <v>-text 48471.1315672578,337 3.5 90 436.420 </v>
      </c>
      <c r="BC610" t="str">
        <f t="shared" si="401"/>
        <v>-text 48471.1315672578,320 3.5 90 440.670 </v>
      </c>
      <c r="BD610" t="str">
        <f t="shared" si="402"/>
        <v>-text 48471.1315672578,306 3.5 90 439.819 </v>
      </c>
      <c r="BE610" t="str">
        <f t="shared" si="403"/>
        <v>-text 48471.1315672578,352 3.5 90 ZG96+944.263 </v>
      </c>
      <c r="BF610" t="str">
        <f t="shared" si="404"/>
        <v>-text 48471.1315672578,280 3.5 90 龙口村渡槽进 </v>
      </c>
      <c r="BG610" t="str">
        <f t="shared" si="405"/>
        <v/>
      </c>
      <c r="BH610" t="str">
        <f t="shared" si="406"/>
        <v> </v>
      </c>
      <c r="BI610" t="str">
        <f t="shared" si="407"/>
        <v> </v>
      </c>
      <c r="BJ610" t="str">
        <f t="shared" si="408"/>
        <v> </v>
      </c>
    </row>
    <row r="611" spans="1:62">
      <c r="A611">
        <v>2</v>
      </c>
      <c r="B611">
        <v>610</v>
      </c>
      <c r="C611" t="s">
        <v>569</v>
      </c>
      <c r="D611" s="39">
        <v>500089.6576</v>
      </c>
      <c r="E611" s="39">
        <v>3347014.1249</v>
      </c>
      <c r="F611">
        <v>60</v>
      </c>
      <c r="G611">
        <f t="shared" si="393"/>
        <v>34.124</v>
      </c>
      <c r="H611">
        <f t="shared" si="367"/>
        <v>18.4148593961874</v>
      </c>
      <c r="I611">
        <f t="shared" si="368"/>
        <v>35.7345692370327</v>
      </c>
      <c r="J611">
        <f t="shared" si="369"/>
        <v>81.1400418353875</v>
      </c>
      <c r="K611" s="40">
        <f t="shared" si="409"/>
        <v>97006.9883169549</v>
      </c>
      <c r="L611" s="40">
        <f t="shared" si="410"/>
        <v>97024.8556015734</v>
      </c>
      <c r="M611" s="40">
        <f t="shared" si="411"/>
        <v>97042.7228861919</v>
      </c>
      <c r="N611">
        <v>439.795</v>
      </c>
      <c r="O611">
        <v>436.396</v>
      </c>
      <c r="P611">
        <v>0.002</v>
      </c>
      <c r="Q611" s="39">
        <f t="shared" si="373"/>
        <v>500084.044747395</v>
      </c>
      <c r="R611" s="39">
        <f t="shared" si="374"/>
        <v>3347031.66351261</v>
      </c>
      <c r="S611" s="39">
        <f t="shared" si="375"/>
        <v>500086.895491059</v>
      </c>
      <c r="T611" s="39">
        <f t="shared" si="376"/>
        <v>3347014.09191731</v>
      </c>
      <c r="U611" s="39">
        <f t="shared" si="412"/>
        <v>500084.465149716</v>
      </c>
      <c r="V611" s="39">
        <f t="shared" si="413"/>
        <v>3346996.4572599</v>
      </c>
      <c r="AI611" t="str">
        <f t="array" ref="AI611">IFERROR(INDEX($L$2:$L$189,SMALL(IF(ISNUMBER(FIND($AH$2,$C$2:$C$189)),ROW($2:$189)-1,4^8),ROW(A610)))&amp;"","")</f>
        <v/>
      </c>
      <c r="AS611" t="str">
        <f>"-text"&amp;" "&amp;D611&amp;","&amp;E611&amp;" "&amp;"10"&amp;" "&amp;"0"&amp;" "&amp;C611</f>
        <v>-text 500089.6576,3347014.1249 10 0 IP334</v>
      </c>
      <c r="AT611" t="str">
        <f t="shared" si="394"/>
        <v>500089.6576,3347014.1249</v>
      </c>
      <c r="AV611">
        <f t="shared" si="395"/>
        <v>440.646</v>
      </c>
      <c r="AX611" t="str">
        <f t="shared" si="396"/>
        <v>pl 48512.4278007867,279 48512.4278007867,400 </v>
      </c>
      <c r="AY611" t="str">
        <f t="shared" si="397"/>
        <v>48512.4278007867,436.396</v>
      </c>
      <c r="AZ611" t="str">
        <f t="shared" si="398"/>
        <v>48512.4278007867,439.795</v>
      </c>
      <c r="BA611" t="str">
        <f t="shared" si="399"/>
        <v>48512.4278007867,440.646</v>
      </c>
      <c r="BB611" t="str">
        <f t="shared" si="400"/>
        <v>-text 48511.4278007867,337 3.5 90 436.396 </v>
      </c>
      <c r="BC611" t="str">
        <f t="shared" si="401"/>
        <v>-text 48511.4278007867,320 3.5 90 440.646 </v>
      </c>
      <c r="BD611" t="str">
        <f t="shared" si="402"/>
        <v>-text 48511.4278007867,306 3.5 90 439.795 </v>
      </c>
      <c r="BE611" t="str">
        <f t="shared" si="403"/>
        <v>-text 48511.4278007867,352 3.5 90 ZG97+024.856 </v>
      </c>
      <c r="BF611" t="str">
        <f t="shared" si="404"/>
        <v>-text 48511.4278007867,280 3.5 90 IP334 </v>
      </c>
      <c r="BG611" t="str">
        <f t="shared" si="405"/>
        <v>-TEXT 48513.4278007867,300 3.5 0 R=60</v>
      </c>
      <c r="BH611" t="str">
        <f t="shared" si="406"/>
        <v>-TEXT 48513.4278007867,295 3.5 0 α=34.12° </v>
      </c>
      <c r="BI611" t="str">
        <f t="shared" si="407"/>
        <v>-TEXT 48513.4278007867,290 3.5 0 T=18.41 </v>
      </c>
      <c r="BJ611" t="str">
        <f t="shared" si="408"/>
        <v>-TEXT 48513.4278007867,285 3.5 0 S=35.73 </v>
      </c>
    </row>
    <row r="612" spans="1:62">
      <c r="A612">
        <v>2</v>
      </c>
      <c r="B612">
        <v>611</v>
      </c>
      <c r="C612" t="s">
        <v>573</v>
      </c>
      <c r="D612" s="39">
        <v>500020.6493</v>
      </c>
      <c r="E612" s="39">
        <v>3346779.3198</v>
      </c>
      <c r="F612">
        <v>60</v>
      </c>
      <c r="G612">
        <f t="shared" si="393"/>
        <v>39.676</v>
      </c>
      <c r="H612">
        <f t="shared" si="367"/>
        <v>21.6462913083824</v>
      </c>
      <c r="I612">
        <f t="shared" si="368"/>
        <v>41.5486100412762</v>
      </c>
      <c r="J612">
        <f t="shared" si="369"/>
        <v>244.735735957986</v>
      </c>
      <c r="K612" s="40">
        <f t="shared" si="409"/>
        <v>97247.3974714454</v>
      </c>
      <c r="L612" s="40">
        <f t="shared" si="410"/>
        <v>97268.171776466</v>
      </c>
      <c r="M612" s="40">
        <f t="shared" si="411"/>
        <v>97288.9460814866</v>
      </c>
      <c r="N612">
        <v>439.723</v>
      </c>
      <c r="O612">
        <v>436.324</v>
      </c>
      <c r="P612">
        <v>0.002</v>
      </c>
      <c r="Q612" s="39">
        <f t="shared" si="373"/>
        <v>500026.752919313</v>
      </c>
      <c r="R612" s="39">
        <f t="shared" si="374"/>
        <v>3346800.08775028</v>
      </c>
      <c r="S612" s="39">
        <f t="shared" si="375"/>
        <v>500024.427693896</v>
      </c>
      <c r="T612" s="39">
        <f t="shared" si="376"/>
        <v>3346779.54826381</v>
      </c>
      <c r="U612" s="39">
        <f t="shared" si="412"/>
        <v>500029.21080552</v>
      </c>
      <c r="V612" s="39">
        <f t="shared" si="413"/>
        <v>3346759.438589</v>
      </c>
      <c r="AI612" t="str">
        <f t="array" ref="AI612">IFERROR(INDEX($L$2:$L$189,SMALL(IF(ISNUMBER(FIND($AH$2,$C$2:$C$189)),ROW($2:$189)-1,4^8),ROW(A611)))&amp;"","")</f>
        <v/>
      </c>
      <c r="AS612" t="str">
        <f>"-text"&amp;" "&amp;D612&amp;","&amp;E612&amp;" "&amp;"10"&amp;" "&amp;"0"&amp;" "&amp;C612</f>
        <v>-text 500020.6493,3346779.3198 10 0 IP335</v>
      </c>
      <c r="AT612" t="str">
        <f t="shared" si="394"/>
        <v>500020.6493,3346779.3198</v>
      </c>
      <c r="AV612">
        <f t="shared" si="395"/>
        <v>440.574</v>
      </c>
      <c r="AX612" t="str">
        <f t="shared" si="396"/>
        <v>pl 48634.085888233,279 48634.085888233,400 </v>
      </c>
      <c r="AY612" t="str">
        <f t="shared" si="397"/>
        <v>48634.085888233,436.324</v>
      </c>
      <c r="AZ612" t="str">
        <f t="shared" si="398"/>
        <v>48634.085888233,439.723</v>
      </c>
      <c r="BA612" t="str">
        <f t="shared" si="399"/>
        <v>48634.085888233,440.574</v>
      </c>
      <c r="BB612" t="str">
        <f t="shared" si="400"/>
        <v>-text 48633.085888233,337 3.5 90 436.324 </v>
      </c>
      <c r="BC612" t="str">
        <f t="shared" si="401"/>
        <v>-text 48633.085888233,320 3.5 90 440.574 </v>
      </c>
      <c r="BD612" t="str">
        <f t="shared" si="402"/>
        <v>-text 48633.085888233,306 3.5 90 439.723 </v>
      </c>
      <c r="BE612" t="str">
        <f t="shared" si="403"/>
        <v>-text 48633.085888233,352 3.5 90 ZG97+268.172 </v>
      </c>
      <c r="BF612" t="str">
        <f t="shared" si="404"/>
        <v>-text 48633.085888233,280 3.5 90 IP335 </v>
      </c>
      <c r="BG612" t="str">
        <f t="shared" si="405"/>
        <v>-TEXT 48635.085888233,300 3.5 0 R=60</v>
      </c>
      <c r="BH612" t="str">
        <f t="shared" si="406"/>
        <v>-TEXT 48635.085888233,295 3.5 0 α=39.68° </v>
      </c>
      <c r="BI612" t="str">
        <f t="shared" si="407"/>
        <v>-TEXT 48635.085888233,290 3.5 0 T=21.65 </v>
      </c>
      <c r="BJ612" t="str">
        <f t="shared" si="408"/>
        <v>-TEXT 48635.085888233,285 3.5 0 S=41.55 </v>
      </c>
    </row>
    <row r="613" spans="1:62">
      <c r="A613">
        <v>2</v>
      </c>
      <c r="B613">
        <v>612</v>
      </c>
      <c r="C613" t="s">
        <v>575</v>
      </c>
      <c r="D613" s="39">
        <v>500099.1695</v>
      </c>
      <c r="E613" s="39">
        <v>3346596.9831</v>
      </c>
      <c r="F613">
        <v>60</v>
      </c>
      <c r="G613">
        <f t="shared" si="393"/>
        <v>8.103</v>
      </c>
      <c r="H613">
        <f t="shared" si="367"/>
        <v>4.24980651960532</v>
      </c>
      <c r="I613">
        <f t="shared" si="368"/>
        <v>8.48544175734603</v>
      </c>
      <c r="J613">
        <f t="shared" si="369"/>
        <v>198.524794358429</v>
      </c>
      <c r="K613" s="40">
        <f t="shared" si="409"/>
        <v>97461.5747780171</v>
      </c>
      <c r="L613" s="40">
        <f t="shared" si="410"/>
        <v>97465.8174988957</v>
      </c>
      <c r="M613" s="40">
        <f t="shared" si="411"/>
        <v>97470.0602197744</v>
      </c>
      <c r="N613">
        <v>439.666</v>
      </c>
      <c r="O613">
        <v>436.267</v>
      </c>
      <c r="P613">
        <v>0</v>
      </c>
      <c r="Q613" s="39">
        <f t="shared" si="373"/>
        <v>500097.488623518</v>
      </c>
      <c r="R613" s="39">
        <f t="shared" si="374"/>
        <v>3346600.8863691</v>
      </c>
      <c r="S613" s="39">
        <f t="shared" si="375"/>
        <v>500099.303012258</v>
      </c>
      <c r="T613" s="39">
        <f t="shared" si="376"/>
        <v>3346597.05215752</v>
      </c>
      <c r="U613" s="39">
        <f t="shared" si="412"/>
        <v>500101.383758203</v>
      </c>
      <c r="V613" s="39">
        <f t="shared" si="413"/>
        <v>3346593.35571581</v>
      </c>
      <c r="AI613" t="str">
        <f t="array" ref="AI613">IFERROR(INDEX($L$2:$L$189,SMALL(IF(ISNUMBER(FIND($AH$2,$C$2:$C$189)),ROW($2:$189)-1,4^8),ROW(A612)))&amp;"","")</f>
        <v/>
      </c>
      <c r="AS613" t="str">
        <f>"-text"&amp;" "&amp;D613&amp;","&amp;E613&amp;" "&amp;"10"&amp;" "&amp;"0"&amp;" "&amp;C613</f>
        <v>-text 500099.1695,3346596.9831 10 0 IP336</v>
      </c>
      <c r="AT613" t="str">
        <f t="shared" si="394"/>
        <v>500099.1695,3346596.9831</v>
      </c>
      <c r="AV613">
        <f t="shared" si="395"/>
        <v>440.517</v>
      </c>
      <c r="AX613" t="str">
        <f t="shared" si="396"/>
        <v>pl 48732.9087494479,279 48732.9087494479,400 </v>
      </c>
      <c r="AY613" t="str">
        <f t="shared" si="397"/>
        <v>48732.9087494479,436.267</v>
      </c>
      <c r="AZ613" t="str">
        <f t="shared" si="398"/>
        <v>48732.9087494479,439.666</v>
      </c>
      <c r="BA613" t="str">
        <f t="shared" si="399"/>
        <v>48732.9087494479,440.517</v>
      </c>
      <c r="BB613" t="str">
        <f t="shared" si="400"/>
        <v>-text 48731.9087494479,337 3.5 90 436.267 </v>
      </c>
      <c r="BC613" t="str">
        <f t="shared" si="401"/>
        <v>-text 48731.9087494479,320 3.5 90 440.517 </v>
      </c>
      <c r="BD613" t="str">
        <f t="shared" si="402"/>
        <v>-text 48731.9087494479,306 3.5 90 439.666 </v>
      </c>
      <c r="BE613" t="str">
        <f t="shared" si="403"/>
        <v>-text 48731.9087494479,352 3.5 90 ZG97+465.817 </v>
      </c>
      <c r="BF613" t="str">
        <f t="shared" si="404"/>
        <v>-text 48731.9087494479,280 3.5 90 IP336 </v>
      </c>
      <c r="BG613" t="str">
        <f t="shared" si="405"/>
        <v>-TEXT 48733.9087494479,300 3.5 0 R=60</v>
      </c>
      <c r="BH613" t="str">
        <f t="shared" si="406"/>
        <v>-TEXT 48733.9087494479,295 3.5 0 α=8.10° </v>
      </c>
      <c r="BI613" t="str">
        <f t="shared" si="407"/>
        <v>-TEXT 48733.9087494479,290 3.5 0 T=4.25 </v>
      </c>
      <c r="BJ613" t="str">
        <f t="shared" si="408"/>
        <v>-TEXT 48733.9087494479,285 3.5 0 S=8.49 </v>
      </c>
    </row>
    <row r="614" spans="1:62">
      <c r="A614">
        <v>2</v>
      </c>
      <c r="B614">
        <v>613</v>
      </c>
      <c r="C614" t="str">
        <f>Sheet1!C562</f>
        <v>龙口村渡槽出</v>
      </c>
      <c r="D614" s="39">
        <v>500118.725</v>
      </c>
      <c r="E614" s="39">
        <v>3346564.9474</v>
      </c>
      <c r="F614">
        <v>0</v>
      </c>
      <c r="G614">
        <f t="shared" si="393"/>
        <v>0</v>
      </c>
      <c r="H614">
        <f t="shared" si="367"/>
        <v>0</v>
      </c>
      <c r="I614">
        <f t="shared" si="368"/>
        <v>0</v>
      </c>
      <c r="J614">
        <f t="shared" si="369"/>
        <v>37.5327011382262</v>
      </c>
      <c r="K614" s="40">
        <f t="shared" si="409"/>
        <v>97503.343114393</v>
      </c>
      <c r="L614" s="40">
        <f t="shared" si="410"/>
        <v>97503.343114393</v>
      </c>
      <c r="M614" s="40">
        <f t="shared" si="411"/>
        <v>97503.343114393</v>
      </c>
      <c r="N614">
        <v>439.655</v>
      </c>
      <c r="O614">
        <v>436.256</v>
      </c>
      <c r="P614">
        <v>0</v>
      </c>
      <c r="Q614" s="39">
        <f t="shared" si="373"/>
        <v>500118.725</v>
      </c>
      <c r="R614" s="39">
        <f t="shared" si="374"/>
        <v>3346564.9474</v>
      </c>
      <c r="S614" s="39" t="str">
        <f t="shared" si="375"/>
        <v> </v>
      </c>
      <c r="T614" s="39" t="str">
        <f t="shared" si="376"/>
        <v> </v>
      </c>
      <c r="U614" s="39" t="str">
        <f t="shared" si="412"/>
        <v> </v>
      </c>
      <c r="V614" s="39" t="str">
        <f t="shared" si="413"/>
        <v> </v>
      </c>
      <c r="AI614" t="str">
        <f t="array" ref="AI614">IFERROR(INDEX($L$2:$L$189,SMALL(IF(ISNUMBER(FIND($AH$2,$C$2:$C$189)),ROW($2:$189)-1,4^8),ROW(A613)))&amp;"","")</f>
        <v/>
      </c>
      <c r="AT614" t="str">
        <f t="shared" si="394"/>
        <v>500118.725,3346564.9474</v>
      </c>
      <c r="AV614">
        <f t="shared" si="395"/>
        <v>440.506</v>
      </c>
      <c r="AX614" t="str">
        <f t="shared" si="396"/>
        <v>pl 48751.6715571965,279 48751.6715571965,400 </v>
      </c>
      <c r="AY614" t="str">
        <f t="shared" si="397"/>
        <v>48751.6715571965,436.256</v>
      </c>
      <c r="AZ614" t="str">
        <f t="shared" si="398"/>
        <v>48751.6715571965,439.655</v>
      </c>
      <c r="BA614" t="str">
        <f t="shared" si="399"/>
        <v>48751.6715571965,440.506</v>
      </c>
      <c r="BB614" t="str">
        <f t="shared" si="400"/>
        <v>-text 48750.6715571965,337 3.5 90 436.256 </v>
      </c>
      <c r="BC614" t="str">
        <f t="shared" si="401"/>
        <v>-text 48750.6715571965,320 3.5 90 440.506 </v>
      </c>
      <c r="BD614" t="str">
        <f t="shared" si="402"/>
        <v>-text 48750.6715571965,306 3.5 90 439.655 </v>
      </c>
      <c r="BE614" t="str">
        <f t="shared" si="403"/>
        <v>-text 48750.6715571965,352 3.5 90 ZG97+503.343 </v>
      </c>
      <c r="BF614" t="str">
        <f t="shared" si="404"/>
        <v>-text 48750.6715571965,280 3.5 90 龙口村渡槽出 </v>
      </c>
      <c r="BG614" t="str">
        <f t="shared" si="405"/>
        <v/>
      </c>
      <c r="BH614" t="str">
        <f t="shared" si="406"/>
        <v> </v>
      </c>
      <c r="BI614" t="str">
        <f t="shared" si="407"/>
        <v> </v>
      </c>
      <c r="BJ614" t="str">
        <f t="shared" si="408"/>
        <v> </v>
      </c>
    </row>
    <row r="615" spans="1:62">
      <c r="A615">
        <v>1</v>
      </c>
      <c r="B615">
        <v>614</v>
      </c>
      <c r="C615" t="str">
        <f>Sheet1!C563</f>
        <v>王家湾隧进</v>
      </c>
      <c r="D615" s="39">
        <v>500129.1456</v>
      </c>
      <c r="E615" s="39">
        <v>3346547.8766</v>
      </c>
      <c r="F615">
        <v>0</v>
      </c>
      <c r="G615">
        <f t="shared" si="393"/>
        <v>0</v>
      </c>
      <c r="H615">
        <f t="shared" si="367"/>
        <v>0</v>
      </c>
      <c r="I615">
        <f t="shared" si="368"/>
        <v>0</v>
      </c>
      <c r="J615">
        <f t="shared" si="369"/>
        <v>20.0000279248762</v>
      </c>
      <c r="K615" s="40">
        <f t="shared" si="409"/>
        <v>97523.3431423179</v>
      </c>
      <c r="L615" s="40">
        <f t="shared" si="410"/>
        <v>97523.3431423179</v>
      </c>
      <c r="M615" s="40">
        <f t="shared" si="411"/>
        <v>97523.3431423179</v>
      </c>
      <c r="N615">
        <v>439.67</v>
      </c>
      <c r="O615">
        <v>435.969</v>
      </c>
      <c r="P615">
        <v>0</v>
      </c>
      <c r="Q615" s="39">
        <f t="shared" si="373"/>
        <v>500129.1456</v>
      </c>
      <c r="R615" s="39">
        <f t="shared" si="374"/>
        <v>3346547.8766</v>
      </c>
      <c r="S615" s="39" t="str">
        <f t="shared" si="375"/>
        <v> </v>
      </c>
      <c r="T615" s="39" t="str">
        <f t="shared" si="376"/>
        <v> </v>
      </c>
      <c r="U615" s="39" t="str">
        <f t="shared" si="412"/>
        <v> </v>
      </c>
      <c r="V615" s="39" t="str">
        <f t="shared" si="413"/>
        <v> </v>
      </c>
      <c r="AI615" t="str">
        <f t="array" ref="AI615">IFERROR(INDEX($L$2:$L$189,SMALL(IF(ISNUMBER(FIND($AH$2,$C$2:$C$189)),ROW($2:$189)-1,4^8),ROW(A614)))&amp;"","")</f>
        <v/>
      </c>
      <c r="AT615" t="str">
        <f t="shared" si="394"/>
        <v>500129.1456,3346547.8766</v>
      </c>
      <c r="AV615">
        <f t="shared" si="395"/>
        <v>441.069</v>
      </c>
      <c r="AX615" t="str">
        <f t="shared" si="396"/>
        <v>pl 48761.6715711589,279 48761.6715711589,400 </v>
      </c>
      <c r="AY615" t="str">
        <f t="shared" si="397"/>
        <v>48761.6715711589,435.969</v>
      </c>
      <c r="AZ615" t="str">
        <f t="shared" si="398"/>
        <v>48761.6715711589,439.67</v>
      </c>
      <c r="BA615" t="str">
        <f t="shared" si="399"/>
        <v>48761.6715711589,441.069</v>
      </c>
      <c r="BB615" t="str">
        <f t="shared" si="400"/>
        <v>-text 48760.6715711589,337 3.5 90 435.969 </v>
      </c>
      <c r="BC615" t="str">
        <f t="shared" si="401"/>
        <v>-text 48760.6715711589,320 3.5 90 441.069 </v>
      </c>
      <c r="BD615" t="str">
        <f t="shared" si="402"/>
        <v>-text 48760.6715711589,306 3.5 90 439.670 </v>
      </c>
      <c r="BE615" t="str">
        <f t="shared" si="403"/>
        <v>-text 48760.6715711589,352 3.5 90 ZG97+523.343 </v>
      </c>
      <c r="BF615" t="str">
        <f t="shared" si="404"/>
        <v>-text 48760.6715711589,280 3.5 90 王家湾隧进 </v>
      </c>
      <c r="BG615" t="str">
        <f t="shared" si="405"/>
        <v/>
      </c>
      <c r="BH615" t="str">
        <f t="shared" si="406"/>
        <v> </v>
      </c>
      <c r="BI615" t="str">
        <f t="shared" si="407"/>
        <v> </v>
      </c>
      <c r="BJ615" t="str">
        <f t="shared" si="408"/>
        <v> </v>
      </c>
    </row>
    <row r="616" spans="1:62">
      <c r="A616">
        <v>1</v>
      </c>
      <c r="B616">
        <v>615</v>
      </c>
      <c r="C616" t="s">
        <v>579</v>
      </c>
      <c r="D616" s="39">
        <v>500183.8353</v>
      </c>
      <c r="E616" s="39">
        <v>3346458.2848</v>
      </c>
      <c r="F616">
        <v>60</v>
      </c>
      <c r="G616">
        <f t="shared" si="393"/>
        <v>27.163</v>
      </c>
      <c r="H616">
        <f t="shared" si="367"/>
        <v>14.4950222334948</v>
      </c>
      <c r="I616">
        <f t="shared" si="368"/>
        <v>28.4450270831532</v>
      </c>
      <c r="J616">
        <f t="shared" si="369"/>
        <v>104.965012805878</v>
      </c>
      <c r="K616" s="40">
        <f t="shared" si="409"/>
        <v>97613.8131328903</v>
      </c>
      <c r="L616" s="40">
        <f t="shared" si="410"/>
        <v>97628.0356464319</v>
      </c>
      <c r="M616" s="40">
        <f t="shared" si="411"/>
        <v>97642.2581599734</v>
      </c>
      <c r="N616">
        <v>439.651</v>
      </c>
      <c r="O616">
        <v>435.95</v>
      </c>
      <c r="P616">
        <v>0.001</v>
      </c>
      <c r="Q616" s="39">
        <f t="shared" si="373"/>
        <v>500176.282989032</v>
      </c>
      <c r="R616" s="39">
        <f t="shared" si="374"/>
        <v>3346470.65687616</v>
      </c>
      <c r="S616" s="39">
        <f t="shared" si="375"/>
        <v>500182.192087166</v>
      </c>
      <c r="T616" s="39">
        <f t="shared" si="376"/>
        <v>3346457.75659014</v>
      </c>
      <c r="U616" s="39">
        <f t="shared" si="412"/>
        <v>500184.906658366</v>
      </c>
      <c r="V616" s="39">
        <f t="shared" si="413"/>
        <v>3346443.82942519</v>
      </c>
      <c r="AI616" t="str">
        <f t="array" ref="AI616">IFERROR(INDEX($L$2:$L$189,SMALL(IF(ISNUMBER(FIND($AH$2,$C$2:$C$189)),ROW($2:$189)-1,4^8),ROW(A615)))&amp;"","")</f>
        <v/>
      </c>
      <c r="AS616" t="str">
        <f>"-text"&amp;" "&amp;D616&amp;","&amp;E616&amp;" "&amp;"10"&amp;" "&amp;"0"&amp;" "&amp;C616</f>
        <v>-text 500183.8353,3346458.2848 10 0 IP337</v>
      </c>
      <c r="AT616" t="str">
        <f t="shared" si="394"/>
        <v>500183.8353,3346458.2848</v>
      </c>
      <c r="AV616">
        <f t="shared" si="395"/>
        <v>441.05</v>
      </c>
      <c r="AX616" t="str">
        <f t="shared" si="396"/>
        <v>pl 48814.0178232159,279 48814.0178232159,400 </v>
      </c>
      <c r="AY616" t="str">
        <f t="shared" si="397"/>
        <v>48814.0178232159,435.95</v>
      </c>
      <c r="AZ616" t="str">
        <f t="shared" si="398"/>
        <v>48814.0178232159,439.651</v>
      </c>
      <c r="BA616" t="str">
        <f t="shared" si="399"/>
        <v>48814.0178232159,441.05</v>
      </c>
      <c r="BB616" t="str">
        <f t="shared" si="400"/>
        <v>-text 48813.0178232159,337 3.5 90 435.950 </v>
      </c>
      <c r="BC616" t="str">
        <f t="shared" si="401"/>
        <v>-text 48813.0178232159,320 3.5 90 441.050 </v>
      </c>
      <c r="BD616" t="str">
        <f t="shared" si="402"/>
        <v>-text 48813.0178232159,306 3.5 90 439.651 </v>
      </c>
      <c r="BE616" t="str">
        <f t="shared" si="403"/>
        <v>-text 48813.0178232159,352 3.5 90 ZG97+628.036 </v>
      </c>
      <c r="BF616" t="str">
        <f t="shared" si="404"/>
        <v>-text 48813.0178232159,280 3.5 90 IP337 </v>
      </c>
      <c r="BG616" t="str">
        <f t="shared" si="405"/>
        <v>-TEXT 48815.0178232159,300 3.5 0 R=60</v>
      </c>
      <c r="BH616" t="str">
        <f t="shared" si="406"/>
        <v>-TEXT 48815.0178232159,295 3.5 0 α=27.16° </v>
      </c>
      <c r="BI616" t="str">
        <f t="shared" si="407"/>
        <v>-TEXT 48815.0178232159,290 3.5 0 T=14.50 </v>
      </c>
      <c r="BJ616" t="str">
        <f t="shared" si="408"/>
        <v>-TEXT 48815.0178232159,285 3.5 0 S=28.45 </v>
      </c>
    </row>
    <row r="617" spans="1:62">
      <c r="A617">
        <v>1</v>
      </c>
      <c r="B617">
        <v>616</v>
      </c>
      <c r="C617" t="s">
        <v>580</v>
      </c>
      <c r="D617" s="39">
        <v>500200.1886</v>
      </c>
      <c r="E617" s="39">
        <v>3346237.6368</v>
      </c>
      <c r="F617">
        <v>60</v>
      </c>
      <c r="G617">
        <f t="shared" si="393"/>
        <v>20.373</v>
      </c>
      <c r="H617">
        <f t="shared" si="367"/>
        <v>10.7811097283832</v>
      </c>
      <c r="I617">
        <f t="shared" si="368"/>
        <v>21.3345557105283</v>
      </c>
      <c r="J617">
        <f t="shared" si="369"/>
        <v>221.253181502347</v>
      </c>
      <c r="K617" s="40">
        <f t="shared" si="409"/>
        <v>97838.2352095139</v>
      </c>
      <c r="L617" s="40">
        <f t="shared" si="410"/>
        <v>97848.9024873692</v>
      </c>
      <c r="M617" s="40">
        <f t="shared" si="411"/>
        <v>97859.5697652245</v>
      </c>
      <c r="N617">
        <v>439.61</v>
      </c>
      <c r="O617">
        <v>435.909</v>
      </c>
      <c r="P617">
        <v>0.001</v>
      </c>
      <c r="Q617" s="39">
        <f t="shared" si="373"/>
        <v>500199.39174492</v>
      </c>
      <c r="R617" s="39">
        <f t="shared" si="374"/>
        <v>3346248.38842076</v>
      </c>
      <c r="S617" s="39">
        <f t="shared" si="375"/>
        <v>500201.119213621</v>
      </c>
      <c r="T617" s="39">
        <f t="shared" si="376"/>
        <v>3346237.87617753</v>
      </c>
      <c r="U617" s="39">
        <f t="shared" si="412"/>
        <v>500204.678571606</v>
      </c>
      <c r="V617" s="39">
        <f t="shared" si="413"/>
        <v>3346227.8351429</v>
      </c>
      <c r="AI617" t="str">
        <f t="array" ref="AI617">IFERROR(INDEX($L$2:$L$189,SMALL(IF(ISNUMBER(FIND($AH$2,$C$2:$C$189)),ROW($2:$189)-1,4^8),ROW(A616)))&amp;"","")</f>
        <v/>
      </c>
      <c r="AS617" t="str">
        <f>"-text"&amp;" "&amp;D617&amp;","&amp;E617&amp;" "&amp;"10"&amp;" "&amp;"0"&amp;" "&amp;C617</f>
        <v>-text 500200.1886,3346237.6368 10 0 IP338</v>
      </c>
      <c r="AT617" t="str">
        <f t="shared" si="394"/>
        <v>500200.1886,3346237.6368</v>
      </c>
      <c r="AV617">
        <f t="shared" si="395"/>
        <v>441.009</v>
      </c>
      <c r="AX617" t="str">
        <f t="shared" si="396"/>
        <v>pl 48924.4512436846,279 48924.4512436846,400 </v>
      </c>
      <c r="AY617" t="str">
        <f t="shared" si="397"/>
        <v>48924.4512436846,435.909</v>
      </c>
      <c r="AZ617" t="str">
        <f t="shared" si="398"/>
        <v>48924.4512436846,439.61</v>
      </c>
      <c r="BA617" t="str">
        <f t="shared" si="399"/>
        <v>48924.4512436846,441.009</v>
      </c>
      <c r="BB617" t="str">
        <f t="shared" si="400"/>
        <v>-text 48923.4512436846,337 3.5 90 435.909 </v>
      </c>
      <c r="BC617" t="str">
        <f t="shared" si="401"/>
        <v>-text 48923.4512436846,320 3.5 90 441.009 </v>
      </c>
      <c r="BD617" t="str">
        <f t="shared" si="402"/>
        <v>-text 48923.4512436846,306 3.5 90 439.610 </v>
      </c>
      <c r="BE617" t="str">
        <f t="shared" si="403"/>
        <v>-text 48923.4512436846,352 3.5 90 ZG97+848.902 </v>
      </c>
      <c r="BF617" t="str">
        <f t="shared" si="404"/>
        <v>-text 48923.4512436846,280 3.5 90 IP338 </v>
      </c>
      <c r="BG617" t="str">
        <f t="shared" si="405"/>
        <v>-TEXT 48925.4512436846,300 3.5 0 R=60</v>
      </c>
      <c r="BH617" t="str">
        <f t="shared" si="406"/>
        <v>-TEXT 48925.4512436846,295 3.5 0 α=20.37° </v>
      </c>
      <c r="BI617" t="str">
        <f t="shared" si="407"/>
        <v>-TEXT 48925.4512436846,290 3.5 0 T=10.78 </v>
      </c>
      <c r="BJ617" t="str">
        <f t="shared" si="408"/>
        <v>-TEXT 48925.4512436846,285 3.5 0 S=21.33 </v>
      </c>
    </row>
    <row r="618" spans="1:62">
      <c r="A618">
        <v>1</v>
      </c>
      <c r="B618">
        <v>617</v>
      </c>
      <c r="C618" t="str">
        <f>Sheet1!C566</f>
        <v>王家湾隧出</v>
      </c>
      <c r="D618" s="39">
        <v>500216.0953</v>
      </c>
      <c r="E618" s="39">
        <v>3346202.9123</v>
      </c>
      <c r="F618">
        <v>0</v>
      </c>
      <c r="G618">
        <f t="shared" si="393"/>
        <v>0</v>
      </c>
      <c r="H618">
        <f t="shared" si="367"/>
        <v>0</v>
      </c>
      <c r="I618">
        <f t="shared" si="368"/>
        <v>0</v>
      </c>
      <c r="J618">
        <f t="shared" si="369"/>
        <v>38.1944237440563</v>
      </c>
      <c r="K618" s="40">
        <f t="shared" si="409"/>
        <v>97886.9830792401</v>
      </c>
      <c r="L618" s="40">
        <f t="shared" si="410"/>
        <v>97886.9830792401</v>
      </c>
      <c r="M618" s="40">
        <f t="shared" si="411"/>
        <v>97886.9830792401</v>
      </c>
      <c r="N618">
        <v>439.602</v>
      </c>
      <c r="O618">
        <v>435.901</v>
      </c>
      <c r="P618">
        <v>0</v>
      </c>
      <c r="Q618" s="39">
        <f t="shared" si="373"/>
        <v>500216.0953</v>
      </c>
      <c r="R618" s="39">
        <f t="shared" si="374"/>
        <v>3346202.9123</v>
      </c>
      <c r="S618" s="39" t="str">
        <f t="shared" si="375"/>
        <v> </v>
      </c>
      <c r="T618" s="39" t="str">
        <f t="shared" si="376"/>
        <v> </v>
      </c>
      <c r="U618" s="39" t="str">
        <f t="shared" si="412"/>
        <v> </v>
      </c>
      <c r="V618" s="39" t="str">
        <f t="shared" si="413"/>
        <v> </v>
      </c>
      <c r="AI618" t="str">
        <f t="array" ref="AI618">IFERROR(INDEX($L$2:$L$189,SMALL(IF(ISNUMBER(FIND($AH$2,$C$2:$C$189)),ROW($2:$189)-1,4^8),ROW(A617)))&amp;"","")</f>
        <v/>
      </c>
      <c r="AT618" t="str">
        <f t="shared" si="394"/>
        <v>500216.0953,3346202.9123</v>
      </c>
      <c r="AV618">
        <f t="shared" si="395"/>
        <v>441.001</v>
      </c>
      <c r="AX618" t="str">
        <f t="shared" si="396"/>
        <v>pl 48943.4915396201,279 48943.4915396201,400 </v>
      </c>
      <c r="AY618" t="str">
        <f t="shared" si="397"/>
        <v>48943.4915396201,435.901</v>
      </c>
      <c r="AZ618" t="str">
        <f t="shared" si="398"/>
        <v>48943.4915396201,439.602</v>
      </c>
      <c r="BA618" t="str">
        <f t="shared" si="399"/>
        <v>48943.4915396201,441.001</v>
      </c>
      <c r="BB618" t="str">
        <f t="shared" si="400"/>
        <v>-text 48942.4915396201,337 3.5 90 435.901 </v>
      </c>
      <c r="BC618" t="str">
        <f t="shared" si="401"/>
        <v>-text 48942.4915396201,320 3.5 90 441.001 </v>
      </c>
      <c r="BD618" t="str">
        <f t="shared" si="402"/>
        <v>-text 48942.4915396201,306 3.5 90 439.602 </v>
      </c>
      <c r="BE618" t="str">
        <f t="shared" si="403"/>
        <v>-text 48942.4915396201,352 3.5 90 ZG97+886.983 </v>
      </c>
      <c r="BF618" t="str">
        <f t="shared" si="404"/>
        <v>-text 48942.4915396201,280 3.5 90 王家湾隧出 </v>
      </c>
      <c r="BG618" t="str">
        <f t="shared" si="405"/>
        <v/>
      </c>
      <c r="BH618" t="str">
        <f t="shared" si="406"/>
        <v> </v>
      </c>
      <c r="BI618" t="str">
        <f t="shared" si="407"/>
        <v> </v>
      </c>
      <c r="BJ618" t="str">
        <f t="shared" si="408"/>
        <v> </v>
      </c>
    </row>
    <row r="619" spans="1:62">
      <c r="A619">
        <v>2</v>
      </c>
      <c r="B619">
        <v>618</v>
      </c>
      <c r="C619" t="str">
        <f>Sheet1!C567</f>
        <v>青山湾渡槽进</v>
      </c>
      <c r="D619" s="39">
        <v>500231.5045</v>
      </c>
      <c r="E619" s="39">
        <v>3346169.2737</v>
      </c>
      <c r="F619">
        <v>0</v>
      </c>
      <c r="G619">
        <f t="shared" si="393"/>
        <v>0</v>
      </c>
      <c r="H619">
        <f t="shared" si="367"/>
        <v>0</v>
      </c>
      <c r="I619">
        <f t="shared" si="368"/>
        <v>0</v>
      </c>
      <c r="J619">
        <f t="shared" si="369"/>
        <v>36.9999845217801</v>
      </c>
      <c r="K619" s="40">
        <f t="shared" si="409"/>
        <v>97923.9830637619</v>
      </c>
      <c r="L619" s="40">
        <f t="shared" si="410"/>
        <v>97923.9830637619</v>
      </c>
      <c r="M619" s="40">
        <f t="shared" si="411"/>
        <v>97923.9830637619</v>
      </c>
      <c r="N619">
        <v>439.558</v>
      </c>
      <c r="O619">
        <v>436.159</v>
      </c>
      <c r="P619">
        <v>0</v>
      </c>
      <c r="Q619" s="39">
        <f t="shared" si="373"/>
        <v>500231.5045</v>
      </c>
      <c r="R619" s="39">
        <f t="shared" si="374"/>
        <v>3346169.2737</v>
      </c>
      <c r="S619" s="39" t="str">
        <f t="shared" si="375"/>
        <v> </v>
      </c>
      <c r="T619" s="39" t="str">
        <f t="shared" si="376"/>
        <v> </v>
      </c>
      <c r="U619" s="39" t="str">
        <f t="shared" si="412"/>
        <v> </v>
      </c>
      <c r="V619" s="39" t="str">
        <f t="shared" si="413"/>
        <v> </v>
      </c>
      <c r="AI619" t="str">
        <f t="array" ref="AI619">IFERROR(INDEX($L$2:$L$189,SMALL(IF(ISNUMBER(FIND($AH$2,$C$2:$C$189)),ROW($2:$189)-1,4^8),ROW(A618)))&amp;"","")</f>
        <v/>
      </c>
      <c r="AT619" t="str">
        <f t="shared" si="394"/>
        <v>500231.5045,3346169.2737</v>
      </c>
      <c r="AV619">
        <f t="shared" si="395"/>
        <v>440.409</v>
      </c>
      <c r="AX619" t="str">
        <f t="shared" si="396"/>
        <v>pl 48961.991531881,279 48961.991531881,400 </v>
      </c>
      <c r="AY619" t="str">
        <f t="shared" si="397"/>
        <v>48961.991531881,436.159</v>
      </c>
      <c r="AZ619" t="str">
        <f t="shared" si="398"/>
        <v>48961.991531881,439.558</v>
      </c>
      <c r="BA619" t="str">
        <f t="shared" si="399"/>
        <v>48961.991531881,440.409</v>
      </c>
      <c r="BB619" t="str">
        <f t="shared" si="400"/>
        <v>-text 48960.991531881,337 3.5 90 436.159 </v>
      </c>
      <c r="BC619" t="str">
        <f t="shared" si="401"/>
        <v>-text 48960.991531881,320 3.5 90 440.409 </v>
      </c>
      <c r="BD619" t="str">
        <f t="shared" si="402"/>
        <v>-text 48960.991531881,306 3.5 90 439.558 </v>
      </c>
      <c r="BE619" t="str">
        <f t="shared" si="403"/>
        <v>-text 48960.991531881,352 3.5 90 ZG97+923.983 </v>
      </c>
      <c r="BF619" t="str">
        <f t="shared" si="404"/>
        <v>-text 48960.991531881,280 3.5 90 青山湾渡槽进 </v>
      </c>
      <c r="BG619" t="str">
        <f t="shared" si="405"/>
        <v/>
      </c>
      <c r="BH619" t="str">
        <f t="shared" si="406"/>
        <v> </v>
      </c>
      <c r="BI619" t="str">
        <f t="shared" si="407"/>
        <v> </v>
      </c>
      <c r="BJ619" t="str">
        <f t="shared" si="408"/>
        <v> </v>
      </c>
    </row>
    <row r="620" spans="1:62">
      <c r="A620">
        <v>2</v>
      </c>
      <c r="B620">
        <v>619</v>
      </c>
      <c r="C620" t="s">
        <v>581</v>
      </c>
      <c r="D620" s="39">
        <v>500329.5201</v>
      </c>
      <c r="E620" s="39">
        <v>3345955.304</v>
      </c>
      <c r="F620">
        <v>60</v>
      </c>
      <c r="G620">
        <f t="shared" si="393"/>
        <v>13.851</v>
      </c>
      <c r="H620">
        <f t="shared" si="367"/>
        <v>7.28789385701669</v>
      </c>
      <c r="I620">
        <f t="shared" si="368"/>
        <v>14.5047332816241</v>
      </c>
      <c r="J620">
        <f t="shared" si="369"/>
        <v>235.350993967235</v>
      </c>
      <c r="K620" s="40">
        <f t="shared" si="409"/>
        <v>98152.0461638721</v>
      </c>
      <c r="L620" s="40">
        <f t="shared" si="410"/>
        <v>98159.2985305129</v>
      </c>
      <c r="M620" s="40">
        <f t="shared" si="411"/>
        <v>98166.5508971537</v>
      </c>
      <c r="N620">
        <v>439.49</v>
      </c>
      <c r="O620">
        <v>436.091</v>
      </c>
      <c r="P620">
        <v>0.001</v>
      </c>
      <c r="Q620" s="39">
        <f t="shared" si="373"/>
        <v>500326.484942693</v>
      </c>
      <c r="R620" s="39">
        <f t="shared" si="374"/>
        <v>3345961.92979935</v>
      </c>
      <c r="S620" s="39">
        <f t="shared" si="375"/>
        <v>500329.099952836</v>
      </c>
      <c r="T620" s="39">
        <f t="shared" si="376"/>
        <v>3345955.1700258</v>
      </c>
      <c r="U620" s="39">
        <f t="shared" si="412"/>
        <v>500330.880799627</v>
      </c>
      <c r="V620" s="39">
        <f t="shared" si="413"/>
        <v>3345948.14425885</v>
      </c>
      <c r="AI620" t="str">
        <f t="array" ref="AI620">IFERROR(INDEX($L$2:$L$189,SMALL(IF(ISNUMBER(FIND($AH$2,$C$2:$C$189)),ROW($2:$189)-1,4^8),ROW(A619)))&amp;"","")</f>
        <v/>
      </c>
      <c r="AS620" t="str">
        <f>"-text"&amp;" "&amp;D620&amp;","&amp;E620&amp;" "&amp;"10"&amp;" "&amp;"0"&amp;" "&amp;C620</f>
        <v>-text 500329.5201,3345955.304 10 0 IP339</v>
      </c>
      <c r="AT620" t="str">
        <f t="shared" si="394"/>
        <v>500329.5201,3345955.304</v>
      </c>
      <c r="AV620">
        <f t="shared" si="395"/>
        <v>440.341</v>
      </c>
      <c r="AX620" t="str">
        <f t="shared" si="396"/>
        <v>pl 49079.6492652565,279 49079.6492652565,400 </v>
      </c>
      <c r="AY620" t="str">
        <f t="shared" si="397"/>
        <v>49079.6492652565,436.091</v>
      </c>
      <c r="AZ620" t="str">
        <f t="shared" si="398"/>
        <v>49079.6492652565,439.49</v>
      </c>
      <c r="BA620" t="str">
        <f t="shared" si="399"/>
        <v>49079.6492652565,440.341</v>
      </c>
      <c r="BB620" t="str">
        <f t="shared" si="400"/>
        <v>-text 49078.6492652565,337 3.5 90 436.091 </v>
      </c>
      <c r="BC620" t="str">
        <f t="shared" si="401"/>
        <v>-text 49078.6492652565,320 3.5 90 440.341 </v>
      </c>
      <c r="BD620" t="str">
        <f t="shared" si="402"/>
        <v>-text 49078.6492652565,306 3.5 90 439.490 </v>
      </c>
      <c r="BE620" t="str">
        <f t="shared" si="403"/>
        <v>-text 49078.6492652565,352 3.5 90 ZG98+159.299 </v>
      </c>
      <c r="BF620" t="str">
        <f t="shared" si="404"/>
        <v>-text 49078.6492652565,280 3.5 90 IP339 </v>
      </c>
      <c r="BG620" t="str">
        <f t="shared" si="405"/>
        <v>-TEXT 49080.6492652565,300 3.5 0 R=60</v>
      </c>
      <c r="BH620" t="str">
        <f t="shared" si="406"/>
        <v>-TEXT 49080.6492652565,295 3.5 0 α=13.85° </v>
      </c>
      <c r="BI620" t="str">
        <f t="shared" si="407"/>
        <v>-TEXT 49080.6492652565,290 3.5 0 T=7.29 </v>
      </c>
      <c r="BJ620" t="str">
        <f t="shared" si="408"/>
        <v>-TEXT 49080.6492652565,285 3.5 0 S=14.50 </v>
      </c>
    </row>
    <row r="621" spans="1:62">
      <c r="A621">
        <v>2</v>
      </c>
      <c r="B621">
        <v>620</v>
      </c>
      <c r="C621" t="str">
        <f>Sheet1!C569</f>
        <v>青山湾渡槽出</v>
      </c>
      <c r="D621" s="39">
        <v>500347.7651</v>
      </c>
      <c r="E621" s="39">
        <v>3345859.3023</v>
      </c>
      <c r="F621">
        <v>0</v>
      </c>
      <c r="G621">
        <f t="shared" si="393"/>
        <v>0</v>
      </c>
      <c r="H621">
        <f t="shared" si="367"/>
        <v>0</v>
      </c>
      <c r="I621">
        <f t="shared" si="368"/>
        <v>0</v>
      </c>
      <c r="J621">
        <f t="shared" si="369"/>
        <v>97.7200410758807</v>
      </c>
      <c r="K621" s="40">
        <f t="shared" si="409"/>
        <v>98256.9830443726</v>
      </c>
      <c r="L621" s="40">
        <f t="shared" si="410"/>
        <v>98256.9830443726</v>
      </c>
      <c r="M621" s="40">
        <f t="shared" si="411"/>
        <v>98256.9830443726</v>
      </c>
      <c r="N621">
        <v>439.462</v>
      </c>
      <c r="O621">
        <v>436.063</v>
      </c>
      <c r="P621">
        <v>0</v>
      </c>
      <c r="Q621" s="39">
        <f t="shared" si="373"/>
        <v>500347.7651</v>
      </c>
      <c r="R621" s="39">
        <f t="shared" si="374"/>
        <v>3345859.3023</v>
      </c>
      <c r="S621" s="39" t="str">
        <f t="shared" si="375"/>
        <v> </v>
      </c>
      <c r="T621" s="39" t="str">
        <f t="shared" si="376"/>
        <v> </v>
      </c>
      <c r="U621" s="39" t="str">
        <f t="shared" si="412"/>
        <v> </v>
      </c>
      <c r="V621" s="39" t="str">
        <f t="shared" si="413"/>
        <v> </v>
      </c>
      <c r="AI621" t="str">
        <f t="array" ref="AI621">IFERROR(INDEX($L$2:$L$189,SMALL(IF(ISNUMBER(FIND($AH$2,$C$2:$C$189)),ROW($2:$189)-1,4^8),ROW(A620)))&amp;"","")</f>
        <v/>
      </c>
      <c r="AT621" t="str">
        <f t="shared" si="394"/>
        <v>500347.7651,3345859.3023</v>
      </c>
      <c r="AV621">
        <f t="shared" si="395"/>
        <v>440.313</v>
      </c>
      <c r="AX621" t="str">
        <f t="shared" si="396"/>
        <v>pl 49128.4915221863,279 49128.4915221863,400 </v>
      </c>
      <c r="AY621" t="str">
        <f t="shared" si="397"/>
        <v>49128.4915221863,436.063</v>
      </c>
      <c r="AZ621" t="str">
        <f t="shared" si="398"/>
        <v>49128.4915221863,439.462</v>
      </c>
      <c r="BA621" t="str">
        <f t="shared" si="399"/>
        <v>49128.4915221863,440.313</v>
      </c>
      <c r="BB621" t="str">
        <f t="shared" si="400"/>
        <v>-text 49127.4915221863,337 3.5 90 436.063 </v>
      </c>
      <c r="BC621" t="str">
        <f t="shared" si="401"/>
        <v>-text 49127.4915221863,320 3.5 90 440.313 </v>
      </c>
      <c r="BD621" t="str">
        <f t="shared" si="402"/>
        <v>-text 49127.4915221863,306 3.5 90 439.462 </v>
      </c>
      <c r="BE621" t="str">
        <f t="shared" si="403"/>
        <v>-text 49127.4915221863,352 3.5 90 ZG98+256.983 </v>
      </c>
      <c r="BF621" t="str">
        <f t="shared" si="404"/>
        <v>-text 49127.4915221863,280 3.5 90 青山湾渡槽出 </v>
      </c>
      <c r="BG621" t="str">
        <f t="shared" si="405"/>
        <v/>
      </c>
      <c r="BH621" t="str">
        <f t="shared" si="406"/>
        <v> </v>
      </c>
      <c r="BI621" t="str">
        <f t="shared" si="407"/>
        <v> </v>
      </c>
      <c r="BJ621" t="str">
        <f t="shared" si="408"/>
        <v> </v>
      </c>
    </row>
    <row r="622" spans="1:62">
      <c r="A622">
        <v>1</v>
      </c>
      <c r="B622">
        <v>621</v>
      </c>
      <c r="C622" t="str">
        <f>Sheet1!C570</f>
        <v>四方坡隧进</v>
      </c>
      <c r="D622" s="39">
        <v>500354.8599</v>
      </c>
      <c r="E622" s="39">
        <v>3345821.9705</v>
      </c>
      <c r="F622">
        <v>0</v>
      </c>
      <c r="G622">
        <f t="shared" si="393"/>
        <v>0</v>
      </c>
      <c r="H622">
        <f t="shared" si="367"/>
        <v>0</v>
      </c>
      <c r="I622">
        <f t="shared" si="368"/>
        <v>0</v>
      </c>
      <c r="J622">
        <f t="shared" si="369"/>
        <v>37.9999931355271</v>
      </c>
      <c r="K622" s="40">
        <f t="shared" si="409"/>
        <v>98294.9830375081</v>
      </c>
      <c r="L622" s="40">
        <f t="shared" si="410"/>
        <v>98294.9830375081</v>
      </c>
      <c r="M622" s="40">
        <f t="shared" si="411"/>
        <v>98294.9830375081</v>
      </c>
      <c r="N622">
        <v>439.474</v>
      </c>
      <c r="O622">
        <v>435.773</v>
      </c>
      <c r="P622">
        <v>0</v>
      </c>
      <c r="Q622" s="39">
        <f t="shared" si="373"/>
        <v>500354.8599</v>
      </c>
      <c r="R622" s="39">
        <f t="shared" si="374"/>
        <v>3345821.9705</v>
      </c>
      <c r="S622" s="39" t="str">
        <f t="shared" si="375"/>
        <v> </v>
      </c>
      <c r="T622" s="39" t="str">
        <f t="shared" si="376"/>
        <v> </v>
      </c>
      <c r="U622" s="39" t="str">
        <f t="shared" si="412"/>
        <v> </v>
      </c>
      <c r="V622" s="39" t="str">
        <f t="shared" si="413"/>
        <v> </v>
      </c>
      <c r="AI622" t="str">
        <f t="array" ref="AI622">IFERROR(INDEX($L$2:$L$189,SMALL(IF(ISNUMBER(FIND($AH$2,$C$2:$C$189)),ROW($2:$189)-1,4^8),ROW(A621)))&amp;"","")</f>
        <v/>
      </c>
      <c r="AT622" t="str">
        <f t="shared" si="394"/>
        <v>500354.8599,3345821.9705</v>
      </c>
      <c r="AV622">
        <f t="shared" si="395"/>
        <v>440.873</v>
      </c>
      <c r="AX622" t="str">
        <f t="shared" si="396"/>
        <v>pl 49147.4915187541,279 49147.4915187541,400 </v>
      </c>
      <c r="AY622" t="str">
        <f t="shared" si="397"/>
        <v>49147.4915187541,435.773</v>
      </c>
      <c r="AZ622" t="str">
        <f t="shared" si="398"/>
        <v>49147.4915187541,439.474</v>
      </c>
      <c r="BA622" t="str">
        <f t="shared" si="399"/>
        <v>49147.4915187541,440.873</v>
      </c>
      <c r="BB622" t="str">
        <f t="shared" si="400"/>
        <v>-text 49146.4915187541,337 3.5 90 435.773 </v>
      </c>
      <c r="BC622" t="str">
        <f t="shared" si="401"/>
        <v>-text 49146.4915187541,320 3.5 90 440.873 </v>
      </c>
      <c r="BD622" t="str">
        <f t="shared" si="402"/>
        <v>-text 49146.4915187541,306 3.5 90 439.474 </v>
      </c>
      <c r="BE622" t="str">
        <f t="shared" si="403"/>
        <v>-text 49146.4915187541,352 3.5 90 ZG98+294.983 </v>
      </c>
      <c r="BF622" t="str">
        <f t="shared" si="404"/>
        <v>-text 49146.4915187541,280 3.5 90 四方坡隧进 </v>
      </c>
      <c r="BG622" t="str">
        <f t="shared" si="405"/>
        <v/>
      </c>
      <c r="BH622" t="str">
        <f t="shared" si="406"/>
        <v> </v>
      </c>
      <c r="BI622" t="str">
        <f t="shared" si="407"/>
        <v> </v>
      </c>
      <c r="BJ622" t="str">
        <f t="shared" si="408"/>
        <v> </v>
      </c>
    </row>
    <row r="623" spans="1:62">
      <c r="A623">
        <v>1</v>
      </c>
      <c r="B623">
        <v>622</v>
      </c>
      <c r="C623" s="58" t="s">
        <v>584</v>
      </c>
      <c r="D623" s="59">
        <v>500368.5434</v>
      </c>
      <c r="E623" s="59">
        <v>3345749.9698</v>
      </c>
      <c r="F623">
        <v>40</v>
      </c>
      <c r="G623">
        <f t="shared" si="393"/>
        <v>49.902</v>
      </c>
      <c r="H623">
        <f t="shared" si="367"/>
        <v>18.610676081529</v>
      </c>
      <c r="I623">
        <f t="shared" si="368"/>
        <v>34.8381681332084</v>
      </c>
      <c r="J623">
        <f t="shared" si="369"/>
        <v>73.2894192411432</v>
      </c>
      <c r="K623" s="40">
        <f t="shared" si="409"/>
        <v>98349.6617806677</v>
      </c>
      <c r="L623" s="40">
        <f t="shared" si="410"/>
        <v>98367.0808647343</v>
      </c>
      <c r="M623" s="40">
        <f t="shared" si="411"/>
        <v>98384.4999488009</v>
      </c>
      <c r="N623">
        <v>439.45</v>
      </c>
      <c r="O623">
        <v>435.749</v>
      </c>
      <c r="P623">
        <v>0.002</v>
      </c>
      <c r="Q623" s="39">
        <f t="shared" si="373"/>
        <v>500365.068693981</v>
      </c>
      <c r="R623" s="39">
        <f t="shared" si="374"/>
        <v>3345768.25322644</v>
      </c>
      <c r="S623" s="39">
        <f t="shared" si="375"/>
        <v>500371.886681956</v>
      </c>
      <c r="T623" s="39">
        <f t="shared" si="376"/>
        <v>3345752.37319377</v>
      </c>
      <c r="U623" s="39">
        <f t="shared" si="412"/>
        <v>500384.767169369</v>
      </c>
      <c r="V623" s="39">
        <f t="shared" si="413"/>
        <v>3345740.8513258</v>
      </c>
      <c r="AI623" t="str">
        <f t="array" ref="AI623">IFERROR(INDEX($L$2:$L$189,SMALL(IF(ISNUMBER(FIND($AH$2,$C$2:$C$189)),ROW($2:$189)-1,4^8),ROW(A622)))&amp;"","")</f>
        <v/>
      </c>
      <c r="AS623" t="str">
        <f t="shared" ref="AS623:AS629" si="414">"-text"&amp;" "&amp;D623&amp;","&amp;E623&amp;" "&amp;"10"&amp;" "&amp;"0"&amp;" "&amp;C623</f>
        <v>-text 500368.5434,3345749.9698 10 0 IP340</v>
      </c>
      <c r="AT623" t="str">
        <f t="shared" si="394"/>
        <v>500368.5434,3345749.9698</v>
      </c>
      <c r="AV623">
        <f t="shared" si="395"/>
        <v>440.849</v>
      </c>
      <c r="AX623" t="str">
        <f t="shared" si="396"/>
        <v>pl 49183.5404323672,279 49183.5404323672,400 </v>
      </c>
      <c r="AY623" t="str">
        <f t="shared" si="397"/>
        <v>49183.5404323672,435.749</v>
      </c>
      <c r="AZ623" t="str">
        <f t="shared" si="398"/>
        <v>49183.5404323672,439.45</v>
      </c>
      <c r="BA623" t="str">
        <f t="shared" si="399"/>
        <v>49183.5404323672,440.849</v>
      </c>
      <c r="BB623" t="str">
        <f t="shared" si="400"/>
        <v>-text 49182.5404323672,337 3.5 90 435.749 </v>
      </c>
      <c r="BC623" t="str">
        <f t="shared" si="401"/>
        <v>-text 49182.5404323672,320 3.5 90 440.849 </v>
      </c>
      <c r="BD623" t="str">
        <f t="shared" si="402"/>
        <v>-text 49182.5404323672,306 3.5 90 439.450 </v>
      </c>
      <c r="BE623" t="str">
        <f t="shared" si="403"/>
        <v>-text 49182.5404323672,352 3.5 90 ZG98+367.081 </v>
      </c>
      <c r="BF623" t="str">
        <f t="shared" si="404"/>
        <v>-text 49182.5404323672,280 3.5 90 IP340 </v>
      </c>
      <c r="BG623" t="str">
        <f t="shared" si="405"/>
        <v>-TEXT 49184.5404323672,300 3.5 0 R=40</v>
      </c>
      <c r="BH623" t="str">
        <f t="shared" si="406"/>
        <v>-TEXT 49184.5404323672,295 3.5 0 α=49.90° </v>
      </c>
      <c r="BI623" t="str">
        <f t="shared" si="407"/>
        <v>-TEXT 49184.5404323672,290 3.5 0 T=18.61 </v>
      </c>
      <c r="BJ623" t="str">
        <f t="shared" si="408"/>
        <v>-TEXT 49184.5404323672,285 3.5 0 S=34.84 </v>
      </c>
    </row>
    <row r="624" spans="1:62">
      <c r="A624">
        <v>1</v>
      </c>
      <c r="B624">
        <v>623</v>
      </c>
      <c r="C624" s="58" t="s">
        <v>585</v>
      </c>
      <c r="D624" s="59">
        <v>500637.6116</v>
      </c>
      <c r="E624" s="59">
        <v>3345598.7416</v>
      </c>
      <c r="F624">
        <v>40</v>
      </c>
      <c r="G624">
        <f t="shared" si="393"/>
        <v>61.38</v>
      </c>
      <c r="H624">
        <f t="shared" si="367"/>
        <v>23.7408204023332</v>
      </c>
      <c r="I624">
        <f t="shared" si="368"/>
        <v>42.8513237949648</v>
      </c>
      <c r="J624">
        <f t="shared" si="369"/>
        <v>308.654604252947</v>
      </c>
      <c r="K624" s="40">
        <f t="shared" si="409"/>
        <v>98650.80305657</v>
      </c>
      <c r="L624" s="40">
        <f t="shared" si="410"/>
        <v>98672.2287184675</v>
      </c>
      <c r="M624" s="40">
        <f t="shared" si="411"/>
        <v>98693.654380365</v>
      </c>
      <c r="N624" s="63">
        <f>N623-J624/5500</f>
        <v>439.393880981045</v>
      </c>
      <c r="O624" s="63">
        <f>O623-J624/5500</f>
        <v>435.692880981045</v>
      </c>
      <c r="P624">
        <v>1.002</v>
      </c>
      <c r="Q624" s="39">
        <f t="shared" si="373"/>
        <v>500616.915651441</v>
      </c>
      <c r="R624" s="39">
        <f t="shared" si="374"/>
        <v>3345610.37363622</v>
      </c>
      <c r="S624" s="39">
        <f t="shared" si="375"/>
        <v>500631.968042506</v>
      </c>
      <c r="T624" s="39">
        <f t="shared" si="376"/>
        <v>3345595.48694873</v>
      </c>
      <c r="U624" s="39">
        <f t="shared" si="412"/>
        <v>500637.3141765</v>
      </c>
      <c r="V624" s="39">
        <f t="shared" si="413"/>
        <v>3345575.00264272</v>
      </c>
      <c r="AI624" t="str">
        <f t="array" ref="AI624">IFERROR(INDEX($L$2:$L$189,SMALL(IF(ISNUMBER(FIND($AH$2,$C$2:$C$189)),ROW($2:$189)-1,4^8),ROW(A623)))&amp;"","")</f>
        <v/>
      </c>
      <c r="AS624" t="str">
        <f t="shared" si="414"/>
        <v>-text 500637.6116,3345598.7416 10 0 IP341</v>
      </c>
      <c r="AT624" t="str">
        <f t="shared" si="394"/>
        <v>500637.6116,3345598.7416</v>
      </c>
      <c r="AV624">
        <f t="shared" si="395"/>
        <v>440.792880981045</v>
      </c>
      <c r="AX624" t="str">
        <f t="shared" si="396"/>
        <v>pl 49336.1143592337,279 49336.1143592337,400 </v>
      </c>
      <c r="AY624" t="str">
        <f t="shared" si="397"/>
        <v>49336.1143592337,435.692880981045</v>
      </c>
      <c r="AZ624" t="str">
        <f t="shared" si="398"/>
        <v>49336.1143592337,439.393880981045</v>
      </c>
      <c r="BA624" t="str">
        <f t="shared" si="399"/>
        <v>49336.1143592337,440.792880981045</v>
      </c>
      <c r="BB624" t="str">
        <f t="shared" si="400"/>
        <v>-text 49335.1143592337,337 3.5 90 435.693 </v>
      </c>
      <c r="BC624" t="str">
        <f t="shared" si="401"/>
        <v>-text 49335.1143592337,320 3.5 90 440.793 </v>
      </c>
      <c r="BD624" t="str">
        <f t="shared" si="402"/>
        <v>-text 49335.1143592337,306 3.5 90 439.394 </v>
      </c>
      <c r="BE624" t="str">
        <f t="shared" si="403"/>
        <v>-text 49335.1143592337,352 3.5 90 ZG98+672.229 </v>
      </c>
      <c r="BF624" t="str">
        <f t="shared" si="404"/>
        <v>-text 49335.1143592337,280 3.5 90 IP341 </v>
      </c>
      <c r="BG624" t="str">
        <f t="shared" si="405"/>
        <v>-TEXT 49337.1143592337,300 3.5 0 R=40</v>
      </c>
      <c r="BH624" t="str">
        <f t="shared" si="406"/>
        <v>-TEXT 49337.1143592337,295 3.5 0 α=61.38° </v>
      </c>
      <c r="BI624" t="str">
        <f t="shared" si="407"/>
        <v>-TEXT 49337.1143592337,290 3.5 0 T=23.74 </v>
      </c>
      <c r="BJ624" t="str">
        <f t="shared" si="408"/>
        <v>-TEXT 49337.1143592337,285 3.5 0 S=42.85 </v>
      </c>
    </row>
    <row r="625" spans="1:62">
      <c r="A625">
        <v>1</v>
      </c>
      <c r="B625">
        <v>624</v>
      </c>
      <c r="C625" s="58" t="s">
        <v>588</v>
      </c>
      <c r="D625" s="59">
        <v>500636.0834</v>
      </c>
      <c r="E625" s="59">
        <v>3345476.7678</v>
      </c>
      <c r="F625">
        <v>40</v>
      </c>
      <c r="G625">
        <f t="shared" si="393"/>
        <v>61.517</v>
      </c>
      <c r="H625">
        <f t="shared" si="367"/>
        <v>23.8055344754489</v>
      </c>
      <c r="I625">
        <f t="shared" si="368"/>
        <v>42.9469678379741</v>
      </c>
      <c r="J625">
        <f t="shared" si="369"/>
        <v>121.983372972024</v>
      </c>
      <c r="K625" s="40">
        <f t="shared" si="409"/>
        <v>98768.0913984592</v>
      </c>
      <c r="L625" s="40">
        <f t="shared" si="410"/>
        <v>98789.5648823782</v>
      </c>
      <c r="M625" s="40">
        <f t="shared" si="411"/>
        <v>98811.0383662972</v>
      </c>
      <c r="N625" s="63">
        <f>N624-J625/5500</f>
        <v>439.371702185959</v>
      </c>
      <c r="O625" s="63">
        <f>O624-J625/5500</f>
        <v>435.670702185959</v>
      </c>
      <c r="P625">
        <v>2.002</v>
      </c>
      <c r="Q625" s="39">
        <f t="shared" si="373"/>
        <v>500636.381634234</v>
      </c>
      <c r="R625" s="39">
        <f t="shared" si="374"/>
        <v>3345500.57146627</v>
      </c>
      <c r="S625" s="39" t="e">
        <f t="shared" si="375"/>
        <v>#REF!</v>
      </c>
      <c r="T625" s="39" t="e">
        <f t="shared" si="376"/>
        <v>#REF!</v>
      </c>
      <c r="U625" s="39" t="e">
        <f>IF(G625=0," ",D625+(#REF!-D625)/#REF!*H625)</f>
        <v>#REF!</v>
      </c>
      <c r="V625" s="39" t="e">
        <f>IF(G625=0," ",E625+(#REF!-E625)/#REF!*H625)</f>
        <v>#REF!</v>
      </c>
      <c r="AI625" t="str">
        <f t="array" ref="AI625">IFERROR(INDEX($L$2:$L$189,SMALL(IF(ISNUMBER(FIND($AH$2,$C$2:$C$189)),ROW($2:$189)-1,4^8),ROW(A624)))&amp;"","")</f>
        <v/>
      </c>
      <c r="AS625" t="str">
        <f t="shared" si="414"/>
        <v>-text 500636.0834,3345476.7678 10 0 IP342</v>
      </c>
      <c r="AT625" t="str">
        <f t="shared" si="394"/>
        <v>500636.0834,3345476.7678</v>
      </c>
      <c r="AV625">
        <f t="shared" si="395"/>
        <v>440.770702185959</v>
      </c>
      <c r="AX625" t="str">
        <f t="shared" si="396"/>
        <v>pl 49394.7824411891,279 49394.7824411891,400 </v>
      </c>
      <c r="AY625" t="str">
        <f t="shared" si="397"/>
        <v>49394.7824411891,435.670702185959</v>
      </c>
      <c r="AZ625" t="str">
        <f t="shared" si="398"/>
        <v>49394.7824411891,439.371702185959</v>
      </c>
      <c r="BA625" t="str">
        <f t="shared" si="399"/>
        <v>49394.7824411891,440.770702185959</v>
      </c>
      <c r="BB625" t="str">
        <f t="shared" si="400"/>
        <v>-text 49393.7824411891,337 3.5 90 435.671 </v>
      </c>
      <c r="BC625" t="str">
        <f t="shared" si="401"/>
        <v>-text 49393.7824411891,320 3.5 90 440.771 </v>
      </c>
      <c r="BD625" t="str">
        <f t="shared" si="402"/>
        <v>-text 49393.7824411891,306 3.5 90 439.372 </v>
      </c>
      <c r="BE625" t="str">
        <f t="shared" si="403"/>
        <v>-text 49393.7824411891,352 3.5 90 ZG98+789.565 </v>
      </c>
      <c r="BF625" t="str">
        <f t="shared" si="404"/>
        <v>-text 49393.7824411891,280 3.5 90 IP342 </v>
      </c>
      <c r="BG625" t="str">
        <f t="shared" si="405"/>
        <v>-TEXT 49395.7824411891,300 3.5 0 R=40</v>
      </c>
      <c r="BH625" t="str">
        <f t="shared" si="406"/>
        <v>-TEXT 49395.7824411891,295 3.5 0 α=61.52° </v>
      </c>
      <c r="BI625" t="str">
        <f t="shared" si="407"/>
        <v>-TEXT 49395.7824411891,290 3.5 0 T=23.81 </v>
      </c>
      <c r="BJ625" t="str">
        <f t="shared" si="408"/>
        <v>-TEXT 49395.7824411891,285 3.5 0 S=42.95 </v>
      </c>
    </row>
    <row r="626" spans="1:62">
      <c r="A626">
        <v>1</v>
      </c>
      <c r="B626">
        <v>625</v>
      </c>
      <c r="C626" s="58" t="s">
        <v>591</v>
      </c>
      <c r="D626" s="59">
        <v>501756.7676</v>
      </c>
      <c r="E626" s="59">
        <v>3344850.414</v>
      </c>
      <c r="F626">
        <v>60</v>
      </c>
      <c r="G626">
        <f t="shared" si="393"/>
        <v>41.666</v>
      </c>
      <c r="H626">
        <f t="shared" si="367"/>
        <v>22.8314146507052</v>
      </c>
      <c r="I626">
        <f t="shared" si="368"/>
        <v>43.6325331681574</v>
      </c>
      <c r="J626">
        <f t="shared" si="369"/>
        <v>1283.84273137496</v>
      </c>
      <c r="K626" s="40">
        <f t="shared" si="409"/>
        <v>100048.244148546</v>
      </c>
      <c r="L626" s="40">
        <f t="shared" si="410"/>
        <v>100070.06041513</v>
      </c>
      <c r="M626" s="40">
        <f t="shared" si="411"/>
        <v>100091.876681714</v>
      </c>
      <c r="N626" s="63">
        <f>N625-J626/5500</f>
        <v>439.1382762348</v>
      </c>
      <c r="O626" s="63">
        <f>O625-J626/5500</f>
        <v>435.4372762348</v>
      </c>
      <c r="P626">
        <v>3.002</v>
      </c>
      <c r="Q626" s="39">
        <f t="shared" si="373"/>
        <v>501736.837740184</v>
      </c>
      <c r="R626" s="39">
        <f t="shared" si="374"/>
        <v>3344861.55285913</v>
      </c>
      <c r="S626" s="39">
        <f t="shared" si="375"/>
        <v>501753.550796361</v>
      </c>
      <c r="T626" s="39">
        <f t="shared" si="376"/>
        <v>3344847.71803104</v>
      </c>
      <c r="U626" s="39">
        <f t="shared" ref="U626:U669" si="415">IF(G626=0," ",D626+(D627-D626)/J627*H626)</f>
        <v>501764.250868108</v>
      </c>
      <c r="V626" s="39">
        <f t="shared" ref="V626:V669" si="416">IF(G626=0," ",E626+(E627-E626)/J627*H626)</f>
        <v>3344828.84378458</v>
      </c>
      <c r="AI626" t="str">
        <f t="array" ref="AI626">IFERROR(INDEX($L$2:$L$189,SMALL(IF(ISNUMBER(FIND($AH$2,$C$2:$C$189)),ROW($2:$189)-1,4^8),ROW(A625)))&amp;"","")</f>
        <v/>
      </c>
      <c r="AS626" t="str">
        <f t="shared" si="414"/>
        <v>-text 501756.7676,3344850.414 10 0 IP343</v>
      </c>
      <c r="AT626" t="str">
        <f t="shared" si="394"/>
        <v>501756.7676,3344850.414</v>
      </c>
      <c r="AV626">
        <f t="shared" ref="AV626:AV633" si="417">IF(A626=0,O626+5.2,IF(A626=1,O626+4.9,O626+4.1))</f>
        <v>440.3372762348</v>
      </c>
      <c r="AX626" t="str">
        <f t="shared" si="396"/>
        <v>pl 50035.030207565,279 50035.030207565,400 </v>
      </c>
      <c r="AY626" t="str">
        <f t="shared" si="397"/>
        <v>50035.030207565,435.4372762348</v>
      </c>
      <c r="AZ626" t="str">
        <f t="shared" si="398"/>
        <v>50035.030207565,439.1382762348</v>
      </c>
      <c r="BA626" t="str">
        <f t="shared" si="399"/>
        <v>50035.030207565,440.3372762348</v>
      </c>
      <c r="BB626" t="str">
        <f t="shared" si="400"/>
        <v>-text 50034.030207565,337 3.5 90 435.437 </v>
      </c>
      <c r="BC626" t="str">
        <f t="shared" si="401"/>
        <v>-text 50034.030207565,320 3.5 90 440.337 </v>
      </c>
      <c r="BD626" t="str">
        <f t="shared" si="402"/>
        <v>-text 50034.030207565,306 3.5 90 439.138 </v>
      </c>
      <c r="BE626" t="str">
        <f t="shared" si="403"/>
        <v>-text 50034.030207565,352 3.5 90 ZG100+070.060 </v>
      </c>
      <c r="BF626" t="str">
        <f t="shared" si="404"/>
        <v>-text 50034.030207565,280 3.5 90 IP343 </v>
      </c>
      <c r="BG626" t="str">
        <f t="shared" si="405"/>
        <v>-TEXT 50036.030207565,300 3.5 0 R=60</v>
      </c>
      <c r="BH626" t="str">
        <f t="shared" si="406"/>
        <v>-TEXT 50036.030207565,295 3.5 0 α=41.67° </v>
      </c>
      <c r="BI626" t="str">
        <f t="shared" si="407"/>
        <v>-TEXT 50036.030207565,290 3.5 0 T=22.83 </v>
      </c>
      <c r="BJ626" t="str">
        <f t="shared" si="408"/>
        <v>-TEXT 50036.030207565,285 3.5 0 S=43.63 </v>
      </c>
    </row>
    <row r="627" spans="1:62">
      <c r="A627">
        <v>1</v>
      </c>
      <c r="B627">
        <v>626</v>
      </c>
      <c r="C627" s="58" t="s">
        <v>592</v>
      </c>
      <c r="D627" s="59">
        <v>501903.4461</v>
      </c>
      <c r="E627" s="59">
        <v>3344427.6192</v>
      </c>
      <c r="F627">
        <v>80</v>
      </c>
      <c r="G627">
        <f t="shared" si="393"/>
        <v>20.725</v>
      </c>
      <c r="H627">
        <f t="shared" si="367"/>
        <v>14.6286304474924</v>
      </c>
      <c r="I627">
        <f t="shared" si="368"/>
        <v>28.937558998066</v>
      </c>
      <c r="J627">
        <f t="shared" si="369"/>
        <v>447.515391097462</v>
      </c>
      <c r="K627" s="40">
        <f t="shared" si="409"/>
        <v>100501.932027713</v>
      </c>
      <c r="L627" s="40">
        <f t="shared" si="410"/>
        <v>100516.400807212</v>
      </c>
      <c r="M627" s="40">
        <f t="shared" si="411"/>
        <v>100530.869586711</v>
      </c>
      <c r="N627" s="63">
        <f>N626-J627/5500</f>
        <v>439.056909800055</v>
      </c>
      <c r="O627" s="63">
        <f>O626-J627/5500</f>
        <v>435.355909800055</v>
      </c>
      <c r="P627">
        <v>4.002</v>
      </c>
      <c r="Q627" s="39">
        <f t="shared" si="373"/>
        <v>501898.651392122</v>
      </c>
      <c r="R627" s="39">
        <f t="shared" si="374"/>
        <v>3344441.4397501</v>
      </c>
      <c r="S627" s="39">
        <f t="shared" si="375"/>
        <v>501904.600687914</v>
      </c>
      <c r="T627" s="39">
        <f t="shared" si="376"/>
        <v>3344428.27232101</v>
      </c>
      <c r="U627" s="39">
        <f t="shared" si="415"/>
        <v>501912.821495514</v>
      </c>
      <c r="V627" s="39">
        <f t="shared" si="416"/>
        <v>3344416.38982835</v>
      </c>
      <c r="AI627" t="str">
        <f t="array" ref="AI627">IFERROR(INDEX($L$2:$L$189,SMALL(IF(ISNUMBER(FIND($AH$2,$C$2:$C$189)),ROW($2:$189)-1,4^8),ROW(A626)))&amp;"","")</f>
        <v/>
      </c>
      <c r="AS627" t="str">
        <f t="shared" si="414"/>
        <v>-text 501903.4461,3344427.6192 10 0 IP344</v>
      </c>
      <c r="AT627" t="str">
        <f t="shared" si="394"/>
        <v>501903.4461,3344427.6192</v>
      </c>
      <c r="AV627">
        <f t="shared" si="417"/>
        <v>440.255909800055</v>
      </c>
      <c r="AX627" t="str">
        <f t="shared" si="396"/>
        <v>pl 50258.2004036062,279 50258.2004036062,400 </v>
      </c>
      <c r="AY627" t="str">
        <f t="shared" si="397"/>
        <v>50258.2004036062,435.355909800055</v>
      </c>
      <c r="AZ627" t="str">
        <f t="shared" si="398"/>
        <v>50258.2004036062,439.056909800055</v>
      </c>
      <c r="BA627" t="str">
        <f t="shared" si="399"/>
        <v>50258.2004036062,440.255909800055</v>
      </c>
      <c r="BB627" t="str">
        <f t="shared" si="400"/>
        <v>-text 50257.2004036062,337 3.5 90 435.356 </v>
      </c>
      <c r="BC627" t="str">
        <f t="shared" si="401"/>
        <v>-text 50257.2004036062,320 3.5 90 440.256 </v>
      </c>
      <c r="BD627" t="str">
        <f t="shared" si="402"/>
        <v>-text 50257.2004036062,306 3.5 90 439.057 </v>
      </c>
      <c r="BE627" t="str">
        <f t="shared" si="403"/>
        <v>-text 50257.2004036062,352 3.5 90 ZG100+516.401 </v>
      </c>
      <c r="BF627" t="str">
        <f t="shared" si="404"/>
        <v>-text 50257.2004036062,280 3.5 90 IP344 </v>
      </c>
      <c r="BG627" t="str">
        <f t="shared" si="405"/>
        <v>-TEXT 50259.2004036062,300 3.5 0 R=80</v>
      </c>
      <c r="BH627" t="str">
        <f t="shared" si="406"/>
        <v>-TEXT 50259.2004036062,295 3.5 0 α=20.73° </v>
      </c>
      <c r="BI627" t="str">
        <f t="shared" si="407"/>
        <v>-TEXT 50259.2004036062,290 3.5 0 T=14.63 </v>
      </c>
      <c r="BJ627" t="str">
        <f t="shared" si="408"/>
        <v>-TEXT 50259.2004036062,285 3.5 0 S=28.94 </v>
      </c>
    </row>
    <row r="628" spans="1:62">
      <c r="A628">
        <v>1</v>
      </c>
      <c r="B628">
        <v>627</v>
      </c>
      <c r="C628" s="58" t="s">
        <v>593</v>
      </c>
      <c r="D628" s="59">
        <v>502121.4845</v>
      </c>
      <c r="E628" s="59">
        <v>3344166.4639</v>
      </c>
      <c r="F628">
        <v>80</v>
      </c>
      <c r="G628">
        <f t="shared" si="393"/>
        <v>18.185</v>
      </c>
      <c r="H628">
        <f t="shared" si="367"/>
        <v>12.8031834863642</v>
      </c>
      <c r="I628">
        <f t="shared" si="368"/>
        <v>25.3910499580135</v>
      </c>
      <c r="J628">
        <f t="shared" si="369"/>
        <v>340.209986027412</v>
      </c>
      <c r="K628" s="40">
        <f t="shared" si="409"/>
        <v>100843.647758805</v>
      </c>
      <c r="L628" s="40">
        <f t="shared" si="410"/>
        <v>100856.343283784</v>
      </c>
      <c r="M628" s="40">
        <f t="shared" si="411"/>
        <v>100869.038808763</v>
      </c>
      <c r="N628" s="63">
        <f>N627-J628/5500</f>
        <v>438.995053438959</v>
      </c>
      <c r="O628" s="63">
        <f>O627-J628/5500</f>
        <v>435.294053438959</v>
      </c>
      <c r="P628">
        <v>5.002</v>
      </c>
      <c r="Q628" s="39">
        <f t="shared" si="373"/>
        <v>502113.279021746</v>
      </c>
      <c r="R628" s="39">
        <f t="shared" si="374"/>
        <v>3344176.29200429</v>
      </c>
      <c r="S628" s="39">
        <f t="shared" si="375"/>
        <v>502120.609760296</v>
      </c>
      <c r="T628" s="39">
        <f t="shared" si="376"/>
        <v>3344165.94315047</v>
      </c>
      <c r="U628" s="39">
        <f t="shared" si="415"/>
        <v>502126.213002519</v>
      </c>
      <c r="V628" s="39">
        <f t="shared" si="416"/>
        <v>3344154.56588456</v>
      </c>
      <c r="AI628" t="str">
        <f t="array" ref="AI628">IFERROR(INDEX($L$2:$L$189,SMALL(IF(ISNUMBER(FIND($AH$2,$C$2:$C$189)),ROW($2:$189)-1,4^8),ROW(A627)))&amp;"","")</f>
        <v/>
      </c>
      <c r="AS628" t="str">
        <f t="shared" si="414"/>
        <v>-text 502121.4845,3344166.4639 10 0 IP345</v>
      </c>
      <c r="AT628" t="str">
        <f t="shared" si="394"/>
        <v>502121.4845,3344166.4639</v>
      </c>
      <c r="AV628">
        <f t="shared" si="417"/>
        <v>440.194053438959</v>
      </c>
      <c r="AX628" t="str">
        <f t="shared" si="396"/>
        <v>pl 50428.171641892,279 50428.171641892,400 </v>
      </c>
      <c r="AY628" t="str">
        <f t="shared" si="397"/>
        <v>50428.171641892,435.294053438959</v>
      </c>
      <c r="AZ628" t="str">
        <f t="shared" si="398"/>
        <v>50428.171641892,438.995053438959</v>
      </c>
      <c r="BA628" t="str">
        <f t="shared" si="399"/>
        <v>50428.171641892,440.194053438959</v>
      </c>
      <c r="BB628" t="str">
        <f t="shared" si="400"/>
        <v>-text 50427.171641892,337 3.5 90 435.294 </v>
      </c>
      <c r="BC628" t="str">
        <f t="shared" si="401"/>
        <v>-text 50427.171641892,320 3.5 90 440.194 </v>
      </c>
      <c r="BD628" t="str">
        <f t="shared" si="402"/>
        <v>-text 50427.171641892,306 3.5 90 438.995 </v>
      </c>
      <c r="BE628" t="str">
        <f t="shared" si="403"/>
        <v>-text 50427.171641892,352 3.5 90 ZG100+856.343 </v>
      </c>
      <c r="BF628" t="str">
        <f t="shared" si="404"/>
        <v>-text 50427.171641892,280 3.5 90 IP345 </v>
      </c>
      <c r="BG628" t="str">
        <f t="shared" si="405"/>
        <v>-TEXT 50429.171641892,300 3.5 0 R=80</v>
      </c>
      <c r="BH628" t="str">
        <f t="shared" si="406"/>
        <v>-TEXT 50429.171641892,295 3.5 0 α=18.19° </v>
      </c>
      <c r="BI628" t="str">
        <f t="shared" si="407"/>
        <v>-TEXT 50429.171641892,290 3.5 0 T=12.80 </v>
      </c>
      <c r="BJ628" t="str">
        <f t="shared" si="408"/>
        <v>-TEXT 50429.171641892,285 3.5 0 S=25.39 </v>
      </c>
    </row>
    <row r="629" spans="1:62">
      <c r="A629">
        <v>1</v>
      </c>
      <c r="B629">
        <v>628</v>
      </c>
      <c r="C629" s="58" t="s">
        <v>594</v>
      </c>
      <c r="D629" s="59">
        <v>502366.8815</v>
      </c>
      <c r="E629" s="59">
        <v>3343548.9878</v>
      </c>
      <c r="F629">
        <v>80</v>
      </c>
      <c r="G629">
        <f t="shared" si="393"/>
        <v>51.462</v>
      </c>
      <c r="H629">
        <f t="shared" ref="H626:H672" si="418">F629*TAN(PI()/180*G629/2)</f>
        <v>38.5547233964826</v>
      </c>
      <c r="I629">
        <f t="shared" ref="I626:I672" si="419">F629*G629/180*PI()</f>
        <v>71.8545071729057</v>
      </c>
      <c r="J629">
        <f t="shared" ref="J626:J672" si="420">SQRT((D629-D628)^2+(E629-E628)^2)</f>
        <v>664.451970935685</v>
      </c>
      <c r="K629" s="40">
        <f t="shared" ref="K626:K639" si="421">L629-I629/2</f>
        <v>101482.132872816</v>
      </c>
      <c r="L629" s="40">
        <f t="shared" ref="L626:L639" si="422">L628+J629-H629+I629/2+I628/2-H628</f>
        <v>101518.060126402</v>
      </c>
      <c r="M629" s="40">
        <f t="shared" ref="M626:M639" si="423">K629+I629</f>
        <v>101553.987379989</v>
      </c>
      <c r="N629">
        <v>438.884</v>
      </c>
      <c r="O629">
        <v>435.183</v>
      </c>
      <c r="P629">
        <v>0.002</v>
      </c>
      <c r="Q629" s="39">
        <f t="shared" si="373"/>
        <v>502352.642376826</v>
      </c>
      <c r="R629" s="39">
        <f t="shared" si="374"/>
        <v>3343584.81675571</v>
      </c>
      <c r="S629" s="39">
        <f t="shared" si="375"/>
        <v>502372.841388392</v>
      </c>
      <c r="T629" s="39">
        <f t="shared" si="376"/>
        <v>3343555.47025842</v>
      </c>
      <c r="U629" s="39">
        <f t="shared" si="415"/>
        <v>502403.778238584</v>
      </c>
      <c r="V629" s="39">
        <f t="shared" si="416"/>
        <v>3343537.80310608</v>
      </c>
      <c r="AI629" t="str">
        <f t="array" ref="AI629">IFERROR(INDEX($L$2:$L$189,SMALL(IF(ISNUMBER(FIND($AH$2,$C$2:$C$189)),ROW($2:$189)-1,4^8),ROW(A628)))&amp;"","")</f>
        <v/>
      </c>
      <c r="AS629" t="str">
        <f t="shared" si="414"/>
        <v>-text 502366.8815,3343548.9878 10 0 IP346</v>
      </c>
      <c r="AT629" t="str">
        <f t="shared" si="394"/>
        <v>502366.8815,3343548.9878</v>
      </c>
      <c r="AV629">
        <f t="shared" si="417"/>
        <v>440.083</v>
      </c>
      <c r="AX629" t="str">
        <f t="shared" si="396"/>
        <v>pl 50759.0300632012,279 50759.0300632012,400 </v>
      </c>
      <c r="AY629" t="str">
        <f t="shared" si="397"/>
        <v>50759.0300632012,435.183</v>
      </c>
      <c r="AZ629" t="str">
        <f t="shared" si="398"/>
        <v>50759.0300632012,438.884</v>
      </c>
      <c r="BA629" t="str">
        <f t="shared" si="399"/>
        <v>50759.0300632012,440.083</v>
      </c>
      <c r="BB629" t="str">
        <f t="shared" si="400"/>
        <v>-text 50758.0300632012,337 3.5 90 435.183 </v>
      </c>
      <c r="BC629" t="str">
        <f t="shared" si="401"/>
        <v>-text 50758.0300632012,320 3.5 90 440.083 </v>
      </c>
      <c r="BD629" t="str">
        <f t="shared" si="402"/>
        <v>-text 50758.0300632012,306 3.5 90 438.884 </v>
      </c>
      <c r="BE629" t="str">
        <f t="shared" si="403"/>
        <v>-text 50758.0300632012,352 3.5 90 ZG101+518.060 </v>
      </c>
      <c r="BF629" t="str">
        <f t="shared" si="404"/>
        <v>-text 50758.0300632012,280 3.5 90 IP346 </v>
      </c>
      <c r="BG629" t="str">
        <f t="shared" si="405"/>
        <v>-TEXT 50760.0300632012,300 3.5 0 R=80</v>
      </c>
      <c r="BH629" t="str">
        <f t="shared" si="406"/>
        <v>-TEXT 50760.0300632012,295 3.5 0 α=51.46° </v>
      </c>
      <c r="BI629" t="str">
        <f t="shared" si="407"/>
        <v>-TEXT 50760.0300632012,290 3.5 0 T=38.55 </v>
      </c>
      <c r="BJ629" t="str">
        <f t="shared" si="408"/>
        <v>-TEXT 50760.0300632012,285 3.5 0 S=71.85 </v>
      </c>
    </row>
    <row r="630" spans="1:62">
      <c r="A630">
        <v>1</v>
      </c>
      <c r="B630">
        <v>629</v>
      </c>
      <c r="C630" t="str">
        <f>Sheet1!C578</f>
        <v>四方坡隧出</v>
      </c>
      <c r="D630" s="39">
        <v>502560.6341</v>
      </c>
      <c r="E630" s="39">
        <v>3343490.2546</v>
      </c>
      <c r="G630">
        <f t="shared" si="393"/>
        <v>0</v>
      </c>
      <c r="H630">
        <f t="shared" si="418"/>
        <v>0</v>
      </c>
      <c r="I630">
        <f t="shared" si="419"/>
        <v>0</v>
      </c>
      <c r="J630">
        <f t="shared" si="420"/>
        <v>202.459029902259</v>
      </c>
      <c r="K630" s="40">
        <f t="shared" si="421"/>
        <v>101717.891686495</v>
      </c>
      <c r="L630" s="40">
        <f t="shared" si="422"/>
        <v>101717.891686495</v>
      </c>
      <c r="M630" s="40">
        <f t="shared" si="423"/>
        <v>101717.891686495</v>
      </c>
      <c r="N630">
        <v>438.846</v>
      </c>
      <c r="O630">
        <v>435.145</v>
      </c>
      <c r="P630">
        <v>0</v>
      </c>
      <c r="Q630" s="39">
        <f t="shared" si="373"/>
        <v>502560.6341</v>
      </c>
      <c r="R630" s="39">
        <f t="shared" si="374"/>
        <v>3343490.2546</v>
      </c>
      <c r="S630" s="39" t="str">
        <f t="shared" si="375"/>
        <v> </v>
      </c>
      <c r="T630" s="39" t="str">
        <f t="shared" si="376"/>
        <v> </v>
      </c>
      <c r="U630" s="39" t="str">
        <f t="shared" si="415"/>
        <v> </v>
      </c>
      <c r="V630" s="39" t="str">
        <f t="shared" si="416"/>
        <v> </v>
      </c>
      <c r="AI630" t="str">
        <f t="array" ref="AI630">IFERROR(INDEX($L$2:$L$189,SMALL(IF(ISNUMBER(FIND($AH$2,$C$2:$C$189)),ROW($2:$189)-1,4^8),ROW(A629)))&amp;"","")</f>
        <v/>
      </c>
      <c r="AT630" t="str">
        <f t="shared" si="394"/>
        <v>502560.6341,3343490.2546</v>
      </c>
      <c r="AV630">
        <f t="shared" si="417"/>
        <v>440.045</v>
      </c>
      <c r="AX630" t="str">
        <f t="shared" si="396"/>
        <v>pl 50858.9458432473,279 50858.9458432473,400 </v>
      </c>
      <c r="AY630" t="str">
        <f t="shared" si="397"/>
        <v>50858.9458432473,435.145</v>
      </c>
      <c r="AZ630" t="str">
        <f t="shared" si="398"/>
        <v>50858.9458432473,438.846</v>
      </c>
      <c r="BA630" t="str">
        <f t="shared" si="399"/>
        <v>50858.9458432473,440.045</v>
      </c>
      <c r="BB630" t="str">
        <f t="shared" si="400"/>
        <v>-text 50857.9458432473,337 3.5 90 435.145 </v>
      </c>
      <c r="BC630" t="str">
        <f t="shared" si="401"/>
        <v>-text 50857.9458432473,320 3.5 90 440.045 </v>
      </c>
      <c r="BD630" t="str">
        <f t="shared" si="402"/>
        <v>-text 50857.9458432473,306 3.5 90 438.846 </v>
      </c>
      <c r="BE630" t="str">
        <f t="shared" si="403"/>
        <v>-text 50857.9458432473,352 3.5 90 ZG101+717.892 </v>
      </c>
      <c r="BF630" t="str">
        <f t="shared" si="404"/>
        <v>-text 50857.9458432473,280 3.5 90 四方坡隧出 </v>
      </c>
      <c r="BG630" t="str">
        <f t="shared" si="405"/>
        <v/>
      </c>
      <c r="BH630" t="str">
        <f t="shared" si="406"/>
        <v> </v>
      </c>
      <c r="BI630" t="str">
        <f t="shared" si="407"/>
        <v> </v>
      </c>
      <c r="BJ630" t="str">
        <f t="shared" si="408"/>
        <v> </v>
      </c>
    </row>
    <row r="631" spans="1:62">
      <c r="A631">
        <v>0</v>
      </c>
      <c r="B631">
        <v>630</v>
      </c>
      <c r="C631" t="s">
        <v>595</v>
      </c>
      <c r="D631" s="39">
        <v>502592.7301</v>
      </c>
      <c r="E631" s="39">
        <v>3343480.5252</v>
      </c>
      <c r="F631">
        <v>60</v>
      </c>
      <c r="G631">
        <f t="shared" ref="G626:G646" si="424">ROUND(IF((2*SQRT((D630-D631)^2+(E630-E631)^2)*SQRT((D632-D631)^2+(E632-E631)^2))=0,0,180-ACOS(((D630-D631)^2+(E630-E631)^2+(D632-D631)^2+(E632-E631)^2-(D632-D630)^2-(E632-E630)^2)/(2*SQRT((D630-D631)^2+(E630-E631)^2)*SQRT((D632-D631)^2+(E632-E631)^2)))/PI()*180),3)</f>
        <v>30.989</v>
      </c>
      <c r="H631">
        <f t="shared" si="418"/>
        <v>16.6332702586745</v>
      </c>
      <c r="I631">
        <f t="shared" si="419"/>
        <v>32.4516049140314</v>
      </c>
      <c r="J631">
        <f t="shared" si="420"/>
        <v>33.5382533886138</v>
      </c>
      <c r="K631" s="40">
        <f t="shared" si="421"/>
        <v>101734.796669625</v>
      </c>
      <c r="L631" s="40">
        <f t="shared" si="422"/>
        <v>101751.022472082</v>
      </c>
      <c r="M631" s="40">
        <f t="shared" si="423"/>
        <v>101767.248274539</v>
      </c>
      <c r="N631">
        <v>438.843</v>
      </c>
      <c r="O631">
        <v>435.11</v>
      </c>
      <c r="P631">
        <v>0.001</v>
      </c>
      <c r="Q631" s="39">
        <f t="shared" si="373"/>
        <v>502576.812114169</v>
      </c>
      <c r="R631" s="39">
        <f t="shared" si="374"/>
        <v>3343485.35048824</v>
      </c>
      <c r="S631" s="39">
        <f t="shared" si="375"/>
        <v>502591.518974641</v>
      </c>
      <c r="T631" s="39">
        <f t="shared" si="376"/>
        <v>3343478.61370578</v>
      </c>
      <c r="U631" s="39">
        <f t="shared" si="415"/>
        <v>502603.891618429</v>
      </c>
      <c r="V631" s="39">
        <f t="shared" si="416"/>
        <v>3343468.19287719</v>
      </c>
      <c r="AI631" t="str">
        <f t="array" ref="AI631">IFERROR(INDEX($L$2:$L$189,SMALL(IF(ISNUMBER(FIND($AH$2,$C$2:$C$189)),ROW($2:$189)-1,4^8),ROW(A630)))&amp;"","")</f>
        <v/>
      </c>
      <c r="AS631" t="str">
        <f>"-text"&amp;" "&amp;D631&amp;","&amp;E631&amp;" "&amp;"10"&amp;" "&amp;"0"&amp;" "&amp;C631</f>
        <v>-text 502592.7301,3343480.5252 10 0 IP347</v>
      </c>
      <c r="AT631" t="str">
        <f t="shared" si="394"/>
        <v>502592.7301,3343480.5252</v>
      </c>
      <c r="AV631">
        <f t="shared" si="417"/>
        <v>440.31</v>
      </c>
      <c r="AX631" t="str">
        <f t="shared" si="396"/>
        <v>pl 50875.5112360408,279 50875.5112360408,400 </v>
      </c>
      <c r="AY631" t="str">
        <f t="shared" si="397"/>
        <v>50875.5112360408,435.11</v>
      </c>
      <c r="AZ631" t="str">
        <f t="shared" si="398"/>
        <v>50875.5112360408,438.843</v>
      </c>
      <c r="BA631" t="str">
        <f t="shared" si="399"/>
        <v>50875.5112360408,440.31</v>
      </c>
      <c r="BB631" t="str">
        <f t="shared" si="400"/>
        <v>-text 50874.5112360408,337 3.5 90 435.110 </v>
      </c>
      <c r="BC631" t="str">
        <f t="shared" si="401"/>
        <v>-text 50874.5112360408,320 3.5 90 440.310 </v>
      </c>
      <c r="BD631" t="str">
        <f t="shared" si="402"/>
        <v>-text 50874.5112360408,306 3.5 90 438.843 </v>
      </c>
      <c r="BE631" t="str">
        <f t="shared" si="403"/>
        <v>-text 50874.5112360408,352 3.5 90 ZG101+751.022 </v>
      </c>
      <c r="BF631" t="str">
        <f t="shared" si="404"/>
        <v>-text 50874.5112360408,280 3.5 90 IP347 </v>
      </c>
      <c r="BG631" t="str">
        <f t="shared" si="405"/>
        <v>-TEXT 50876.5112360408,300 3.5 0 R=60</v>
      </c>
      <c r="BH631" t="str">
        <f t="shared" si="406"/>
        <v>-TEXT 50876.5112360408,295 3.5 0 α=30.99° </v>
      </c>
      <c r="BI631" t="str">
        <f t="shared" si="407"/>
        <v>-TEXT 50876.5112360408,290 3.5 0 T=16.63 </v>
      </c>
      <c r="BJ631" t="str">
        <f t="shared" si="408"/>
        <v>-TEXT 50876.5112360408,285 3.5 0 S=32.45 </v>
      </c>
    </row>
    <row r="632" s="37" customFormat="1" spans="1:62">
      <c r="A632" s="37">
        <v>0</v>
      </c>
      <c r="B632" s="37">
        <v>631</v>
      </c>
      <c r="C632" s="37" t="str">
        <f>Sheet1!C580</f>
        <v>丹山水库分水闸进</v>
      </c>
      <c r="D632" s="51">
        <v>502686.4968</v>
      </c>
      <c r="E632" s="51">
        <v>3343376.9227</v>
      </c>
      <c r="G632" s="37">
        <f t="shared" si="424"/>
        <v>0</v>
      </c>
      <c r="H632" s="37">
        <f t="shared" si="418"/>
        <v>0</v>
      </c>
      <c r="I632" s="37">
        <f t="shared" si="419"/>
        <v>0</v>
      </c>
      <c r="J632" s="37">
        <f t="shared" si="420"/>
        <v>139.734290834979</v>
      </c>
      <c r="K632" s="52">
        <f t="shared" si="421"/>
        <v>101890.349295115</v>
      </c>
      <c r="L632" s="52">
        <f t="shared" si="422"/>
        <v>101890.349295115</v>
      </c>
      <c r="M632" s="52">
        <f t="shared" si="423"/>
        <v>101890.349295115</v>
      </c>
      <c r="N632" s="37">
        <v>438.817</v>
      </c>
      <c r="O632" s="37">
        <v>435.084</v>
      </c>
      <c r="P632" s="37">
        <v>0</v>
      </c>
      <c r="Q632" s="51">
        <f t="shared" si="373"/>
        <v>502686.4968</v>
      </c>
      <c r="R632" s="51">
        <f t="shared" si="374"/>
        <v>3343376.9227</v>
      </c>
      <c r="S632" s="51" t="str">
        <f t="shared" si="375"/>
        <v> </v>
      </c>
      <c r="T632" s="51" t="str">
        <f t="shared" si="376"/>
        <v> </v>
      </c>
      <c r="U632" s="51" t="str">
        <f t="shared" si="415"/>
        <v> </v>
      </c>
      <c r="V632" s="51" t="str">
        <f t="shared" si="416"/>
        <v> </v>
      </c>
      <c r="AI632" s="37" t="str">
        <f t="array" ref="AI632">IFERROR(INDEX($L$2:$L$189,SMALL(IF(ISNUMBER(FIND($AH$2,$C$2:$C$189)),ROW($2:$189)-1,4^8),ROW(A631)))&amp;"","")</f>
        <v/>
      </c>
      <c r="AT632" s="37" t="str">
        <f t="shared" si="394"/>
        <v>502686.4968,3343376.9227</v>
      </c>
      <c r="AV632" s="37">
        <f t="shared" si="417"/>
        <v>440.284</v>
      </c>
      <c r="AX632" s="37" t="str">
        <f t="shared" si="396"/>
        <v>pl 50945.1746475574,279 50945.1746475574,400 </v>
      </c>
      <c r="AY632" s="37" t="str">
        <f t="shared" si="397"/>
        <v>50945.1746475574,435.084</v>
      </c>
      <c r="AZ632" s="37" t="str">
        <f t="shared" si="398"/>
        <v>50945.1746475574,438.817</v>
      </c>
      <c r="BA632" s="37" t="str">
        <f t="shared" si="399"/>
        <v>50945.1746475574,440.284</v>
      </c>
      <c r="BB632" s="37" t="str">
        <f t="shared" si="400"/>
        <v>-text 50944.1746475574,337 3.5 90 435.084 </v>
      </c>
      <c r="BC632" s="37" t="str">
        <f t="shared" si="401"/>
        <v>-text 50944.1746475574,320 3.5 90 440.284 </v>
      </c>
      <c r="BD632" s="37" t="str">
        <f t="shared" si="402"/>
        <v>-text 50944.1746475574,306 3.5 90 438.817 </v>
      </c>
      <c r="BE632" s="37" t="str">
        <f t="shared" si="403"/>
        <v>-text 50944.1746475574,352 3.5 90 ZG101+890.349 </v>
      </c>
      <c r="BF632" s="37" t="str">
        <f t="shared" si="404"/>
        <v>-text 50944.1746475574,280 3.5 90 丹山水库分水闸进 </v>
      </c>
      <c r="BG632" s="37" t="str">
        <f t="shared" si="405"/>
        <v/>
      </c>
      <c r="BH632" s="37" t="str">
        <f t="shared" si="406"/>
        <v> </v>
      </c>
      <c r="BI632" s="37" t="str">
        <f t="shared" si="407"/>
        <v> </v>
      </c>
      <c r="BJ632" s="37" t="str">
        <f t="shared" si="408"/>
        <v> </v>
      </c>
    </row>
    <row r="633" s="37" customFormat="1" spans="1:62">
      <c r="A633" s="37">
        <v>0</v>
      </c>
      <c r="B633" s="37">
        <v>632</v>
      </c>
      <c r="C633" s="37" t="str">
        <f>Sheet1!C581</f>
        <v>丹山水库分水闸出</v>
      </c>
      <c r="D633" s="51">
        <v>502686.4968</v>
      </c>
      <c r="E633" s="51">
        <v>3343376.9227</v>
      </c>
      <c r="G633" s="37">
        <f t="shared" si="424"/>
        <v>0</v>
      </c>
      <c r="H633" s="37">
        <f t="shared" si="418"/>
        <v>0</v>
      </c>
      <c r="I633" s="37">
        <f t="shared" si="419"/>
        <v>0</v>
      </c>
      <c r="J633" s="37">
        <f t="shared" si="420"/>
        <v>0</v>
      </c>
      <c r="K633" s="52">
        <f t="shared" si="421"/>
        <v>101890.349295115</v>
      </c>
      <c r="L633" s="52">
        <f t="shared" si="422"/>
        <v>101890.349295115</v>
      </c>
      <c r="M633" s="52">
        <f t="shared" si="423"/>
        <v>101890.349295115</v>
      </c>
      <c r="N633" s="37">
        <v>438.787</v>
      </c>
      <c r="O633" s="37">
        <v>436.11</v>
      </c>
      <c r="P633" s="37">
        <v>0</v>
      </c>
      <c r="Q633" s="51">
        <f t="shared" si="373"/>
        <v>502686.4968</v>
      </c>
      <c r="R633" s="51">
        <f t="shared" si="374"/>
        <v>3343376.9227</v>
      </c>
      <c r="S633" s="51" t="str">
        <f t="shared" si="375"/>
        <v> </v>
      </c>
      <c r="T633" s="51" t="str">
        <f t="shared" si="376"/>
        <v> </v>
      </c>
      <c r="U633" s="51" t="str">
        <f t="shared" si="415"/>
        <v> </v>
      </c>
      <c r="V633" s="51" t="str">
        <f t="shared" si="416"/>
        <v> </v>
      </c>
      <c r="AI633" s="37" t="str">
        <f t="array" ref="AI633">IFERROR(INDEX($L$2:$L$189,SMALL(IF(ISNUMBER(FIND($AH$2,$C$2:$C$189)),ROW($2:$189)-1,4^8),ROW(A632)))&amp;"","")</f>
        <v/>
      </c>
      <c r="AT633" s="37" t="str">
        <f t="shared" si="394"/>
        <v>502686.4968,3343376.9227</v>
      </c>
      <c r="AV633" s="37">
        <f t="shared" si="417"/>
        <v>441.31</v>
      </c>
      <c r="AX633" s="37" t="str">
        <f t="shared" si="396"/>
        <v>pl 50945.1746475574,279 50945.1746475574,400 </v>
      </c>
      <c r="AY633" s="37" t="str">
        <f t="shared" si="397"/>
        <v>50945.1746475574,436.11</v>
      </c>
      <c r="AZ633" s="37" t="str">
        <f t="shared" si="398"/>
        <v>50945.1746475574,438.787</v>
      </c>
      <c r="BA633" s="37" t="str">
        <f t="shared" si="399"/>
        <v>50945.1746475574,441.31</v>
      </c>
      <c r="BB633" s="37" t="str">
        <f t="shared" si="400"/>
        <v>-text 50944.1746475574,337 3.5 90 436.110 </v>
      </c>
      <c r="BC633" s="37" t="str">
        <f t="shared" si="401"/>
        <v>-text 50944.1746475574,320 3.5 90 441.310 </v>
      </c>
      <c r="BD633" s="37" t="str">
        <f t="shared" si="402"/>
        <v>-text 50944.1746475574,306 3.5 90 438.787 </v>
      </c>
      <c r="BE633" s="37" t="str">
        <f t="shared" si="403"/>
        <v>-text 50944.1746475574,352 3.5 90 ZG101+890.349 </v>
      </c>
      <c r="BF633" s="37" t="str">
        <f t="shared" si="404"/>
        <v>-text 50944.1746475574,280 3.5 90 丹山水库分水闸出 </v>
      </c>
      <c r="BG633" s="37" t="str">
        <f t="shared" si="405"/>
        <v/>
      </c>
      <c r="BH633" s="37" t="str">
        <f t="shared" si="406"/>
        <v> </v>
      </c>
      <c r="BI633" s="37" t="str">
        <f t="shared" si="407"/>
        <v> </v>
      </c>
      <c r="BJ633" s="37" t="str">
        <f t="shared" si="408"/>
        <v> </v>
      </c>
    </row>
    <row r="634" spans="1:62">
      <c r="A634">
        <v>0</v>
      </c>
      <c r="B634">
        <v>633</v>
      </c>
      <c r="C634" t="s">
        <v>596</v>
      </c>
      <c r="D634" s="39">
        <v>502706.2955</v>
      </c>
      <c r="E634" s="39">
        <v>3343355.0472</v>
      </c>
      <c r="F634">
        <v>60</v>
      </c>
      <c r="G634">
        <f t="shared" si="424"/>
        <v>29.021</v>
      </c>
      <c r="H634">
        <f t="shared" si="418"/>
        <v>15.5287866093782</v>
      </c>
      <c r="I634">
        <f t="shared" si="419"/>
        <v>30.3907201332765</v>
      </c>
      <c r="J634">
        <f t="shared" si="420"/>
        <v>29.504677967112</v>
      </c>
      <c r="K634" s="40">
        <f t="shared" si="421"/>
        <v>101904.325186473</v>
      </c>
      <c r="L634" s="40">
        <f t="shared" si="422"/>
        <v>101919.520546539</v>
      </c>
      <c r="M634" s="40">
        <f t="shared" si="423"/>
        <v>101934.715906606</v>
      </c>
      <c r="N634">
        <v>438.782</v>
      </c>
      <c r="O634">
        <v>436.105</v>
      </c>
      <c r="P634">
        <v>0.001</v>
      </c>
      <c r="Q634" s="39">
        <f t="shared" si="373"/>
        <v>502695.87512572</v>
      </c>
      <c r="R634" s="39">
        <f t="shared" si="374"/>
        <v>3343366.56062753</v>
      </c>
      <c r="S634" s="39">
        <f t="shared" si="375"/>
        <v>502707.382118689</v>
      </c>
      <c r="T634" s="39">
        <f t="shared" si="376"/>
        <v>3343356.6987535</v>
      </c>
      <c r="U634" s="39">
        <f t="shared" si="415"/>
        <v>502720.993026545</v>
      </c>
      <c r="V634" s="39">
        <f t="shared" si="416"/>
        <v>3343350.03462312</v>
      </c>
      <c r="AI634" t="str">
        <f t="array" ref="AI634">IFERROR(INDEX($L$2:$L$189,SMALL(IF(ISNUMBER(FIND($AH$2,$C$2:$C$189)),ROW($2:$189)-1,4^8),ROW(A633)))&amp;"","")</f>
        <v/>
      </c>
      <c r="AS634" t="str">
        <f>"-text"&amp;" "&amp;D634&amp;","&amp;E634&amp;" "&amp;"10"&amp;" "&amp;"0"&amp;" "&amp;C634</f>
        <v>-text 502706.2955,3343355.0472 10 0 IP348</v>
      </c>
      <c r="AT634" t="str">
        <f t="shared" si="394"/>
        <v>502706.2955,3343355.0472</v>
      </c>
      <c r="AV634">
        <f>IF(A634=0,O634+3.85,IF(A634=1,O634+3.5,O634+3.25))</f>
        <v>439.955</v>
      </c>
      <c r="AX634" t="str">
        <f t="shared" si="396"/>
        <v>pl 50959.7602732696,279 50959.7602732696,400 </v>
      </c>
      <c r="AY634" t="str">
        <f t="shared" si="397"/>
        <v>50959.7602732696,436.105</v>
      </c>
      <c r="AZ634" t="str">
        <f t="shared" si="398"/>
        <v>50959.7602732696,438.782</v>
      </c>
      <c r="BA634" t="str">
        <f t="shared" si="399"/>
        <v>50959.7602732696,439.955</v>
      </c>
      <c r="BB634" t="str">
        <f t="shared" si="400"/>
        <v>-text 50958.7602732696,337 3.5 90 436.105 </v>
      </c>
      <c r="BC634" t="str">
        <f t="shared" si="401"/>
        <v>-text 50958.7602732696,320 3.5 90 439.955 </v>
      </c>
      <c r="BD634" t="str">
        <f t="shared" si="402"/>
        <v>-text 50958.7602732696,306 3.5 90 438.782 </v>
      </c>
      <c r="BE634" t="str">
        <f t="shared" si="403"/>
        <v>-text 50958.7602732696,352 3.5 90 ZG101+919.521 </v>
      </c>
      <c r="BF634" t="str">
        <f t="shared" si="404"/>
        <v>-text 50958.7602732696,280 3.5 90 IP348 </v>
      </c>
      <c r="BG634" t="str">
        <f t="shared" si="405"/>
        <v>-TEXT 50960.7602732696,300 3.5 0 R=60</v>
      </c>
      <c r="BH634" t="str">
        <f t="shared" si="406"/>
        <v>-TEXT 50960.7602732696,295 3.5 0 α=29.02° </v>
      </c>
      <c r="BI634" t="str">
        <f t="shared" si="407"/>
        <v>-TEXT 50960.7602732696,290 3.5 0 T=15.53 </v>
      </c>
      <c r="BJ634" t="str">
        <f t="shared" si="408"/>
        <v>-TEXT 50960.7602732696,285 3.5 0 S=30.39 </v>
      </c>
    </row>
    <row r="635" spans="1:62">
      <c r="A635">
        <v>2</v>
      </c>
      <c r="B635">
        <v>634</v>
      </c>
      <c r="C635" t="str">
        <f>Sheet1!C583</f>
        <v>菩萨湾渡槽进</v>
      </c>
      <c r="D635" s="39">
        <v>502735.3057</v>
      </c>
      <c r="E635" s="39">
        <v>3343345.1533</v>
      </c>
      <c r="G635">
        <f t="shared" si="424"/>
        <v>0</v>
      </c>
      <c r="H635">
        <f t="shared" si="418"/>
        <v>0</v>
      </c>
      <c r="I635">
        <f t="shared" si="419"/>
        <v>0</v>
      </c>
      <c r="J635">
        <f t="shared" si="420"/>
        <v>30.6509536760535</v>
      </c>
      <c r="K635" s="40">
        <f t="shared" si="421"/>
        <v>101949.838073673</v>
      </c>
      <c r="L635" s="40">
        <f t="shared" si="422"/>
        <v>101949.838073673</v>
      </c>
      <c r="M635" s="40">
        <f t="shared" si="423"/>
        <v>101949.838073673</v>
      </c>
      <c r="N635">
        <v>438.691</v>
      </c>
      <c r="O635">
        <v>435.997</v>
      </c>
      <c r="P635">
        <v>0</v>
      </c>
      <c r="Q635" s="39">
        <f t="shared" si="373"/>
        <v>502735.3057</v>
      </c>
      <c r="R635" s="39">
        <f t="shared" si="374"/>
        <v>3343345.1533</v>
      </c>
      <c r="S635" s="39" t="str">
        <f t="shared" si="375"/>
        <v> </v>
      </c>
      <c r="T635" s="39" t="str">
        <f t="shared" si="376"/>
        <v> </v>
      </c>
      <c r="U635" s="39" t="str">
        <f t="shared" si="415"/>
        <v> </v>
      </c>
      <c r="V635" s="39" t="str">
        <f t="shared" si="416"/>
        <v> </v>
      </c>
      <c r="AI635" t="str">
        <f t="array" ref="AI635">IFERROR(INDEX($L$2:$L$189,SMALL(IF(ISNUMBER(FIND($AH$2,$C$2:$C$189)),ROW($2:$189)-1,4^8),ROW(A634)))&amp;"","")</f>
        <v/>
      </c>
      <c r="AT635" t="str">
        <f t="shared" si="394"/>
        <v>502735.3057,3343345.1533</v>
      </c>
      <c r="AV635">
        <f t="shared" ref="AV635:AV698" si="425">IF(A635=0,O635+3.85,IF(A635=1,O635+3.5,O635+3.25))</f>
        <v>439.247</v>
      </c>
      <c r="AX635" t="str">
        <f t="shared" si="396"/>
        <v>pl 50974.9190368363,279 50974.9190368363,400 </v>
      </c>
      <c r="AY635" t="str">
        <f t="shared" si="397"/>
        <v>50974.9190368363,435.997</v>
      </c>
      <c r="AZ635" t="str">
        <f t="shared" si="398"/>
        <v>50974.9190368363,438.691</v>
      </c>
      <c r="BA635" t="str">
        <f t="shared" si="399"/>
        <v>50974.9190368363,439.247</v>
      </c>
      <c r="BB635" t="str">
        <f t="shared" si="400"/>
        <v>-text 50973.9190368363,337 3.5 90 435.997 </v>
      </c>
      <c r="BC635" t="str">
        <f t="shared" si="401"/>
        <v>-text 50973.9190368363,320 3.5 90 439.247 </v>
      </c>
      <c r="BD635" t="str">
        <f t="shared" si="402"/>
        <v>-text 50973.9190368363,306 3.5 90 438.691 </v>
      </c>
      <c r="BE635" t="str">
        <f t="shared" si="403"/>
        <v>-text 50973.9190368363,352 3.5 90 ZG101+949.838 </v>
      </c>
      <c r="BF635" t="str">
        <f t="shared" si="404"/>
        <v>-text 50973.9190368363,280 3.5 90 菩萨湾渡槽进 </v>
      </c>
      <c r="BG635" t="str">
        <f t="shared" si="405"/>
        <v/>
      </c>
      <c r="BH635" t="str">
        <f t="shared" si="406"/>
        <v> </v>
      </c>
      <c r="BI635" t="str">
        <f t="shared" si="407"/>
        <v> </v>
      </c>
      <c r="BJ635" t="str">
        <f t="shared" si="408"/>
        <v> </v>
      </c>
    </row>
    <row r="636" spans="1:62">
      <c r="A636">
        <v>2</v>
      </c>
      <c r="B636">
        <v>635</v>
      </c>
      <c r="C636" t="str">
        <f>Sheet1!C584</f>
        <v>菩萨湾渡槽出</v>
      </c>
      <c r="D636" s="39">
        <v>502811.7709</v>
      </c>
      <c r="E636" s="39">
        <v>3343319.0747</v>
      </c>
      <c r="G636">
        <f t="shared" si="424"/>
        <v>0</v>
      </c>
      <c r="H636">
        <f t="shared" si="418"/>
        <v>0</v>
      </c>
      <c r="I636">
        <f t="shared" si="419"/>
        <v>0</v>
      </c>
      <c r="J636">
        <f t="shared" si="420"/>
        <v>80.7899757951361</v>
      </c>
      <c r="K636" s="40">
        <f t="shared" si="421"/>
        <v>102030.628049468</v>
      </c>
      <c r="L636" s="40">
        <f t="shared" si="422"/>
        <v>102030.628049468</v>
      </c>
      <c r="M636" s="40">
        <f t="shared" si="423"/>
        <v>102030.628049468</v>
      </c>
      <c r="N636">
        <v>438.655</v>
      </c>
      <c r="O636">
        <v>435.961</v>
      </c>
      <c r="P636">
        <v>0</v>
      </c>
      <c r="Q636" s="39">
        <f t="shared" si="373"/>
        <v>502811.7709</v>
      </c>
      <c r="R636" s="39">
        <f t="shared" si="374"/>
        <v>3343319.0747</v>
      </c>
      <c r="S636" s="39" t="str">
        <f t="shared" si="375"/>
        <v> </v>
      </c>
      <c r="T636" s="39" t="str">
        <f t="shared" si="376"/>
        <v> </v>
      </c>
      <c r="U636" s="39" t="str">
        <f t="shared" si="415"/>
        <v> </v>
      </c>
      <c r="V636" s="39" t="str">
        <f t="shared" si="416"/>
        <v> </v>
      </c>
      <c r="AI636" t="str">
        <f t="array" ref="AI636">IFERROR(INDEX($L$2:$L$189,SMALL(IF(ISNUMBER(FIND($AH$2,$C$2:$C$189)),ROW($2:$189)-1,4^8),ROW(A635)))&amp;"","")</f>
        <v/>
      </c>
      <c r="AT636" t="str">
        <f t="shared" si="394"/>
        <v>502811.7709,3343319.0747</v>
      </c>
      <c r="AV636">
        <f t="shared" si="425"/>
        <v>439.211</v>
      </c>
      <c r="AX636" t="str">
        <f t="shared" si="396"/>
        <v>pl 51015.3140247338,279 51015.3140247338,400 </v>
      </c>
      <c r="AY636" t="str">
        <f t="shared" si="397"/>
        <v>51015.3140247338,435.961</v>
      </c>
      <c r="AZ636" t="str">
        <f t="shared" si="398"/>
        <v>51015.3140247338,438.655</v>
      </c>
      <c r="BA636" t="str">
        <f t="shared" si="399"/>
        <v>51015.3140247338,439.211</v>
      </c>
      <c r="BB636" t="str">
        <f t="shared" si="400"/>
        <v>-text 51014.3140247338,337 3.5 90 435.961 </v>
      </c>
      <c r="BC636" t="str">
        <f t="shared" si="401"/>
        <v>-text 51014.3140247338,320 3.5 90 439.211 </v>
      </c>
      <c r="BD636" t="str">
        <f t="shared" si="402"/>
        <v>-text 51014.3140247338,306 3.5 90 438.655 </v>
      </c>
      <c r="BE636" t="str">
        <f t="shared" si="403"/>
        <v>-text 51014.3140247338,352 3.5 90 ZG102+030.628 </v>
      </c>
      <c r="BF636" t="str">
        <f t="shared" si="404"/>
        <v>-text 51014.3140247338,280 3.5 90 菩萨湾渡槽出 </v>
      </c>
      <c r="BG636" t="str">
        <f t="shared" si="405"/>
        <v/>
      </c>
      <c r="BH636" t="str">
        <f t="shared" si="406"/>
        <v> </v>
      </c>
      <c r="BI636" t="str">
        <f t="shared" si="407"/>
        <v> </v>
      </c>
      <c r="BJ636" t="str">
        <f t="shared" si="408"/>
        <v> </v>
      </c>
    </row>
    <row r="637" spans="1:62">
      <c r="A637">
        <v>1</v>
      </c>
      <c r="B637">
        <v>636</v>
      </c>
      <c r="C637" t="str">
        <f>Sheet1!C585</f>
        <v>菩萨湾暗渠进</v>
      </c>
      <c r="D637" s="39">
        <v>502821.2356</v>
      </c>
      <c r="E637" s="39">
        <v>3343315.8468</v>
      </c>
      <c r="G637">
        <f t="shared" si="424"/>
        <v>0</v>
      </c>
      <c r="H637">
        <f t="shared" si="418"/>
        <v>0</v>
      </c>
      <c r="I637">
        <f t="shared" si="419"/>
        <v>0</v>
      </c>
      <c r="J637">
        <f t="shared" si="420"/>
        <v>9.9999942251024</v>
      </c>
      <c r="K637" s="40">
        <f t="shared" si="421"/>
        <v>102040.628043693</v>
      </c>
      <c r="L637" s="40">
        <f t="shared" si="422"/>
        <v>102040.628043693</v>
      </c>
      <c r="M637" s="40">
        <f t="shared" si="423"/>
        <v>102040.628043693</v>
      </c>
      <c r="N637">
        <v>438.653</v>
      </c>
      <c r="O637">
        <v>435.969</v>
      </c>
      <c r="P637">
        <v>0</v>
      </c>
      <c r="Q637" s="39">
        <f t="shared" si="373"/>
        <v>502821.2356</v>
      </c>
      <c r="R637" s="39">
        <f t="shared" si="374"/>
        <v>3343315.8468</v>
      </c>
      <c r="S637" s="39" t="str">
        <f t="shared" si="375"/>
        <v> </v>
      </c>
      <c r="T637" s="39" t="str">
        <f t="shared" si="376"/>
        <v> </v>
      </c>
      <c r="U637" s="39" t="str">
        <f t="shared" si="415"/>
        <v> </v>
      </c>
      <c r="V637" s="39" t="str">
        <f t="shared" si="416"/>
        <v> </v>
      </c>
      <c r="AI637" t="str">
        <f t="array" ref="AI637">IFERROR(INDEX($L$2:$L$189,SMALL(IF(ISNUMBER(FIND($AH$2,$C$2:$C$189)),ROW($2:$189)-1,4^8),ROW(A636)))&amp;"","")</f>
        <v/>
      </c>
      <c r="AT637" t="str">
        <f t="shared" si="394"/>
        <v>502821.2356,3343315.8468</v>
      </c>
      <c r="AV637">
        <f t="shared" si="425"/>
        <v>439.469</v>
      </c>
      <c r="AX637" t="str">
        <f t="shared" si="396"/>
        <v>pl 51020.3140218464,279 51020.3140218464,400 </v>
      </c>
      <c r="AY637" t="str">
        <f t="shared" si="397"/>
        <v>51020.3140218464,435.969</v>
      </c>
      <c r="AZ637" t="str">
        <f t="shared" si="398"/>
        <v>51020.3140218464,438.653</v>
      </c>
      <c r="BA637" t="str">
        <f t="shared" si="399"/>
        <v>51020.3140218464,439.469</v>
      </c>
      <c r="BB637" t="str">
        <f t="shared" si="400"/>
        <v>-text 51019.3140218464,337 3.5 90 435.969 </v>
      </c>
      <c r="BC637" t="str">
        <f t="shared" si="401"/>
        <v>-text 51019.3140218464,320 3.5 90 439.469 </v>
      </c>
      <c r="BD637" t="str">
        <f t="shared" si="402"/>
        <v>-text 51019.3140218464,306 3.5 90 438.653 </v>
      </c>
      <c r="BE637" t="str">
        <f t="shared" si="403"/>
        <v>-text 51019.3140218464,352 3.5 90 ZG102+040.628 </v>
      </c>
      <c r="BF637" t="str">
        <f t="shared" si="404"/>
        <v>-text 51019.3140218464,280 3.5 90 菩萨湾暗渠进 </v>
      </c>
      <c r="BG637" t="str">
        <f t="shared" si="405"/>
        <v/>
      </c>
      <c r="BH637" t="str">
        <f t="shared" si="406"/>
        <v> </v>
      </c>
      <c r="BI637" t="str">
        <f t="shared" si="407"/>
        <v> </v>
      </c>
      <c r="BJ637" t="str">
        <f t="shared" si="408"/>
        <v> </v>
      </c>
    </row>
    <row r="638" spans="1:62">
      <c r="A638">
        <v>1</v>
      </c>
      <c r="B638">
        <v>637</v>
      </c>
      <c r="C638" s="42" t="str">
        <f>Sheet1!C586</f>
        <v>菩萨湾暗渠出</v>
      </c>
      <c r="D638" s="43">
        <v>502847.8831</v>
      </c>
      <c r="E638" s="43">
        <v>3343306.7587</v>
      </c>
      <c r="G638">
        <f t="shared" si="424"/>
        <v>0</v>
      </c>
      <c r="H638">
        <f t="shared" si="418"/>
        <v>0</v>
      </c>
      <c r="I638">
        <f t="shared" si="419"/>
        <v>0</v>
      </c>
      <c r="J638">
        <f t="shared" si="420"/>
        <v>28.1546233832869</v>
      </c>
      <c r="K638" s="40">
        <f t="shared" si="421"/>
        <v>102068.782667076</v>
      </c>
      <c r="L638" s="40">
        <f t="shared" si="422"/>
        <v>102068.782667076</v>
      </c>
      <c r="M638" s="40">
        <f t="shared" si="423"/>
        <v>102068.782667076</v>
      </c>
      <c r="N638">
        <v>438.643</v>
      </c>
      <c r="O638">
        <v>435.959</v>
      </c>
      <c r="P638">
        <v>0</v>
      </c>
      <c r="Q638" s="39">
        <f t="shared" si="373"/>
        <v>502847.8831</v>
      </c>
      <c r="R638" s="39">
        <f t="shared" si="374"/>
        <v>3343306.7587</v>
      </c>
      <c r="S638" s="39" t="str">
        <f t="shared" si="375"/>
        <v> </v>
      </c>
      <c r="T638" s="39" t="str">
        <f t="shared" si="376"/>
        <v> </v>
      </c>
      <c r="U638" s="39" t="str">
        <f t="shared" si="415"/>
        <v> </v>
      </c>
      <c r="V638" s="39" t="str">
        <f t="shared" si="416"/>
        <v> </v>
      </c>
      <c r="AI638" t="str">
        <f t="array" ref="AI638">IFERROR(INDEX($L$2:$L$189,SMALL(IF(ISNUMBER(FIND($AH$2,$C$2:$C$189)),ROW($2:$189)-1,4^8),ROW(A637)))&amp;"","")</f>
        <v/>
      </c>
      <c r="AT638" t="str">
        <f t="shared" si="394"/>
        <v>502847.8831,3343306.7587</v>
      </c>
      <c r="AV638">
        <f t="shared" si="425"/>
        <v>439.459</v>
      </c>
      <c r="AX638" t="str">
        <f t="shared" si="396"/>
        <v>pl 51034.391333538,279 51034.391333538,400 </v>
      </c>
      <c r="AY638" t="str">
        <f t="shared" si="397"/>
        <v>51034.391333538,435.959</v>
      </c>
      <c r="AZ638" t="str">
        <f t="shared" si="398"/>
        <v>51034.391333538,438.643</v>
      </c>
      <c r="BA638" t="str">
        <f t="shared" si="399"/>
        <v>51034.391333538,439.459</v>
      </c>
      <c r="BB638" t="str">
        <f t="shared" si="400"/>
        <v>-text 51033.391333538,337 3.5 90 435.959 </v>
      </c>
      <c r="BC638" t="str">
        <f t="shared" si="401"/>
        <v>-text 51033.391333538,320 3.5 90 439.459 </v>
      </c>
      <c r="BD638" t="str">
        <f t="shared" si="402"/>
        <v>-text 51033.391333538,306 3.5 90 438.643 </v>
      </c>
      <c r="BE638" t="str">
        <f t="shared" si="403"/>
        <v>-text 51033.391333538,352 3.5 90 ZG102+068.783 </v>
      </c>
      <c r="BF638" t="str">
        <f t="shared" si="404"/>
        <v>-text 51033.391333538,280 3.5 90 菩萨湾暗渠出 </v>
      </c>
      <c r="BG638" t="str">
        <f t="shared" si="405"/>
        <v/>
      </c>
      <c r="BH638" t="str">
        <f t="shared" si="406"/>
        <v> </v>
      </c>
      <c r="BI638" t="str">
        <f t="shared" si="407"/>
        <v> </v>
      </c>
      <c r="BJ638" t="str">
        <f t="shared" si="408"/>
        <v> </v>
      </c>
    </row>
    <row r="639" spans="1:62">
      <c r="A639">
        <v>1</v>
      </c>
      <c r="B639">
        <v>638</v>
      </c>
      <c r="C639" s="42" t="str">
        <f>Sheet1!C587</f>
        <v>高坡隧进</v>
      </c>
      <c r="D639" s="43">
        <v>502847.8831</v>
      </c>
      <c r="E639" s="43">
        <v>3343306.7587</v>
      </c>
      <c r="G639">
        <f t="shared" si="424"/>
        <v>0</v>
      </c>
      <c r="H639">
        <f t="shared" si="418"/>
        <v>0</v>
      </c>
      <c r="I639">
        <f t="shared" si="419"/>
        <v>0</v>
      </c>
      <c r="J639">
        <f t="shared" si="420"/>
        <v>0</v>
      </c>
      <c r="K639" s="40">
        <f t="shared" si="421"/>
        <v>102068.782667076</v>
      </c>
      <c r="L639" s="40">
        <f t="shared" si="422"/>
        <v>102068.782667076</v>
      </c>
      <c r="M639" s="40">
        <f t="shared" si="423"/>
        <v>102068.782667076</v>
      </c>
      <c r="N639">
        <v>438.643</v>
      </c>
      <c r="O639">
        <v>435.959</v>
      </c>
      <c r="P639">
        <v>0</v>
      </c>
      <c r="Q639" s="39">
        <f t="shared" ref="Q639:Q672" si="426">IF(G639=0,D639,D638+(D639-D638)/J639*(J639-H639))</f>
        <v>502847.8831</v>
      </c>
      <c r="R639" s="39">
        <f t="shared" ref="R639:R672" si="427">IF(G639=0,E639,E638+(E639-E638)/J639*(J639-H639))</f>
        <v>3343306.7587</v>
      </c>
      <c r="S639" s="39" t="str">
        <f t="shared" ref="S639:S670" si="428">IF(G639=0," ",(Q639+U639)/2+(D639-(Q639+U639)/2)/(H639*SIN(G639/360*PI()))*(F639-F639*COS(G639/360*PI())))</f>
        <v> </v>
      </c>
      <c r="T639" s="39" t="str">
        <f t="shared" ref="T639:T670" si="429">IF(G639=0," ",(R639+V639)/2+(E639-(R639+V639)/2)/(H639*SIN(G639/360*PI()))*(F639-F639*COS(G639/360*PI())))</f>
        <v> </v>
      </c>
      <c r="U639" s="39" t="str">
        <f t="shared" si="415"/>
        <v> </v>
      </c>
      <c r="V639" s="39" t="str">
        <f t="shared" si="416"/>
        <v> </v>
      </c>
      <c r="AI639" t="str">
        <f t="array" ref="AI639">IFERROR(INDEX($L$2:$L$189,SMALL(IF(ISNUMBER(FIND($AH$2,$C$2:$C$189)),ROW($2:$189)-1,4^8),ROW(A638)))&amp;"","")</f>
        <v/>
      </c>
      <c r="AT639" t="str">
        <f t="shared" si="394"/>
        <v>502847.8831,3343306.7587</v>
      </c>
      <c r="AV639">
        <f t="shared" si="425"/>
        <v>439.459</v>
      </c>
      <c r="AX639" t="str">
        <f t="shared" si="396"/>
        <v>pl 51034.391333538,279 51034.391333538,400 </v>
      </c>
      <c r="AY639" t="str">
        <f t="shared" si="397"/>
        <v>51034.391333538,435.959</v>
      </c>
      <c r="AZ639" t="str">
        <f t="shared" si="398"/>
        <v>51034.391333538,438.643</v>
      </c>
      <c r="BA639" t="str">
        <f t="shared" si="399"/>
        <v>51034.391333538,439.459</v>
      </c>
      <c r="BB639" t="str">
        <f t="shared" si="400"/>
        <v>-text 51033.391333538,337 3.5 90 435.959 </v>
      </c>
      <c r="BC639" t="str">
        <f t="shared" si="401"/>
        <v>-text 51033.391333538,320 3.5 90 439.459 </v>
      </c>
      <c r="BD639" t="str">
        <f t="shared" si="402"/>
        <v>-text 51033.391333538,306 3.5 90 438.643 </v>
      </c>
      <c r="BE639" t="str">
        <f t="shared" si="403"/>
        <v>-text 51033.391333538,352 3.5 90 ZG102+068.783 </v>
      </c>
      <c r="BF639" t="str">
        <f t="shared" si="404"/>
        <v>-text 51033.391333538,280 3.5 90 高坡隧进 </v>
      </c>
      <c r="BG639" t="str">
        <f t="shared" si="405"/>
        <v/>
      </c>
      <c r="BH639" t="str">
        <f t="shared" si="406"/>
        <v> </v>
      </c>
      <c r="BI639" t="str">
        <f t="shared" si="407"/>
        <v> </v>
      </c>
      <c r="BJ639" t="str">
        <f t="shared" si="408"/>
        <v> </v>
      </c>
    </row>
    <row r="640" spans="1:62">
      <c r="A640">
        <v>1</v>
      </c>
      <c r="B640">
        <v>639</v>
      </c>
      <c r="C640" t="s">
        <v>597</v>
      </c>
      <c r="D640" s="39">
        <v>503014.2854</v>
      </c>
      <c r="E640" s="39">
        <v>3343250.0071</v>
      </c>
      <c r="F640">
        <v>60</v>
      </c>
      <c r="G640">
        <f t="shared" si="424"/>
        <v>11.966</v>
      </c>
      <c r="H640">
        <f t="shared" si="418"/>
        <v>6.28825565744749</v>
      </c>
      <c r="I640">
        <f t="shared" si="419"/>
        <v>12.5307658976185</v>
      </c>
      <c r="J640">
        <f t="shared" si="420"/>
        <v>175.813735378849</v>
      </c>
      <c r="K640" s="40">
        <f t="shared" ref="K640:K690" si="430">L640-I640/2</f>
        <v>102238.308146797</v>
      </c>
      <c r="L640" s="40">
        <f t="shared" ref="L640:L690" si="431">L639+J640-H640+I640/2+I639/2-H639</f>
        <v>102244.573529746</v>
      </c>
      <c r="M640" s="40">
        <f t="shared" ref="M640:M690" si="432">K640+I640</f>
        <v>102250.838912695</v>
      </c>
      <c r="N640">
        <v>438.58</v>
      </c>
      <c r="O640">
        <v>435.896</v>
      </c>
      <c r="P640">
        <v>0.001</v>
      </c>
      <c r="Q640" s="39">
        <f t="shared" si="426"/>
        <v>503008.333759179</v>
      </c>
      <c r="R640" s="39">
        <f t="shared" si="427"/>
        <v>3343252.03691052</v>
      </c>
      <c r="S640" s="39">
        <f t="shared" si="428"/>
        <v>503014.147489549</v>
      </c>
      <c r="T640" s="39">
        <f t="shared" si="429"/>
        <v>3343249.70883574</v>
      </c>
      <c r="U640" s="39">
        <f t="shared" si="415"/>
        <v>503019.686901452</v>
      </c>
      <c r="V640" s="39">
        <f t="shared" si="416"/>
        <v>3343246.78748181</v>
      </c>
      <c r="AI640" t="str">
        <f t="array" ref="AI640">IFERROR(INDEX($L$2:$L$189,SMALL(IF(ISNUMBER(FIND($AH$2,$C$2:$C$189)),ROW($2:$189)-1,4^8),ROW(A639)))&amp;"","")</f>
        <v/>
      </c>
      <c r="AS640" t="str">
        <f>"-text"&amp;" "&amp;D640&amp;","&amp;E640&amp;" "&amp;"10"&amp;" "&amp;"0"&amp;" "&amp;C640</f>
        <v>-text 503014.2854,3343250.0071 10 0 IP349</v>
      </c>
      <c r="AT640" t="str">
        <f t="shared" si="394"/>
        <v>503014.2854,3343250.0071</v>
      </c>
      <c r="AV640">
        <f t="shared" si="425"/>
        <v>439.396</v>
      </c>
      <c r="AX640" t="str">
        <f t="shared" si="396"/>
        <v>pl 51122.2867648731,279 51122.2867648731,400 </v>
      </c>
      <c r="AY640" t="str">
        <f t="shared" si="397"/>
        <v>51122.2867648731,435.896</v>
      </c>
      <c r="AZ640" t="str">
        <f t="shared" si="398"/>
        <v>51122.2867648731,438.58</v>
      </c>
      <c r="BA640" t="str">
        <f t="shared" si="399"/>
        <v>51122.2867648731,439.396</v>
      </c>
      <c r="BB640" t="str">
        <f t="shared" si="400"/>
        <v>-text 51121.2867648731,337 3.5 90 435.896 </v>
      </c>
      <c r="BC640" t="str">
        <f t="shared" si="401"/>
        <v>-text 51121.2867648731,320 3.5 90 439.396 </v>
      </c>
      <c r="BD640" t="str">
        <f t="shared" si="402"/>
        <v>-text 51121.2867648731,306 3.5 90 438.580 </v>
      </c>
      <c r="BE640" t="str">
        <f t="shared" si="403"/>
        <v>-text 51121.2867648731,352 3.5 90 ZG102+244.574 </v>
      </c>
      <c r="BF640" t="str">
        <f t="shared" si="404"/>
        <v>-text 51121.2867648731,280 3.5 90 IP349 </v>
      </c>
      <c r="BG640" t="str">
        <f t="shared" si="405"/>
        <v>-TEXT 51123.2867648731,300 3.5 0 R=60</v>
      </c>
      <c r="BH640" t="str">
        <f t="shared" si="406"/>
        <v>-TEXT 51123.2867648731,295 3.5 0 α=11.97° </v>
      </c>
      <c r="BI640" t="str">
        <f t="shared" si="407"/>
        <v>-TEXT 51123.2867648731,290 3.5 0 T=6.29 </v>
      </c>
      <c r="BJ640" t="str">
        <f t="shared" si="408"/>
        <v>-TEXT 51123.2867648731,285 3.5 0 S=12.53 </v>
      </c>
    </row>
    <row r="641" spans="1:62">
      <c r="A641">
        <v>1</v>
      </c>
      <c r="B641">
        <v>640</v>
      </c>
      <c r="C641" t="s">
        <v>599</v>
      </c>
      <c r="D641" s="39">
        <v>503971.6468</v>
      </c>
      <c r="E641" s="39">
        <v>3342679.3624</v>
      </c>
      <c r="F641">
        <v>60</v>
      </c>
      <c r="G641">
        <f t="shared" si="424"/>
        <v>12.997</v>
      </c>
      <c r="H641">
        <f t="shared" si="418"/>
        <v>6.83454531550356</v>
      </c>
      <c r="I641">
        <f t="shared" si="419"/>
        <v>13.6104265729022</v>
      </c>
      <c r="J641">
        <f t="shared" si="420"/>
        <v>1114.52959756487</v>
      </c>
      <c r="K641" s="40">
        <f t="shared" si="430"/>
        <v>103352.245709287</v>
      </c>
      <c r="L641" s="40">
        <f t="shared" si="431"/>
        <v>103359.050922573</v>
      </c>
      <c r="M641" s="40">
        <f t="shared" si="432"/>
        <v>103365.85613586</v>
      </c>
      <c r="N641">
        <v>438.182</v>
      </c>
      <c r="O641">
        <v>435.498</v>
      </c>
      <c r="P641">
        <v>0.001</v>
      </c>
      <c r="Q641" s="39">
        <f t="shared" si="426"/>
        <v>503965.776045301</v>
      </c>
      <c r="R641" s="39">
        <f t="shared" si="427"/>
        <v>3342682.86172121</v>
      </c>
      <c r="S641" s="39">
        <f t="shared" si="428"/>
        <v>503971.411703439</v>
      </c>
      <c r="T641" s="39">
        <f t="shared" si="429"/>
        <v>3342679.0537446</v>
      </c>
      <c r="U641" s="39">
        <f t="shared" si="415"/>
        <v>503976.58018953</v>
      </c>
      <c r="V641" s="39">
        <f t="shared" si="416"/>
        <v>3342674.63242353</v>
      </c>
      <c r="AI641" t="str">
        <f t="array" ref="AI641">IFERROR(INDEX($L$2:$L$189,SMALL(IF(ISNUMBER(FIND($AH$2,$C$2:$C$189)),ROW($2:$189)-1,4^8),ROW(A640)))&amp;"","")</f>
        <v/>
      </c>
      <c r="AS641" t="str">
        <f>"-text"&amp;" "&amp;D641&amp;","&amp;E641&amp;" "&amp;"10"&amp;" "&amp;"0"&amp;" "&amp;C641</f>
        <v>-text 503971.6468,3342679.3624 10 0 IP350</v>
      </c>
      <c r="AT641" t="str">
        <f t="shared" si="394"/>
        <v>503971.6468,3342679.3624</v>
      </c>
      <c r="AV641">
        <f t="shared" si="425"/>
        <v>438.998</v>
      </c>
      <c r="AX641" t="str">
        <f t="shared" si="396"/>
        <v>pl 51679.5254612867,279 51679.5254612867,400 </v>
      </c>
      <c r="AY641" t="str">
        <f t="shared" si="397"/>
        <v>51679.5254612867,435.498</v>
      </c>
      <c r="AZ641" t="str">
        <f t="shared" si="398"/>
        <v>51679.5254612867,438.182</v>
      </c>
      <c r="BA641" t="str">
        <f t="shared" si="399"/>
        <v>51679.5254612867,438.998</v>
      </c>
      <c r="BB641" t="str">
        <f t="shared" si="400"/>
        <v>-text 51678.5254612867,337 3.5 90 435.498 </v>
      </c>
      <c r="BC641" t="str">
        <f t="shared" si="401"/>
        <v>-text 51678.5254612867,320 3.5 90 438.998 </v>
      </c>
      <c r="BD641" t="str">
        <f t="shared" si="402"/>
        <v>-text 51678.5254612867,306 3.5 90 438.182 </v>
      </c>
      <c r="BE641" t="str">
        <f t="shared" si="403"/>
        <v>-text 51678.5254612867,352 3.5 90 ZG103+359.051 </v>
      </c>
      <c r="BF641" t="str">
        <f t="shared" si="404"/>
        <v>-text 51678.5254612867,280 3.5 90 IP350 </v>
      </c>
      <c r="BG641" t="str">
        <f t="shared" si="405"/>
        <v>-TEXT 51680.5254612867,300 3.5 0 R=60</v>
      </c>
      <c r="BH641" t="str">
        <f t="shared" si="406"/>
        <v>-TEXT 51680.5254612867,295 3.5 0 α=13.00° </v>
      </c>
      <c r="BI641" t="str">
        <f t="shared" si="407"/>
        <v>-TEXT 51680.5254612867,290 3.5 0 T=6.83 </v>
      </c>
      <c r="BJ641" t="str">
        <f t="shared" si="408"/>
        <v>-TEXT 51680.5254612867,285 3.5 0 S=13.61 </v>
      </c>
    </row>
    <row r="642" spans="1:62">
      <c r="A642">
        <v>1</v>
      </c>
      <c r="B642">
        <v>641</v>
      </c>
      <c r="C642" t="s">
        <v>602</v>
      </c>
      <c r="D642" s="39">
        <v>504660.7248</v>
      </c>
      <c r="E642" s="39">
        <v>3342018.6964</v>
      </c>
      <c r="F642">
        <v>60</v>
      </c>
      <c r="G642">
        <f t="shared" si="424"/>
        <v>30.571</v>
      </c>
      <c r="H642">
        <f t="shared" si="418"/>
        <v>16.397822951786</v>
      </c>
      <c r="I642">
        <f t="shared" si="419"/>
        <v>32.0138763376312</v>
      </c>
      <c r="J642">
        <f t="shared" si="420"/>
        <v>954.624561615884</v>
      </c>
      <c r="K642" s="40">
        <f t="shared" si="430"/>
        <v>104297.248329209</v>
      </c>
      <c r="L642" s="40">
        <f t="shared" si="431"/>
        <v>104313.255267377</v>
      </c>
      <c r="M642" s="40">
        <f t="shared" si="432"/>
        <v>104329.262205546</v>
      </c>
      <c r="N642">
        <v>437.839</v>
      </c>
      <c r="O642">
        <v>435.155</v>
      </c>
      <c r="P642">
        <v>0.002</v>
      </c>
      <c r="Q642" s="39">
        <f t="shared" si="426"/>
        <v>504648.888336223</v>
      </c>
      <c r="R642" s="39">
        <f t="shared" si="427"/>
        <v>3342030.0448238</v>
      </c>
      <c r="S642" s="39">
        <f t="shared" si="428"/>
        <v>504658.837092249</v>
      </c>
      <c r="T642" s="39">
        <f t="shared" si="429"/>
        <v>3342017.5657277</v>
      </c>
      <c r="U642" s="39">
        <f t="shared" si="415"/>
        <v>504665.143991242</v>
      </c>
      <c r="V642" s="39">
        <f t="shared" si="416"/>
        <v>3342002.90528394</v>
      </c>
      <c r="AI642" t="str">
        <f t="array" ref="AI642">IFERROR(INDEX($L$2:$L$189,SMALL(IF(ISNUMBER(FIND($AH$2,$C$2:$C$189)),ROW($2:$189)-1,4^8),ROW(A641)))&amp;"","")</f>
        <v/>
      </c>
      <c r="AS642" t="str">
        <f>"-text"&amp;" "&amp;D642&amp;","&amp;E642&amp;" "&amp;"10"&amp;" "&amp;"0"&amp;" "&amp;C642</f>
        <v>-text 504660.7248,3342018.6964 10 0 IP351</v>
      </c>
      <c r="AT642" t="str">
        <f t="shared" si="394"/>
        <v>504660.7248,3342018.6964</v>
      </c>
      <c r="AV642">
        <f t="shared" si="425"/>
        <v>438.655</v>
      </c>
      <c r="AX642" t="str">
        <f t="shared" si="396"/>
        <v>pl 52156.6276336887,279 52156.6276336887,400 </v>
      </c>
      <c r="AY642" t="str">
        <f t="shared" si="397"/>
        <v>52156.6276336887,435.155</v>
      </c>
      <c r="AZ642" t="str">
        <f t="shared" si="398"/>
        <v>52156.6276336887,437.839</v>
      </c>
      <c r="BA642" t="str">
        <f t="shared" si="399"/>
        <v>52156.6276336887,438.655</v>
      </c>
      <c r="BB642" t="str">
        <f t="shared" si="400"/>
        <v>-text 52155.6276336887,337 3.5 90 435.155 </v>
      </c>
      <c r="BC642" t="str">
        <f t="shared" si="401"/>
        <v>-text 52155.6276336887,320 3.5 90 438.655 </v>
      </c>
      <c r="BD642" t="str">
        <f t="shared" si="402"/>
        <v>-text 52155.6276336887,306 3.5 90 437.839 </v>
      </c>
      <c r="BE642" t="str">
        <f t="shared" si="403"/>
        <v>-text 52155.6276336887,352 3.5 90 ZG104+313.255 </v>
      </c>
      <c r="BF642" t="str">
        <f t="shared" si="404"/>
        <v>-text 52155.6276336887,280 3.5 90 IP351 </v>
      </c>
      <c r="BG642" t="str">
        <f t="shared" si="405"/>
        <v>-TEXT 52157.6276336887,300 3.5 0 R=60</v>
      </c>
      <c r="BH642" t="str">
        <f t="shared" si="406"/>
        <v>-TEXT 52157.6276336887,295 3.5 0 α=30.57° </v>
      </c>
      <c r="BI642" t="str">
        <f t="shared" si="407"/>
        <v>-TEXT 52157.6276336887,290 3.5 0 T=16.40 </v>
      </c>
      <c r="BJ642" t="str">
        <f t="shared" si="408"/>
        <v>-TEXT 52157.6276336887,285 3.5 0 S=32.01 </v>
      </c>
    </row>
    <row r="643" spans="1:62">
      <c r="A643">
        <v>1</v>
      </c>
      <c r="B643">
        <v>642</v>
      </c>
      <c r="C643" t="s">
        <v>608</v>
      </c>
      <c r="D643" s="39">
        <v>504771.8455</v>
      </c>
      <c r="E643" s="39">
        <v>3341621.6283</v>
      </c>
      <c r="F643">
        <v>60</v>
      </c>
      <c r="G643">
        <f t="shared" si="424"/>
        <v>35.077</v>
      </c>
      <c r="H643">
        <f t="shared" si="418"/>
        <v>18.9622618956857</v>
      </c>
      <c r="I643">
        <f t="shared" si="419"/>
        <v>36.7325485033231</v>
      </c>
      <c r="J643">
        <f t="shared" si="420"/>
        <v>412.323763571704</v>
      </c>
      <c r="K643" s="40">
        <f t="shared" si="430"/>
        <v>104706.22588427</v>
      </c>
      <c r="L643" s="40">
        <f t="shared" si="431"/>
        <v>104724.592158522</v>
      </c>
      <c r="M643" s="40">
        <f t="shared" si="432"/>
        <v>104742.958432774</v>
      </c>
      <c r="N643">
        <v>437.691</v>
      </c>
      <c r="O643">
        <v>435.007</v>
      </c>
      <c r="P643">
        <v>0.002</v>
      </c>
      <c r="Q643" s="39">
        <f t="shared" si="426"/>
        <v>504766.73519591</v>
      </c>
      <c r="R643" s="39">
        <f t="shared" si="427"/>
        <v>3341639.88897272</v>
      </c>
      <c r="S643" s="39">
        <f t="shared" si="428"/>
        <v>504774.293874584</v>
      </c>
      <c r="T643" s="39">
        <f t="shared" si="429"/>
        <v>3341623.2288228</v>
      </c>
      <c r="U643" s="39">
        <f t="shared" si="415"/>
        <v>504786.521675454</v>
      </c>
      <c r="V643" s="39">
        <f t="shared" si="416"/>
        <v>3341609.62091684</v>
      </c>
      <c r="AI643" t="str">
        <f t="array" ref="AI643">IFERROR(INDEX($L$2:$L$189,SMALL(IF(ISNUMBER(FIND($AH$2,$C$2:$C$189)),ROW($2:$189)-1,4^8),ROW(A642)))&amp;"","")</f>
        <v/>
      </c>
      <c r="AS643" t="str">
        <f>"-text"&amp;" "&amp;D643&amp;","&amp;E643&amp;" "&amp;"10"&amp;" "&amp;"0"&amp;" "&amp;C643</f>
        <v>-text 504771.8455,3341621.6283 10 0 IP352</v>
      </c>
      <c r="AT643" t="str">
        <f t="shared" si="394"/>
        <v>504771.8455,3341621.6283</v>
      </c>
      <c r="AV643">
        <f t="shared" si="425"/>
        <v>438.507</v>
      </c>
      <c r="AX643" t="str">
        <f t="shared" si="396"/>
        <v>pl 52362.296079261,279 52362.296079261,400 </v>
      </c>
      <c r="AY643" t="str">
        <f t="shared" si="397"/>
        <v>52362.296079261,435.007</v>
      </c>
      <c r="AZ643" t="str">
        <f t="shared" si="398"/>
        <v>52362.296079261,437.691</v>
      </c>
      <c r="BA643" t="str">
        <f t="shared" si="399"/>
        <v>52362.296079261,438.507</v>
      </c>
      <c r="BB643" t="str">
        <f t="shared" si="400"/>
        <v>-text 52361.296079261,337 3.5 90 435.007 </v>
      </c>
      <c r="BC643" t="str">
        <f t="shared" si="401"/>
        <v>-text 52361.296079261,320 3.5 90 438.507 </v>
      </c>
      <c r="BD643" t="str">
        <f t="shared" si="402"/>
        <v>-text 52361.296079261,306 3.5 90 437.691 </v>
      </c>
      <c r="BE643" t="str">
        <f t="shared" si="403"/>
        <v>-text 52361.296079261,352 3.5 90 ZG104+724.592 </v>
      </c>
      <c r="BF643" t="str">
        <f t="shared" si="404"/>
        <v>-text 52361.296079261,280 3.5 90 IP352 </v>
      </c>
      <c r="BG643" t="str">
        <f t="shared" si="405"/>
        <v>-TEXT 52363.296079261,300 3.5 0 R=60</v>
      </c>
      <c r="BH643" t="str">
        <f t="shared" si="406"/>
        <v>-TEXT 52363.296079261,295 3.5 0 α=35.08° </v>
      </c>
      <c r="BI643" t="str">
        <f t="shared" si="407"/>
        <v>-TEXT 52363.296079261,290 3.5 0 T=18.96 </v>
      </c>
      <c r="BJ643" t="str">
        <f t="shared" si="408"/>
        <v>-TEXT 52363.296079261,285 3.5 0 S=36.73 </v>
      </c>
    </row>
    <row r="644" spans="1:62">
      <c r="A644">
        <v>1</v>
      </c>
      <c r="B644">
        <v>643</v>
      </c>
      <c r="C644" s="42" t="str">
        <f>Sheet1!C592</f>
        <v>高坡隧出</v>
      </c>
      <c r="D644" s="43">
        <v>504885.8419</v>
      </c>
      <c r="E644" s="43">
        <v>3341528.3616</v>
      </c>
      <c r="G644">
        <f t="shared" si="424"/>
        <v>0</v>
      </c>
      <c r="H644">
        <f t="shared" si="418"/>
        <v>0</v>
      </c>
      <c r="I644">
        <f t="shared" si="419"/>
        <v>0</v>
      </c>
      <c r="J644">
        <f t="shared" si="420"/>
        <v>147.288344894827</v>
      </c>
      <c r="K644" s="40">
        <f t="shared" si="430"/>
        <v>104871.284515773</v>
      </c>
      <c r="L644" s="40">
        <f t="shared" si="431"/>
        <v>104871.284515773</v>
      </c>
      <c r="M644" s="40">
        <f t="shared" si="432"/>
        <v>104871.284515773</v>
      </c>
      <c r="N644">
        <v>437.637</v>
      </c>
      <c r="O644">
        <v>434.953</v>
      </c>
      <c r="P644">
        <v>0</v>
      </c>
      <c r="Q644" s="39">
        <f t="shared" si="426"/>
        <v>504885.8419</v>
      </c>
      <c r="R644" s="39">
        <f t="shared" si="427"/>
        <v>3341528.3616</v>
      </c>
      <c r="S644" s="39" t="str">
        <f t="shared" si="428"/>
        <v> </v>
      </c>
      <c r="T644" s="39" t="str">
        <f t="shared" si="429"/>
        <v> </v>
      </c>
      <c r="U644" s="39" t="str">
        <f t="shared" si="415"/>
        <v> </v>
      </c>
      <c r="V644" s="39" t="str">
        <f t="shared" si="416"/>
        <v> </v>
      </c>
      <c r="AI644" t="str">
        <f t="array" ref="AI644">IFERROR(INDEX($L$2:$L$189,SMALL(IF(ISNUMBER(FIND($AH$2,$C$2:$C$189)),ROW($2:$189)-1,4^8),ROW(A643)))&amp;"","")</f>
        <v/>
      </c>
      <c r="AT644" t="str">
        <f t="shared" si="394"/>
        <v>504885.8419,3341528.3616</v>
      </c>
      <c r="AV644">
        <f t="shared" si="425"/>
        <v>438.453</v>
      </c>
      <c r="AX644" t="str">
        <f t="shared" si="396"/>
        <v>pl 52435.6422578864,279 52435.6422578864,400 </v>
      </c>
      <c r="AY644" t="str">
        <f t="shared" si="397"/>
        <v>52435.6422578864,434.953</v>
      </c>
      <c r="AZ644" t="str">
        <f t="shared" si="398"/>
        <v>52435.6422578864,437.637</v>
      </c>
      <c r="BA644" t="str">
        <f t="shared" si="399"/>
        <v>52435.6422578864,438.453</v>
      </c>
      <c r="BB644" t="str">
        <f t="shared" si="400"/>
        <v>-text 52434.6422578864,337 3.5 90 434.953 </v>
      </c>
      <c r="BC644" t="str">
        <f t="shared" si="401"/>
        <v>-text 52434.6422578864,320 3.5 90 438.453 </v>
      </c>
      <c r="BD644" t="str">
        <f t="shared" si="402"/>
        <v>-text 52434.6422578864,306 3.5 90 437.637 </v>
      </c>
      <c r="BE644" t="str">
        <f t="shared" si="403"/>
        <v>-text 52434.6422578864,352 3.5 90 ZG104+871.285 </v>
      </c>
      <c r="BF644" t="str">
        <f t="shared" si="404"/>
        <v>-text 52434.6422578864,280 3.5 90 高坡隧出 </v>
      </c>
      <c r="BG644" t="str">
        <f t="shared" si="405"/>
        <v/>
      </c>
      <c r="BH644" t="str">
        <f t="shared" si="406"/>
        <v> </v>
      </c>
      <c r="BI644" t="str">
        <f t="shared" si="407"/>
        <v> </v>
      </c>
      <c r="BJ644" t="str">
        <f t="shared" si="408"/>
        <v> </v>
      </c>
    </row>
    <row r="645" spans="1:62">
      <c r="A645">
        <v>1</v>
      </c>
      <c r="B645">
        <v>644</v>
      </c>
      <c r="C645" s="42" t="str">
        <f>Sheet1!C593</f>
        <v>谢家坝暗渠进</v>
      </c>
      <c r="D645" s="43">
        <v>504885.8419</v>
      </c>
      <c r="E645" s="43">
        <v>3341528.3616</v>
      </c>
      <c r="G645">
        <f t="shared" si="424"/>
        <v>0</v>
      </c>
      <c r="H645">
        <f t="shared" si="418"/>
        <v>0</v>
      </c>
      <c r="I645">
        <f t="shared" si="419"/>
        <v>0</v>
      </c>
      <c r="J645">
        <f t="shared" si="420"/>
        <v>0</v>
      </c>
      <c r="K645" s="40">
        <f t="shared" si="430"/>
        <v>104871.284515773</v>
      </c>
      <c r="L645" s="40">
        <f t="shared" si="431"/>
        <v>104871.284515773</v>
      </c>
      <c r="M645" s="40">
        <f t="shared" si="432"/>
        <v>104871.284515773</v>
      </c>
      <c r="N645">
        <v>437.637</v>
      </c>
      <c r="O645">
        <v>434.953</v>
      </c>
      <c r="P645">
        <v>0</v>
      </c>
      <c r="Q645" s="39">
        <f t="shared" si="426"/>
        <v>504885.8419</v>
      </c>
      <c r="R645" s="39">
        <f t="shared" si="427"/>
        <v>3341528.3616</v>
      </c>
      <c r="S645" s="39" t="str">
        <f t="shared" si="428"/>
        <v> </v>
      </c>
      <c r="T645" s="39" t="str">
        <f t="shared" si="429"/>
        <v> </v>
      </c>
      <c r="U645" s="39" t="str">
        <f t="shared" si="415"/>
        <v> </v>
      </c>
      <c r="V645" s="39" t="str">
        <f t="shared" si="416"/>
        <v> </v>
      </c>
      <c r="AI645" t="str">
        <f t="array" ref="AI645">IFERROR(INDEX($L$2:$L$189,SMALL(IF(ISNUMBER(FIND($AH$2,$C$2:$C$189)),ROW($2:$189)-1,4^8),ROW(A644)))&amp;"","")</f>
        <v/>
      </c>
      <c r="AT645" t="str">
        <f t="shared" si="394"/>
        <v>504885.8419,3341528.3616</v>
      </c>
      <c r="AV645">
        <f t="shared" si="425"/>
        <v>438.453</v>
      </c>
      <c r="AX645" t="str">
        <f t="shared" si="396"/>
        <v>pl 52435.6422578864,279 52435.6422578864,400 </v>
      </c>
      <c r="AY645" t="str">
        <f t="shared" si="397"/>
        <v>52435.6422578864,434.953</v>
      </c>
      <c r="AZ645" t="str">
        <f t="shared" si="398"/>
        <v>52435.6422578864,437.637</v>
      </c>
      <c r="BA645" t="str">
        <f t="shared" si="399"/>
        <v>52435.6422578864,438.453</v>
      </c>
      <c r="BB645" t="str">
        <f t="shared" si="400"/>
        <v>-text 52434.6422578864,337 3.5 90 434.953 </v>
      </c>
      <c r="BC645" t="str">
        <f t="shared" si="401"/>
        <v>-text 52434.6422578864,320 3.5 90 438.453 </v>
      </c>
      <c r="BD645" t="str">
        <f t="shared" si="402"/>
        <v>-text 52434.6422578864,306 3.5 90 437.637 </v>
      </c>
      <c r="BE645" t="str">
        <f t="shared" si="403"/>
        <v>-text 52434.6422578864,352 3.5 90 ZG104+871.285 </v>
      </c>
      <c r="BF645" t="str">
        <f t="shared" si="404"/>
        <v>-text 52434.6422578864,280 3.5 90 谢家坝暗渠进 </v>
      </c>
      <c r="BG645" t="str">
        <f t="shared" si="405"/>
        <v/>
      </c>
      <c r="BH645" t="str">
        <f t="shared" si="406"/>
        <v> </v>
      </c>
      <c r="BI645" t="str">
        <f t="shared" si="407"/>
        <v> </v>
      </c>
      <c r="BJ645" t="str">
        <f t="shared" si="408"/>
        <v> </v>
      </c>
    </row>
    <row r="646" spans="1:62">
      <c r="A646">
        <v>1</v>
      </c>
      <c r="B646">
        <v>645</v>
      </c>
      <c r="C646" s="42" t="str">
        <f>Sheet1!C594</f>
        <v>谢家坝暗渠出</v>
      </c>
      <c r="D646" s="43">
        <v>504921.9866</v>
      </c>
      <c r="E646" s="43">
        <v>3341498.7897</v>
      </c>
      <c r="G646">
        <f t="shared" si="424"/>
        <v>0</v>
      </c>
      <c r="H646">
        <f t="shared" si="418"/>
        <v>0</v>
      </c>
      <c r="I646">
        <f t="shared" si="419"/>
        <v>0</v>
      </c>
      <c r="J646">
        <f t="shared" si="420"/>
        <v>46.7004990090288</v>
      </c>
      <c r="K646" s="40">
        <f t="shared" si="430"/>
        <v>104917.985014782</v>
      </c>
      <c r="L646" s="40">
        <f t="shared" si="431"/>
        <v>104917.985014782</v>
      </c>
      <c r="M646" s="40">
        <f t="shared" si="432"/>
        <v>104917.985014782</v>
      </c>
      <c r="N646">
        <v>437.62</v>
      </c>
      <c r="O646">
        <v>434.936</v>
      </c>
      <c r="P646">
        <v>0</v>
      </c>
      <c r="Q646" s="39">
        <f t="shared" si="426"/>
        <v>504921.9866</v>
      </c>
      <c r="R646" s="39">
        <f t="shared" si="427"/>
        <v>3341498.7897</v>
      </c>
      <c r="S646" s="39" t="str">
        <f t="shared" si="428"/>
        <v> </v>
      </c>
      <c r="T646" s="39" t="str">
        <f t="shared" si="429"/>
        <v> </v>
      </c>
      <c r="U646" s="39" t="str">
        <f t="shared" si="415"/>
        <v> </v>
      </c>
      <c r="V646" s="39" t="str">
        <f t="shared" si="416"/>
        <v> </v>
      </c>
      <c r="AI646" t="str">
        <f t="array" ref="AI646">IFERROR(INDEX($L$2:$L$189,SMALL(IF(ISNUMBER(FIND($AH$2,$C$2:$C$189)),ROW($2:$189)-1,4^8),ROW(A645)))&amp;"","")</f>
        <v/>
      </c>
      <c r="AT646" t="str">
        <f t="shared" si="394"/>
        <v>504921.9866,3341498.7897</v>
      </c>
      <c r="AV646">
        <f t="shared" si="425"/>
        <v>438.436</v>
      </c>
      <c r="AX646" t="str">
        <f t="shared" si="396"/>
        <v>pl 52458.9925073909,279 52458.9925073909,400 </v>
      </c>
      <c r="AY646" t="str">
        <f t="shared" si="397"/>
        <v>52458.9925073909,434.936</v>
      </c>
      <c r="AZ646" t="str">
        <f t="shared" si="398"/>
        <v>52458.9925073909,437.62</v>
      </c>
      <c r="BA646" t="str">
        <f t="shared" si="399"/>
        <v>52458.9925073909,438.436</v>
      </c>
      <c r="BB646" t="str">
        <f t="shared" si="400"/>
        <v>-text 52457.9925073909,337 3.5 90 434.936 </v>
      </c>
      <c r="BC646" t="str">
        <f t="shared" si="401"/>
        <v>-text 52457.9925073909,320 3.5 90 438.436 </v>
      </c>
      <c r="BD646" t="str">
        <f t="shared" si="402"/>
        <v>-text 52457.9925073909,306 3.5 90 437.620 </v>
      </c>
      <c r="BE646" t="str">
        <f t="shared" si="403"/>
        <v>-text 52457.9925073909,352 3.5 90 ZG104+917.985 </v>
      </c>
      <c r="BF646" t="str">
        <f t="shared" si="404"/>
        <v>-text 52457.9925073909,280 3.5 90 谢家坝暗渠出 </v>
      </c>
      <c r="BG646" t="str">
        <f t="shared" si="405"/>
        <v/>
      </c>
      <c r="BH646" t="str">
        <f t="shared" si="406"/>
        <v> </v>
      </c>
      <c r="BI646" t="str">
        <f t="shared" si="407"/>
        <v> </v>
      </c>
      <c r="BJ646" t="str">
        <f t="shared" si="408"/>
        <v> </v>
      </c>
    </row>
    <row r="647" spans="1:62">
      <c r="A647">
        <v>1</v>
      </c>
      <c r="B647">
        <v>646</v>
      </c>
      <c r="C647" s="42" t="str">
        <f>Sheet1!C595</f>
        <v>谢家坝隧进</v>
      </c>
      <c r="D647" s="43">
        <v>504921.9866</v>
      </c>
      <c r="E647" s="43">
        <v>3341498.7897</v>
      </c>
      <c r="G647">
        <f t="shared" ref="G647:G679" si="433">ROUND(IF((2*SQRT((D646-D647)^2+(E646-E647)^2)*SQRT((D648-D647)^2+(E648-E647)^2))=0,0,180-ACOS(((D646-D647)^2+(E646-E647)^2+(D648-D647)^2+(E648-E647)^2-(D648-D646)^2-(E648-E646)^2)/(2*SQRT((D646-D647)^2+(E646-E647)^2)*SQRT((D648-D647)^2+(E648-E647)^2)))/PI()*180),3)</f>
        <v>0</v>
      </c>
      <c r="H647">
        <f t="shared" si="418"/>
        <v>0</v>
      </c>
      <c r="I647">
        <f t="shared" si="419"/>
        <v>0</v>
      </c>
      <c r="J647">
        <f t="shared" si="420"/>
        <v>0</v>
      </c>
      <c r="K647" s="40">
        <f t="shared" si="430"/>
        <v>104917.985014782</v>
      </c>
      <c r="L647" s="40">
        <f t="shared" si="431"/>
        <v>104917.985014782</v>
      </c>
      <c r="M647" s="40">
        <f t="shared" si="432"/>
        <v>104917.985014782</v>
      </c>
      <c r="N647">
        <v>437.62</v>
      </c>
      <c r="O647">
        <v>434.936</v>
      </c>
      <c r="P647">
        <v>0</v>
      </c>
      <c r="Q647" s="39">
        <f t="shared" si="426"/>
        <v>504921.9866</v>
      </c>
      <c r="R647" s="39">
        <f t="shared" si="427"/>
        <v>3341498.7897</v>
      </c>
      <c r="S647" s="39" t="str">
        <f t="shared" si="428"/>
        <v> </v>
      </c>
      <c r="T647" s="39" t="str">
        <f t="shared" si="429"/>
        <v> </v>
      </c>
      <c r="U647" s="39" t="str">
        <f t="shared" si="415"/>
        <v> </v>
      </c>
      <c r="V647" s="39" t="str">
        <f t="shared" si="416"/>
        <v> </v>
      </c>
      <c r="AI647" t="str">
        <f t="array" ref="AI647">IFERROR(INDEX($L$2:$L$189,SMALL(IF(ISNUMBER(FIND($AH$2,$C$2:$C$189)),ROW($2:$189)-1,4^8),ROW(A646)))&amp;"","")</f>
        <v/>
      </c>
      <c r="AT647" t="str">
        <f t="shared" si="394"/>
        <v>504921.9866,3341498.7897</v>
      </c>
      <c r="AV647">
        <f t="shared" si="425"/>
        <v>438.436</v>
      </c>
      <c r="AX647" t="str">
        <f t="shared" si="396"/>
        <v>pl 52458.9925073909,279 52458.9925073909,400 </v>
      </c>
      <c r="AY647" t="str">
        <f t="shared" si="397"/>
        <v>52458.9925073909,434.936</v>
      </c>
      <c r="AZ647" t="str">
        <f t="shared" si="398"/>
        <v>52458.9925073909,437.62</v>
      </c>
      <c r="BA647" t="str">
        <f t="shared" si="399"/>
        <v>52458.9925073909,438.436</v>
      </c>
      <c r="BB647" t="str">
        <f t="shared" si="400"/>
        <v>-text 52457.9925073909,337 3.5 90 434.936 </v>
      </c>
      <c r="BC647" t="str">
        <f t="shared" si="401"/>
        <v>-text 52457.9925073909,320 3.5 90 438.436 </v>
      </c>
      <c r="BD647" t="str">
        <f t="shared" si="402"/>
        <v>-text 52457.9925073909,306 3.5 90 437.620 </v>
      </c>
      <c r="BE647" t="str">
        <f t="shared" si="403"/>
        <v>-text 52457.9925073909,352 3.5 90 ZG104+917.985 </v>
      </c>
      <c r="BF647" t="str">
        <f t="shared" si="404"/>
        <v>-text 52457.9925073909,280 3.5 90 谢家坝隧进 </v>
      </c>
      <c r="BG647" t="str">
        <f t="shared" si="405"/>
        <v/>
      </c>
      <c r="BH647" t="str">
        <f t="shared" si="406"/>
        <v> </v>
      </c>
      <c r="BI647" t="str">
        <f t="shared" si="407"/>
        <v> </v>
      </c>
      <c r="BJ647" t="str">
        <f t="shared" si="408"/>
        <v> </v>
      </c>
    </row>
    <row r="648" spans="1:62">
      <c r="A648">
        <v>1</v>
      </c>
      <c r="B648">
        <v>647</v>
      </c>
      <c r="C648" t="s">
        <v>609</v>
      </c>
      <c r="D648" s="39">
        <v>505003.63</v>
      </c>
      <c r="E648" s="39">
        <v>3341431.9927</v>
      </c>
      <c r="F648">
        <v>60</v>
      </c>
      <c r="G648">
        <f t="shared" si="433"/>
        <v>43.208</v>
      </c>
      <c r="H648">
        <f t="shared" si="418"/>
        <v>23.7605260825259</v>
      </c>
      <c r="I648">
        <f t="shared" si="419"/>
        <v>45.2473117921026</v>
      </c>
      <c r="J648">
        <f t="shared" si="420"/>
        <v>105.486890050821</v>
      </c>
      <c r="K648" s="40">
        <f t="shared" si="430"/>
        <v>104999.71137875</v>
      </c>
      <c r="L648" s="40">
        <f t="shared" si="431"/>
        <v>105022.335034646</v>
      </c>
      <c r="M648" s="40">
        <f t="shared" si="432"/>
        <v>105044.958690542</v>
      </c>
      <c r="N648">
        <v>437.582</v>
      </c>
      <c r="O648">
        <v>434.898</v>
      </c>
      <c r="P648">
        <v>0.003</v>
      </c>
      <c r="Q648" s="39">
        <f t="shared" si="426"/>
        <v>504985.240130565</v>
      </c>
      <c r="R648" s="39">
        <f t="shared" si="427"/>
        <v>3341447.03847355</v>
      </c>
      <c r="S648" s="39">
        <f t="shared" si="428"/>
        <v>504999.669097809</v>
      </c>
      <c r="T648" s="39">
        <f t="shared" si="429"/>
        <v>3341429.78741657</v>
      </c>
      <c r="U648" s="39">
        <f t="shared" si="415"/>
        <v>505006.732761223</v>
      </c>
      <c r="V648" s="39">
        <f t="shared" si="416"/>
        <v>3341408.43563158</v>
      </c>
      <c r="AI648" t="str">
        <f t="array" ref="AI648">IFERROR(INDEX($L$2:$L$189,SMALL(IF(ISNUMBER(FIND($AH$2,$C$2:$C$189)),ROW($2:$189)-1,4^8),ROW(A647)))&amp;"","")</f>
        <v/>
      </c>
      <c r="AS648" t="str">
        <f>"-text"&amp;" "&amp;D648&amp;","&amp;E648&amp;" "&amp;"10"&amp;" "&amp;"0"&amp;" "&amp;C648</f>
        <v>-text 505003.63,3341431.9927 10 0 IP353</v>
      </c>
      <c r="AT648" t="str">
        <f t="shared" si="394"/>
        <v>505003.63,3341431.9927</v>
      </c>
      <c r="AV648">
        <f t="shared" si="425"/>
        <v>438.398</v>
      </c>
      <c r="AX648" t="str">
        <f t="shared" si="396"/>
        <v>pl 52511.1675173231,279 52511.1675173231,400 </v>
      </c>
      <c r="AY648" t="str">
        <f t="shared" si="397"/>
        <v>52511.1675173231,434.898</v>
      </c>
      <c r="AZ648" t="str">
        <f t="shared" si="398"/>
        <v>52511.1675173231,437.582</v>
      </c>
      <c r="BA648" t="str">
        <f t="shared" si="399"/>
        <v>52511.1675173231,438.398</v>
      </c>
      <c r="BB648" t="str">
        <f t="shared" si="400"/>
        <v>-text 52510.1675173231,337 3.5 90 434.898 </v>
      </c>
      <c r="BC648" t="str">
        <f t="shared" si="401"/>
        <v>-text 52510.1675173231,320 3.5 90 438.398 </v>
      </c>
      <c r="BD648" t="str">
        <f t="shared" si="402"/>
        <v>-text 52510.1675173231,306 3.5 90 437.582 </v>
      </c>
      <c r="BE648" t="str">
        <f t="shared" si="403"/>
        <v>-text 52510.1675173231,352 3.5 90 ZG105+022.335 </v>
      </c>
      <c r="BF648" t="str">
        <f t="shared" si="404"/>
        <v>-text 52510.1675173231,280 3.5 90 IP353 </v>
      </c>
      <c r="BG648" t="str">
        <f t="shared" si="405"/>
        <v>-TEXT 52512.1675173231,300 3.5 0 R=60</v>
      </c>
      <c r="BH648" t="str">
        <f t="shared" si="406"/>
        <v>-TEXT 52512.1675173231,295 3.5 0 α=43.21° </v>
      </c>
      <c r="BI648" t="str">
        <f t="shared" si="407"/>
        <v>-TEXT 52512.1675173231,290 3.5 0 T=23.76 </v>
      </c>
      <c r="BJ648" t="str">
        <f t="shared" si="408"/>
        <v>-TEXT 52512.1675173231,285 3.5 0 S=45.25 </v>
      </c>
    </row>
    <row r="649" spans="1:62">
      <c r="A649">
        <v>1</v>
      </c>
      <c r="B649">
        <v>648</v>
      </c>
      <c r="C649" t="s">
        <v>610</v>
      </c>
      <c r="D649" s="39">
        <v>505044.9208</v>
      </c>
      <c r="E649" s="39">
        <v>3341118.5009</v>
      </c>
      <c r="F649">
        <v>60</v>
      </c>
      <c r="G649">
        <f t="shared" si="433"/>
        <v>46.556</v>
      </c>
      <c r="H649">
        <f t="shared" si="418"/>
        <v>25.812775509893</v>
      </c>
      <c r="I649">
        <f t="shared" si="419"/>
        <v>48.7533291935088</v>
      </c>
      <c r="J649">
        <f t="shared" si="420"/>
        <v>316.199365641135</v>
      </c>
      <c r="K649" s="40">
        <f t="shared" si="430"/>
        <v>105311.584754591</v>
      </c>
      <c r="L649" s="40">
        <f t="shared" si="431"/>
        <v>105335.961419188</v>
      </c>
      <c r="M649" s="40">
        <f t="shared" si="432"/>
        <v>105360.338083785</v>
      </c>
      <c r="N649">
        <v>437.467</v>
      </c>
      <c r="O649">
        <v>434.783</v>
      </c>
      <c r="P649">
        <v>0.003</v>
      </c>
      <c r="Q649" s="39">
        <f t="shared" si="426"/>
        <v>505041.550046397</v>
      </c>
      <c r="R649" s="39">
        <f t="shared" si="427"/>
        <v>3341144.09264476</v>
      </c>
      <c r="S649" s="39">
        <f t="shared" si="428"/>
        <v>505049.488667135</v>
      </c>
      <c r="T649" s="39">
        <f t="shared" si="429"/>
        <v>3341121.22185718</v>
      </c>
      <c r="U649" s="39">
        <f t="shared" si="415"/>
        <v>505065.819356858</v>
      </c>
      <c r="V649" s="39">
        <f t="shared" si="416"/>
        <v>3341103.35000231</v>
      </c>
      <c r="AI649" t="str">
        <f t="array" ref="AI649">IFERROR(INDEX($L$2:$L$189,SMALL(IF(ISNUMBER(FIND($AH$2,$C$2:$C$189)),ROW($2:$189)-1,4^8),ROW(A648)))&amp;"","")</f>
        <v/>
      </c>
      <c r="AS649" t="str">
        <f>"-text"&amp;" "&amp;D649&amp;","&amp;E649&amp;" "&amp;"10"&amp;" "&amp;"0"&amp;" "&amp;C649</f>
        <v>-text 505044.9208,3341118.5009 10 0 IP354</v>
      </c>
      <c r="AT649" t="str">
        <f t="shared" si="394"/>
        <v>505044.9208,3341118.5009</v>
      </c>
      <c r="AV649">
        <f t="shared" si="425"/>
        <v>438.283</v>
      </c>
      <c r="AX649" t="str">
        <f t="shared" si="396"/>
        <v>pl 52667.9807095939,279 52667.9807095939,400 </v>
      </c>
      <c r="AY649" t="str">
        <f t="shared" si="397"/>
        <v>52667.9807095939,434.783</v>
      </c>
      <c r="AZ649" t="str">
        <f t="shared" si="398"/>
        <v>52667.9807095939,437.467</v>
      </c>
      <c r="BA649" t="str">
        <f t="shared" si="399"/>
        <v>52667.9807095939,438.283</v>
      </c>
      <c r="BB649" t="str">
        <f t="shared" si="400"/>
        <v>-text 52666.9807095939,337 3.5 90 434.783 </v>
      </c>
      <c r="BC649" t="str">
        <f t="shared" si="401"/>
        <v>-text 52666.9807095939,320 3.5 90 438.283 </v>
      </c>
      <c r="BD649" t="str">
        <f t="shared" si="402"/>
        <v>-text 52666.9807095939,306 3.5 90 437.467 </v>
      </c>
      <c r="BE649" t="str">
        <f t="shared" si="403"/>
        <v>-text 52666.9807095939,352 3.5 90 ZG105+335.961 </v>
      </c>
      <c r="BF649" t="str">
        <f t="shared" si="404"/>
        <v>-text 52666.9807095939,280 3.5 90 IP354 </v>
      </c>
      <c r="BG649" t="str">
        <f t="shared" si="405"/>
        <v>-TEXT 52668.9807095939,300 3.5 0 R=60</v>
      </c>
      <c r="BH649" t="str">
        <f t="shared" si="406"/>
        <v>-TEXT 52668.9807095939,295 3.5 0 α=46.56° </v>
      </c>
      <c r="BI649" t="str">
        <f t="shared" si="407"/>
        <v>-TEXT 52668.9807095939,290 3.5 0 T=25.81 </v>
      </c>
      <c r="BJ649" t="str">
        <f t="shared" si="408"/>
        <v>-TEXT 52668.9807095939,285 3.5 0 S=48.75 </v>
      </c>
    </row>
    <row r="650" spans="1:62">
      <c r="A650">
        <v>1</v>
      </c>
      <c r="B650">
        <v>649</v>
      </c>
      <c r="C650" t="str">
        <f>Sheet1!C598</f>
        <v>谢家坝隧出</v>
      </c>
      <c r="D650" s="39">
        <v>505226.1749</v>
      </c>
      <c r="E650" s="39">
        <v>3340987.0965</v>
      </c>
      <c r="G650">
        <f t="shared" si="433"/>
        <v>0</v>
      </c>
      <c r="H650">
        <f t="shared" si="418"/>
        <v>0</v>
      </c>
      <c r="I650">
        <f t="shared" si="419"/>
        <v>0</v>
      </c>
      <c r="J650">
        <f t="shared" si="420"/>
        <v>223.875333849277</v>
      </c>
      <c r="K650" s="40">
        <f t="shared" si="430"/>
        <v>105558.400642124</v>
      </c>
      <c r="L650" s="40">
        <f t="shared" si="431"/>
        <v>105558.400642124</v>
      </c>
      <c r="M650" s="40">
        <f t="shared" si="432"/>
        <v>105558.400642124</v>
      </c>
      <c r="N650">
        <v>437.386</v>
      </c>
      <c r="O650">
        <v>434.702</v>
      </c>
      <c r="P650">
        <v>0</v>
      </c>
      <c r="Q650" s="39">
        <f t="shared" si="426"/>
        <v>505226.1749</v>
      </c>
      <c r="R650" s="39">
        <f t="shared" si="427"/>
        <v>3340987.0965</v>
      </c>
      <c r="S650" s="39" t="str">
        <f t="shared" si="428"/>
        <v> </v>
      </c>
      <c r="T650" s="39" t="str">
        <f t="shared" si="429"/>
        <v> </v>
      </c>
      <c r="U650" s="39" t="str">
        <f t="shared" si="415"/>
        <v> </v>
      </c>
      <c r="V650" s="39" t="str">
        <f t="shared" si="416"/>
        <v> </v>
      </c>
      <c r="AI650" t="str">
        <f t="array" ref="AI650">IFERROR(INDEX($L$2:$L$189,SMALL(IF(ISNUMBER(FIND($AH$2,$C$2:$C$189)),ROW($2:$189)-1,4^8),ROW(A649)))&amp;"","")</f>
        <v/>
      </c>
      <c r="AT650" t="str">
        <f t="shared" si="394"/>
        <v>505226.1749,3340987.0965</v>
      </c>
      <c r="AV650">
        <f t="shared" si="425"/>
        <v>438.202</v>
      </c>
      <c r="AX650" t="str">
        <f t="shared" si="396"/>
        <v>pl 52779.200321062,279 52779.200321062,400 </v>
      </c>
      <c r="AY650" t="str">
        <f t="shared" si="397"/>
        <v>52779.200321062,434.702</v>
      </c>
      <c r="AZ650" t="str">
        <f t="shared" si="398"/>
        <v>52779.200321062,437.386</v>
      </c>
      <c r="BA650" t="str">
        <f t="shared" si="399"/>
        <v>52779.200321062,438.202</v>
      </c>
      <c r="BB650" t="str">
        <f t="shared" si="400"/>
        <v>-text 52778.200321062,337 3.5 90 434.702 </v>
      </c>
      <c r="BC650" t="str">
        <f t="shared" si="401"/>
        <v>-text 52778.200321062,320 3.5 90 438.202 </v>
      </c>
      <c r="BD650" t="str">
        <f t="shared" si="402"/>
        <v>-text 52778.200321062,306 3.5 90 437.386 </v>
      </c>
      <c r="BE650" t="str">
        <f t="shared" si="403"/>
        <v>-text 52778.200321062,352 3.5 90 ZG105+558.401 </v>
      </c>
      <c r="BF650" t="str">
        <f t="shared" si="404"/>
        <v>-text 52778.200321062,280 3.5 90 谢家坝隧出 </v>
      </c>
      <c r="BG650" t="str">
        <f t="shared" si="405"/>
        <v/>
      </c>
      <c r="BH650" t="str">
        <f t="shared" si="406"/>
        <v> </v>
      </c>
      <c r="BI650" t="str">
        <f t="shared" si="407"/>
        <v> </v>
      </c>
      <c r="BJ650" t="str">
        <f t="shared" si="408"/>
        <v> </v>
      </c>
    </row>
    <row r="651" spans="1:62">
      <c r="A651">
        <v>2</v>
      </c>
      <c r="B651">
        <v>650</v>
      </c>
      <c r="C651" t="str">
        <f>Sheet1!C599</f>
        <v>罗家沟渡槽进</v>
      </c>
      <c r="D651" s="39">
        <v>505241.4655</v>
      </c>
      <c r="E651" s="39">
        <v>3340976.0112</v>
      </c>
      <c r="G651">
        <f t="shared" si="433"/>
        <v>0</v>
      </c>
      <c r="H651">
        <f t="shared" si="418"/>
        <v>0</v>
      </c>
      <c r="I651">
        <f t="shared" si="419"/>
        <v>0</v>
      </c>
      <c r="J651">
        <f t="shared" si="420"/>
        <v>18.8861410682127</v>
      </c>
      <c r="K651" s="40">
        <f t="shared" si="430"/>
        <v>105577.286783192</v>
      </c>
      <c r="L651" s="40">
        <f t="shared" si="431"/>
        <v>105577.286783192</v>
      </c>
      <c r="M651" s="40">
        <f t="shared" si="432"/>
        <v>105577.286783192</v>
      </c>
      <c r="N651">
        <v>437.323</v>
      </c>
      <c r="O651">
        <v>434.629</v>
      </c>
      <c r="P651">
        <v>0</v>
      </c>
      <c r="Q651" s="39">
        <f t="shared" si="426"/>
        <v>505241.4655</v>
      </c>
      <c r="R651" s="39">
        <f t="shared" si="427"/>
        <v>3340976.0112</v>
      </c>
      <c r="S651" s="39" t="str">
        <f t="shared" si="428"/>
        <v> </v>
      </c>
      <c r="T651" s="39" t="str">
        <f t="shared" si="429"/>
        <v> </v>
      </c>
      <c r="U651" s="39" t="str">
        <f t="shared" si="415"/>
        <v> </v>
      </c>
      <c r="V651" s="39" t="str">
        <f t="shared" si="416"/>
        <v> </v>
      </c>
      <c r="AI651" t="str">
        <f t="array" ref="AI651">IFERROR(INDEX($L$2:$L$189,SMALL(IF(ISNUMBER(FIND($AH$2,$C$2:$C$189)),ROW($2:$189)-1,4^8),ROW(A650)))&amp;"","")</f>
        <v/>
      </c>
      <c r="AT651" t="str">
        <f t="shared" si="394"/>
        <v>505241.4655,3340976.0112</v>
      </c>
      <c r="AV651">
        <f t="shared" si="425"/>
        <v>437.879</v>
      </c>
      <c r="AX651" t="str">
        <f t="shared" si="396"/>
        <v>pl 52788.6433915961,279 52788.6433915961,400 </v>
      </c>
      <c r="AY651" t="str">
        <f t="shared" si="397"/>
        <v>52788.6433915961,434.629</v>
      </c>
      <c r="AZ651" t="str">
        <f t="shared" si="398"/>
        <v>52788.6433915961,437.323</v>
      </c>
      <c r="BA651" t="str">
        <f t="shared" si="399"/>
        <v>52788.6433915961,437.879</v>
      </c>
      <c r="BB651" t="str">
        <f t="shared" si="400"/>
        <v>-text 52787.6433915961,337 3.5 90 434.629 </v>
      </c>
      <c r="BC651" t="str">
        <f t="shared" si="401"/>
        <v>-text 52787.6433915961,320 3.5 90 437.879 </v>
      </c>
      <c r="BD651" t="str">
        <f t="shared" si="402"/>
        <v>-text 52787.6433915961,306 3.5 90 437.323 </v>
      </c>
      <c r="BE651" t="str">
        <f t="shared" si="403"/>
        <v>-text 52787.6433915961,352 3.5 90 ZG105+577.287 </v>
      </c>
      <c r="BF651" t="str">
        <f t="shared" si="404"/>
        <v>-text 52787.6433915961,280 3.5 90 罗家沟渡槽进 </v>
      </c>
      <c r="BG651" t="str">
        <f t="shared" si="405"/>
        <v/>
      </c>
      <c r="BH651" t="str">
        <f t="shared" si="406"/>
        <v> </v>
      </c>
      <c r="BI651" t="str">
        <f t="shared" si="407"/>
        <v> </v>
      </c>
      <c r="BJ651" t="str">
        <f t="shared" si="408"/>
        <v> </v>
      </c>
    </row>
    <row r="652" spans="1:62">
      <c r="A652">
        <v>2</v>
      </c>
      <c r="B652">
        <v>651</v>
      </c>
      <c r="C652" t="str">
        <f>Sheet1!C600</f>
        <v>罗家沟渡槽出</v>
      </c>
      <c r="D652" s="39">
        <v>505320.1338</v>
      </c>
      <c r="E652" s="39">
        <v>3340918.9788</v>
      </c>
      <c r="G652">
        <f t="shared" si="433"/>
        <v>0</v>
      </c>
      <c r="H652">
        <f t="shared" si="418"/>
        <v>0</v>
      </c>
      <c r="I652">
        <f t="shared" si="419"/>
        <v>0</v>
      </c>
      <c r="J652">
        <f t="shared" si="420"/>
        <v>97.1668465817569</v>
      </c>
      <c r="K652" s="40">
        <f t="shared" si="430"/>
        <v>105674.453629774</v>
      </c>
      <c r="L652" s="40">
        <f t="shared" si="431"/>
        <v>105674.453629774</v>
      </c>
      <c r="M652" s="40">
        <f t="shared" si="432"/>
        <v>105674.453629774</v>
      </c>
      <c r="N652">
        <v>437.279</v>
      </c>
      <c r="O652">
        <v>434.585</v>
      </c>
      <c r="P652">
        <v>0</v>
      </c>
      <c r="Q652" s="39">
        <f t="shared" si="426"/>
        <v>505320.1338</v>
      </c>
      <c r="R652" s="39">
        <f t="shared" si="427"/>
        <v>3340918.9788</v>
      </c>
      <c r="S652" s="39" t="str">
        <f t="shared" si="428"/>
        <v> </v>
      </c>
      <c r="T652" s="39" t="str">
        <f t="shared" si="429"/>
        <v> </v>
      </c>
      <c r="U652" s="39" t="str">
        <f t="shared" si="415"/>
        <v> </v>
      </c>
      <c r="V652" s="39" t="str">
        <f t="shared" si="416"/>
        <v> </v>
      </c>
      <c r="AI652" t="str">
        <f t="array" ref="AI652">IFERROR(INDEX($L$2:$L$189,SMALL(IF(ISNUMBER(FIND($AH$2,$C$2:$C$189)),ROW($2:$189)-1,4^8),ROW(A651)))&amp;"","")</f>
        <v/>
      </c>
      <c r="AT652" t="str">
        <f t="shared" si="394"/>
        <v>505320.1338,3340918.9788</v>
      </c>
      <c r="AV652">
        <f t="shared" si="425"/>
        <v>437.835</v>
      </c>
      <c r="AX652" t="str">
        <f t="shared" si="396"/>
        <v>pl 52837.2268148869,279 52837.2268148869,400 </v>
      </c>
      <c r="AY652" t="str">
        <f t="shared" si="397"/>
        <v>52837.2268148869,434.585</v>
      </c>
      <c r="AZ652" t="str">
        <f t="shared" si="398"/>
        <v>52837.2268148869,437.279</v>
      </c>
      <c r="BA652" t="str">
        <f t="shared" si="399"/>
        <v>52837.2268148869,437.835</v>
      </c>
      <c r="BB652" t="str">
        <f t="shared" si="400"/>
        <v>-text 52836.2268148869,337 3.5 90 434.585 </v>
      </c>
      <c r="BC652" t="str">
        <f t="shared" si="401"/>
        <v>-text 52836.2268148869,320 3.5 90 437.835 </v>
      </c>
      <c r="BD652" t="str">
        <f t="shared" si="402"/>
        <v>-text 52836.2268148869,306 3.5 90 437.279 </v>
      </c>
      <c r="BE652" t="str">
        <f t="shared" si="403"/>
        <v>-text 52836.2268148869,352 3.5 90 ZG105+674.454 </v>
      </c>
      <c r="BF652" t="str">
        <f t="shared" si="404"/>
        <v>-text 52836.2268148869,280 3.5 90 罗家沟渡槽出 </v>
      </c>
      <c r="BG652" t="str">
        <f t="shared" si="405"/>
        <v/>
      </c>
      <c r="BH652" t="str">
        <f t="shared" si="406"/>
        <v> </v>
      </c>
      <c r="BI652" t="str">
        <f t="shared" si="407"/>
        <v> </v>
      </c>
      <c r="BJ652" t="str">
        <f t="shared" si="408"/>
        <v> </v>
      </c>
    </row>
    <row r="653" spans="1:62">
      <c r="A653">
        <v>1</v>
      </c>
      <c r="B653">
        <v>652</v>
      </c>
      <c r="C653" t="str">
        <f>Sheet1!C601</f>
        <v>古镜寺隧进</v>
      </c>
      <c r="D653" s="39">
        <v>505329.6606</v>
      </c>
      <c r="E653" s="39">
        <v>3340912.0722</v>
      </c>
      <c r="G653">
        <f t="shared" si="433"/>
        <v>0</v>
      </c>
      <c r="H653">
        <f t="shared" si="418"/>
        <v>0</v>
      </c>
      <c r="I653">
        <f t="shared" si="419"/>
        <v>0</v>
      </c>
      <c r="J653">
        <f t="shared" si="420"/>
        <v>11.7669470044063</v>
      </c>
      <c r="K653" s="40">
        <f t="shared" si="430"/>
        <v>105686.220576778</v>
      </c>
      <c r="L653" s="40">
        <f t="shared" si="431"/>
        <v>105686.220576778</v>
      </c>
      <c r="M653" s="40">
        <f t="shared" si="432"/>
        <v>105686.220576778</v>
      </c>
      <c r="N653">
        <v>437.277</v>
      </c>
      <c r="O653">
        <v>434.593</v>
      </c>
      <c r="P653">
        <v>0</v>
      </c>
      <c r="Q653" s="39">
        <f t="shared" si="426"/>
        <v>505329.6606</v>
      </c>
      <c r="R653" s="39">
        <f t="shared" si="427"/>
        <v>3340912.0722</v>
      </c>
      <c r="S653" s="39" t="str">
        <f t="shared" si="428"/>
        <v> </v>
      </c>
      <c r="T653" s="39" t="str">
        <f t="shared" si="429"/>
        <v> </v>
      </c>
      <c r="U653" s="39" t="str">
        <f t="shared" si="415"/>
        <v> </v>
      </c>
      <c r="V653" s="39" t="str">
        <f t="shared" si="416"/>
        <v> </v>
      </c>
      <c r="AI653" t="str">
        <f t="array" ref="AI653">IFERROR(INDEX($L$2:$L$189,SMALL(IF(ISNUMBER(FIND($AH$2,$C$2:$C$189)),ROW($2:$189)-1,4^8),ROW(A652)))&amp;"","")</f>
        <v/>
      </c>
      <c r="AT653" t="str">
        <f t="shared" si="394"/>
        <v>505329.6606,3340912.0722</v>
      </c>
      <c r="AV653">
        <f t="shared" si="425"/>
        <v>438.093</v>
      </c>
      <c r="AX653" t="str">
        <f t="shared" si="396"/>
        <v>pl 52843.1102883891,279 52843.1102883891,400 </v>
      </c>
      <c r="AY653" t="str">
        <f t="shared" si="397"/>
        <v>52843.1102883891,434.593</v>
      </c>
      <c r="AZ653" t="str">
        <f t="shared" si="398"/>
        <v>52843.1102883891,437.277</v>
      </c>
      <c r="BA653" t="str">
        <f t="shared" si="399"/>
        <v>52843.1102883891,438.093</v>
      </c>
      <c r="BB653" t="str">
        <f t="shared" si="400"/>
        <v>-text 52842.1102883891,337 3.5 90 434.593 </v>
      </c>
      <c r="BC653" t="str">
        <f t="shared" si="401"/>
        <v>-text 52842.1102883891,320 3.5 90 438.093 </v>
      </c>
      <c r="BD653" t="str">
        <f t="shared" si="402"/>
        <v>-text 52842.1102883891,306 3.5 90 437.277 </v>
      </c>
      <c r="BE653" t="str">
        <f t="shared" si="403"/>
        <v>-text 52842.1102883891,352 3.5 90 ZG105+686.221 </v>
      </c>
      <c r="BF653" t="str">
        <f t="shared" si="404"/>
        <v>-text 52842.1102883891,280 3.5 90 古镜寺隧进 </v>
      </c>
      <c r="BG653" t="str">
        <f t="shared" si="405"/>
        <v/>
      </c>
      <c r="BH653" t="str">
        <f t="shared" si="406"/>
        <v> </v>
      </c>
      <c r="BI653" t="str">
        <f t="shared" si="407"/>
        <v> </v>
      </c>
      <c r="BJ653" t="str">
        <f t="shared" si="408"/>
        <v> </v>
      </c>
    </row>
    <row r="654" spans="1:62">
      <c r="A654">
        <v>1</v>
      </c>
      <c r="B654">
        <v>653</v>
      </c>
      <c r="C654" t="s">
        <v>611</v>
      </c>
      <c r="D654" s="39">
        <v>505414.3092</v>
      </c>
      <c r="E654" s="39">
        <v>3340850.7042</v>
      </c>
      <c r="F654">
        <v>60</v>
      </c>
      <c r="G654">
        <f t="shared" si="433"/>
        <v>8.557</v>
      </c>
      <c r="H654">
        <f t="shared" si="418"/>
        <v>4.48878126317993</v>
      </c>
      <c r="I654">
        <f t="shared" si="419"/>
        <v>8.96086944558929</v>
      </c>
      <c r="J654">
        <f t="shared" si="420"/>
        <v>104.553416519672</v>
      </c>
      <c r="K654" s="40">
        <f t="shared" si="430"/>
        <v>105786.285212035</v>
      </c>
      <c r="L654" s="40">
        <f t="shared" si="431"/>
        <v>105790.765646758</v>
      </c>
      <c r="M654" s="40">
        <f t="shared" si="432"/>
        <v>105795.24608148</v>
      </c>
      <c r="N654">
        <v>437.24</v>
      </c>
      <c r="O654">
        <v>434.556</v>
      </c>
      <c r="P654">
        <v>0.001</v>
      </c>
      <c r="Q654" s="39">
        <f t="shared" si="426"/>
        <v>505410.674990212</v>
      </c>
      <c r="R654" s="39">
        <f t="shared" si="427"/>
        <v>3340853.33890614</v>
      </c>
      <c r="S654" s="39">
        <f t="shared" si="428"/>
        <v>505414.397213271</v>
      </c>
      <c r="T654" s="39">
        <f t="shared" si="429"/>
        <v>3340850.8469131</v>
      </c>
      <c r="U654" s="39">
        <f t="shared" si="415"/>
        <v>505418.29497232</v>
      </c>
      <c r="V654" s="39">
        <f t="shared" si="416"/>
        <v>3340848.63955082</v>
      </c>
      <c r="AI654" t="str">
        <f t="array" ref="AI654">IFERROR(INDEX($L$2:$L$189,SMALL(IF(ISNUMBER(FIND($AH$2,$C$2:$C$189)),ROW($2:$189)-1,4^8),ROW(A653)))&amp;"","")</f>
        <v/>
      </c>
      <c r="AS654" t="str">
        <f>"-text"&amp;" "&amp;D654&amp;","&amp;E654&amp;" "&amp;"10"&amp;" "&amp;"0"&amp;" "&amp;C654</f>
        <v>-text 505414.3092,3340850.7042 10 0 IP355</v>
      </c>
      <c r="AT654" t="str">
        <f t="shared" si="394"/>
        <v>505414.3092,3340850.7042</v>
      </c>
      <c r="AV654">
        <f t="shared" si="425"/>
        <v>438.056</v>
      </c>
      <c r="AX654" t="str">
        <f t="shared" si="396"/>
        <v>pl 52895.3828233788,279 52895.3828233788,400 </v>
      </c>
      <c r="AY654" t="str">
        <f t="shared" si="397"/>
        <v>52895.3828233788,434.556</v>
      </c>
      <c r="AZ654" t="str">
        <f t="shared" si="398"/>
        <v>52895.3828233788,437.24</v>
      </c>
      <c r="BA654" t="str">
        <f t="shared" si="399"/>
        <v>52895.3828233788,438.056</v>
      </c>
      <c r="BB654" t="str">
        <f t="shared" si="400"/>
        <v>-text 52894.3828233788,337 3.5 90 434.556 </v>
      </c>
      <c r="BC654" t="str">
        <f t="shared" si="401"/>
        <v>-text 52894.3828233788,320 3.5 90 438.056 </v>
      </c>
      <c r="BD654" t="str">
        <f t="shared" si="402"/>
        <v>-text 52894.3828233788,306 3.5 90 437.240 </v>
      </c>
      <c r="BE654" t="str">
        <f t="shared" si="403"/>
        <v>-text 52894.3828233788,352 3.5 90 ZG105+790.766 </v>
      </c>
      <c r="BF654" t="str">
        <f t="shared" si="404"/>
        <v>-text 52894.3828233788,280 3.5 90 IP355 </v>
      </c>
      <c r="BG654" t="str">
        <f t="shared" si="405"/>
        <v>-TEXT 52896.3828233788,300 3.5 0 R=60</v>
      </c>
      <c r="BH654" t="str">
        <f t="shared" si="406"/>
        <v>-TEXT 52896.3828233788,295 3.5 0 α=8.56° </v>
      </c>
      <c r="BI654" t="str">
        <f t="shared" si="407"/>
        <v>-TEXT 52896.3828233788,290 3.5 0 T=4.49 </v>
      </c>
      <c r="BJ654" t="str">
        <f t="shared" si="408"/>
        <v>-TEXT 52896.3828233788,285 3.5 0 S=8.96 </v>
      </c>
    </row>
    <row r="655" spans="1:62">
      <c r="A655">
        <v>1</v>
      </c>
      <c r="B655">
        <v>654</v>
      </c>
      <c r="C655" t="str">
        <f>Sheet1!C603</f>
        <v>古镜寺隧出</v>
      </c>
      <c r="D655" s="39">
        <v>505516.4542</v>
      </c>
      <c r="E655" s="39">
        <v>3340797.7926</v>
      </c>
      <c r="G655">
        <f t="shared" si="433"/>
        <v>0</v>
      </c>
      <c r="H655">
        <f t="shared" si="418"/>
        <v>0</v>
      </c>
      <c r="I655">
        <f t="shared" si="419"/>
        <v>0</v>
      </c>
      <c r="J655">
        <f t="shared" si="420"/>
        <v>115.035813725882</v>
      </c>
      <c r="K655" s="40">
        <f t="shared" si="430"/>
        <v>105905.793113943</v>
      </c>
      <c r="L655" s="40">
        <f t="shared" si="431"/>
        <v>105905.793113943</v>
      </c>
      <c r="M655" s="40">
        <f t="shared" si="432"/>
        <v>105905.793113943</v>
      </c>
      <c r="N655">
        <v>437.198</v>
      </c>
      <c r="O655">
        <v>434.514</v>
      </c>
      <c r="P655">
        <v>0</v>
      </c>
      <c r="Q655" s="39">
        <f t="shared" si="426"/>
        <v>505516.4542</v>
      </c>
      <c r="R655" s="39">
        <f t="shared" si="427"/>
        <v>3340797.7926</v>
      </c>
      <c r="S655" s="39" t="str">
        <f t="shared" si="428"/>
        <v> </v>
      </c>
      <c r="T655" s="39" t="str">
        <f t="shared" si="429"/>
        <v> </v>
      </c>
      <c r="U655" s="39" t="str">
        <f t="shared" si="415"/>
        <v> </v>
      </c>
      <c r="V655" s="39" t="str">
        <f t="shared" si="416"/>
        <v> </v>
      </c>
      <c r="AI655" t="str">
        <f t="array" ref="AI655">IFERROR(INDEX($L$2:$L$189,SMALL(IF(ISNUMBER(FIND($AH$2,$C$2:$C$189)),ROW($2:$189)-1,4^8),ROW(A654)))&amp;"","")</f>
        <v/>
      </c>
      <c r="AT655" t="str">
        <f t="shared" si="394"/>
        <v>505516.4542,3340797.7926</v>
      </c>
      <c r="AV655">
        <f t="shared" si="425"/>
        <v>438.014</v>
      </c>
      <c r="AX655" t="str">
        <f t="shared" si="396"/>
        <v>pl 52952.8965569715,279 52952.8965569715,400 </v>
      </c>
      <c r="AY655" t="str">
        <f t="shared" si="397"/>
        <v>52952.8965569715,434.514</v>
      </c>
      <c r="AZ655" t="str">
        <f t="shared" si="398"/>
        <v>52952.8965569715,437.198</v>
      </c>
      <c r="BA655" t="str">
        <f t="shared" si="399"/>
        <v>52952.8965569715,438.014</v>
      </c>
      <c r="BB655" t="str">
        <f t="shared" si="400"/>
        <v>-text 52951.8965569715,337 3.5 90 434.514 </v>
      </c>
      <c r="BC655" t="str">
        <f t="shared" si="401"/>
        <v>-text 52951.8965569715,320 3.5 90 438.014 </v>
      </c>
      <c r="BD655" t="str">
        <f t="shared" si="402"/>
        <v>-text 52951.8965569715,306 3.5 90 437.198 </v>
      </c>
      <c r="BE655" t="str">
        <f t="shared" si="403"/>
        <v>-text 52951.8965569715,352 3.5 90 ZG105+905.793 </v>
      </c>
      <c r="BF655" t="str">
        <f t="shared" si="404"/>
        <v>-text 52951.8965569715,280 3.5 90 古镜寺隧出 </v>
      </c>
      <c r="BG655" t="str">
        <f t="shared" si="405"/>
        <v/>
      </c>
      <c r="BH655" t="str">
        <f t="shared" si="406"/>
        <v> </v>
      </c>
      <c r="BI655" t="str">
        <f t="shared" si="407"/>
        <v> </v>
      </c>
      <c r="BJ655" t="str">
        <f t="shared" si="408"/>
        <v> </v>
      </c>
    </row>
    <row r="656" spans="1:62">
      <c r="A656">
        <v>2</v>
      </c>
      <c r="B656">
        <v>655</v>
      </c>
      <c r="C656" t="str">
        <f>Sheet1!C604</f>
        <v>朝阳观渡槽进</v>
      </c>
      <c r="D656" s="39">
        <v>505530.7352</v>
      </c>
      <c r="E656" s="39">
        <v>3340790.395</v>
      </c>
      <c r="G656">
        <f t="shared" si="433"/>
        <v>0</v>
      </c>
      <c r="H656">
        <f t="shared" si="418"/>
        <v>0</v>
      </c>
      <c r="I656">
        <f t="shared" si="419"/>
        <v>0</v>
      </c>
      <c r="J656">
        <f t="shared" si="420"/>
        <v>16.0832660475858</v>
      </c>
      <c r="K656" s="40">
        <f t="shared" si="430"/>
        <v>105921.876379991</v>
      </c>
      <c r="L656" s="40">
        <f t="shared" si="431"/>
        <v>105921.876379991</v>
      </c>
      <c r="M656" s="40">
        <f t="shared" si="432"/>
        <v>105921.876379991</v>
      </c>
      <c r="N656">
        <v>437.135</v>
      </c>
      <c r="O656">
        <v>434.441</v>
      </c>
      <c r="P656">
        <v>0</v>
      </c>
      <c r="Q656" s="39">
        <f t="shared" si="426"/>
        <v>505530.7352</v>
      </c>
      <c r="R656" s="39">
        <f t="shared" si="427"/>
        <v>3340790.395</v>
      </c>
      <c r="S656" s="39" t="str">
        <f t="shared" si="428"/>
        <v> </v>
      </c>
      <c r="T656" s="39" t="str">
        <f t="shared" si="429"/>
        <v> </v>
      </c>
      <c r="U656" s="39" t="str">
        <f t="shared" si="415"/>
        <v> </v>
      </c>
      <c r="V656" s="39" t="str">
        <f t="shared" si="416"/>
        <v> </v>
      </c>
      <c r="AI656" t="str">
        <f t="array" ref="AI656">IFERROR(INDEX($L$2:$L$189,SMALL(IF(ISNUMBER(FIND($AH$2,$C$2:$C$189)),ROW($2:$189)-1,4^8),ROW(A655)))&amp;"","")</f>
        <v/>
      </c>
      <c r="AT656" t="str">
        <f t="shared" si="394"/>
        <v>505530.7352,3340790.395</v>
      </c>
      <c r="AV656">
        <f t="shared" si="425"/>
        <v>437.691</v>
      </c>
      <c r="AX656" t="str">
        <f t="shared" si="396"/>
        <v>pl 52960.9381899953,279 52960.9381899953,400 </v>
      </c>
      <c r="AY656" t="str">
        <f t="shared" si="397"/>
        <v>52960.9381899953,434.441</v>
      </c>
      <c r="AZ656" t="str">
        <f t="shared" si="398"/>
        <v>52960.9381899953,437.135</v>
      </c>
      <c r="BA656" t="str">
        <f t="shared" si="399"/>
        <v>52960.9381899953,437.691</v>
      </c>
      <c r="BB656" t="str">
        <f t="shared" si="400"/>
        <v>-text 52959.9381899953,337 3.5 90 434.441 </v>
      </c>
      <c r="BC656" t="str">
        <f t="shared" si="401"/>
        <v>-text 52959.9381899953,320 3.5 90 437.691 </v>
      </c>
      <c r="BD656" t="str">
        <f t="shared" si="402"/>
        <v>-text 52959.9381899953,306 3.5 90 437.135 </v>
      </c>
      <c r="BE656" t="str">
        <f t="shared" si="403"/>
        <v>-text 52959.9381899953,352 3.5 90 ZG105+921.876 </v>
      </c>
      <c r="BF656" t="str">
        <f t="shared" si="404"/>
        <v>-text 52959.9381899953,280 3.5 90 朝阳观渡槽进 </v>
      </c>
      <c r="BG656" t="str">
        <f t="shared" si="405"/>
        <v/>
      </c>
      <c r="BH656" t="str">
        <f t="shared" si="406"/>
        <v> </v>
      </c>
      <c r="BI656" t="str">
        <f t="shared" si="407"/>
        <v> </v>
      </c>
      <c r="BJ656" t="str">
        <f t="shared" si="408"/>
        <v> </v>
      </c>
    </row>
    <row r="657" spans="1:62">
      <c r="A657">
        <v>2</v>
      </c>
      <c r="B657">
        <v>656</v>
      </c>
      <c r="C657" t="str">
        <f>Sheet1!C605</f>
        <v>朝阳观渡槽出</v>
      </c>
      <c r="D657" s="39">
        <v>505674.1936</v>
      </c>
      <c r="E657" s="39">
        <v>3340716.0829</v>
      </c>
      <c r="G657">
        <f t="shared" si="433"/>
        <v>0</v>
      </c>
      <c r="H657">
        <f t="shared" si="418"/>
        <v>0</v>
      </c>
      <c r="I657">
        <f t="shared" si="419"/>
        <v>0</v>
      </c>
      <c r="J657">
        <f t="shared" si="420"/>
        <v>161.562993092486</v>
      </c>
      <c r="K657" s="40">
        <f t="shared" si="430"/>
        <v>106083.439373083</v>
      </c>
      <c r="L657" s="40">
        <f t="shared" si="431"/>
        <v>106083.439373083</v>
      </c>
      <c r="M657" s="40">
        <f t="shared" si="432"/>
        <v>106083.439373083</v>
      </c>
      <c r="N657">
        <v>437.062</v>
      </c>
      <c r="O657">
        <v>434.368</v>
      </c>
      <c r="P657">
        <v>0</v>
      </c>
      <c r="Q657" s="39">
        <f t="shared" si="426"/>
        <v>505674.1936</v>
      </c>
      <c r="R657" s="39">
        <f t="shared" si="427"/>
        <v>3340716.0829</v>
      </c>
      <c r="S657" s="39" t="str">
        <f t="shared" si="428"/>
        <v> </v>
      </c>
      <c r="T657" s="39" t="str">
        <f t="shared" si="429"/>
        <v> </v>
      </c>
      <c r="U657" s="39" t="str">
        <f t="shared" si="415"/>
        <v> </v>
      </c>
      <c r="V657" s="39" t="str">
        <f t="shared" si="416"/>
        <v> </v>
      </c>
      <c r="AI657" t="str">
        <f t="array" ref="AI657">IFERROR(INDEX($L$2:$L$189,SMALL(IF(ISNUMBER(FIND($AH$2,$C$2:$C$189)),ROW($2:$189)-1,4^8),ROW(A656)))&amp;"","")</f>
        <v/>
      </c>
      <c r="AT657" t="str">
        <f t="shared" si="394"/>
        <v>505674.1936,3340716.0829</v>
      </c>
      <c r="AV657">
        <f t="shared" si="425"/>
        <v>437.618</v>
      </c>
      <c r="AX657" t="str">
        <f t="shared" si="396"/>
        <v>pl 53041.7196865416,279 53041.7196865416,400 </v>
      </c>
      <c r="AY657" t="str">
        <f t="shared" si="397"/>
        <v>53041.7196865416,434.368</v>
      </c>
      <c r="AZ657" t="str">
        <f t="shared" si="398"/>
        <v>53041.7196865416,437.062</v>
      </c>
      <c r="BA657" t="str">
        <f t="shared" si="399"/>
        <v>53041.7196865416,437.618</v>
      </c>
      <c r="BB657" t="str">
        <f t="shared" si="400"/>
        <v>-text 53040.7196865416,337 3.5 90 434.368 </v>
      </c>
      <c r="BC657" t="str">
        <f t="shared" si="401"/>
        <v>-text 53040.7196865416,320 3.5 90 437.618 </v>
      </c>
      <c r="BD657" t="str">
        <f t="shared" si="402"/>
        <v>-text 53040.7196865416,306 3.5 90 437.062 </v>
      </c>
      <c r="BE657" t="str">
        <f t="shared" si="403"/>
        <v>-text 53040.7196865416,352 3.5 90 ZG106+083.439 </v>
      </c>
      <c r="BF657" t="str">
        <f t="shared" si="404"/>
        <v>-text 53040.7196865416,280 3.5 90 朝阳观渡槽出 </v>
      </c>
      <c r="BG657" t="str">
        <f t="shared" si="405"/>
        <v/>
      </c>
      <c r="BH657" t="str">
        <f t="shared" si="406"/>
        <v> </v>
      </c>
      <c r="BI657" t="str">
        <f t="shared" si="407"/>
        <v> </v>
      </c>
      <c r="BJ657" t="str">
        <f t="shared" si="408"/>
        <v> </v>
      </c>
    </row>
    <row r="658" spans="1:62">
      <c r="A658">
        <v>0</v>
      </c>
      <c r="B658">
        <v>657</v>
      </c>
      <c r="C658" t="s">
        <v>616</v>
      </c>
      <c r="D658" s="39">
        <v>505703.8415</v>
      </c>
      <c r="E658" s="39">
        <v>3340700.7251</v>
      </c>
      <c r="F658">
        <v>60</v>
      </c>
      <c r="G658">
        <f t="shared" si="433"/>
        <v>7.798</v>
      </c>
      <c r="H658">
        <f t="shared" si="418"/>
        <v>4.08933757854524</v>
      </c>
      <c r="I658">
        <f t="shared" si="419"/>
        <v>8.16604650423107</v>
      </c>
      <c r="J658">
        <f t="shared" si="420"/>
        <v>33.3895192425</v>
      </c>
      <c r="K658" s="40">
        <f t="shared" si="430"/>
        <v>106112.739554747</v>
      </c>
      <c r="L658" s="40">
        <f t="shared" si="431"/>
        <v>106116.822577999</v>
      </c>
      <c r="M658" s="40">
        <f t="shared" si="432"/>
        <v>106120.905601251</v>
      </c>
      <c r="N658">
        <v>437.101</v>
      </c>
      <c r="O658">
        <v>434.424</v>
      </c>
      <c r="P658">
        <v>0</v>
      </c>
      <c r="Q658" s="39">
        <f t="shared" si="426"/>
        <v>505700.210412331</v>
      </c>
      <c r="R658" s="39">
        <f t="shared" si="427"/>
        <v>3340702.60602641</v>
      </c>
      <c r="S658" s="39">
        <f t="shared" si="428"/>
        <v>505703.896971161</v>
      </c>
      <c r="T658" s="39">
        <f t="shared" si="429"/>
        <v>3340700.85276364</v>
      </c>
      <c r="U658" s="39">
        <f t="shared" si="415"/>
        <v>505707.694215533</v>
      </c>
      <c r="V658" s="39">
        <f t="shared" si="416"/>
        <v>3340699.35423719</v>
      </c>
      <c r="AI658" t="str">
        <f t="array" ref="AI658">IFERROR(INDEX($L$2:$L$189,SMALL(IF(ISNUMBER(FIND($AH$2,$C$2:$C$189)),ROW($2:$189)-1,4^8),ROW(A657)))&amp;"","")</f>
        <v/>
      </c>
      <c r="AS658" t="str">
        <f>"-text"&amp;" "&amp;D658&amp;","&amp;E658&amp;" "&amp;"10"&amp;" "&amp;"0"&amp;" "&amp;C658</f>
        <v>-text 505703.8415,3340700.7251 10 0 IP356</v>
      </c>
      <c r="AT658" t="str">
        <f t="shared" si="394"/>
        <v>505703.8415,3340700.7251</v>
      </c>
      <c r="AV658">
        <f t="shared" si="425"/>
        <v>438.274</v>
      </c>
      <c r="AX658" t="str">
        <f t="shared" si="396"/>
        <v>pl 53058.4112889996,279 53058.4112889996,400 </v>
      </c>
      <c r="AY658" t="str">
        <f t="shared" si="397"/>
        <v>53058.4112889996,434.424</v>
      </c>
      <c r="AZ658" t="str">
        <f t="shared" si="398"/>
        <v>53058.4112889996,437.101</v>
      </c>
      <c r="BA658" t="str">
        <f t="shared" si="399"/>
        <v>53058.4112889996,438.274</v>
      </c>
      <c r="BB658" t="str">
        <f t="shared" si="400"/>
        <v>-text 53057.4112889996,337 3.5 90 434.424 </v>
      </c>
      <c r="BC658" t="str">
        <f t="shared" si="401"/>
        <v>-text 53057.4112889996,320 3.5 90 438.274 </v>
      </c>
      <c r="BD658" t="str">
        <f t="shared" si="402"/>
        <v>-text 53057.4112889996,306 3.5 90 437.101 </v>
      </c>
      <c r="BE658" t="str">
        <f t="shared" si="403"/>
        <v>-text 53057.4112889996,352 3.5 90 ZG106+116.823 </v>
      </c>
      <c r="BF658" t="str">
        <f t="shared" si="404"/>
        <v>-text 53057.4112889996,280 3.5 90 IP356 </v>
      </c>
      <c r="BG658" t="str">
        <f t="shared" si="405"/>
        <v>-TEXT 53059.4112889996,300 3.5 0 R=60</v>
      </c>
      <c r="BH658" t="str">
        <f t="shared" si="406"/>
        <v>-TEXT 53059.4112889996,295 3.5 0 α=7.80° </v>
      </c>
      <c r="BI658" t="str">
        <f t="shared" si="407"/>
        <v>-TEXT 53059.4112889996,290 3.5 0 T=4.09 </v>
      </c>
      <c r="BJ658" t="str">
        <f t="shared" si="408"/>
        <v>-TEXT 53059.4112889996,285 3.5 0 S=8.17 </v>
      </c>
    </row>
    <row r="659" spans="1:62">
      <c r="A659">
        <v>0</v>
      </c>
      <c r="B659">
        <v>658</v>
      </c>
      <c r="C659" t="s">
        <v>617</v>
      </c>
      <c r="D659" s="39">
        <v>505773.4022</v>
      </c>
      <c r="E659" s="39">
        <v>3340675.9742</v>
      </c>
      <c r="F659">
        <v>40</v>
      </c>
      <c r="G659">
        <f t="shared" si="433"/>
        <v>69.816</v>
      </c>
      <c r="H659">
        <f t="shared" si="418"/>
        <v>27.9126903862266</v>
      </c>
      <c r="I659">
        <f t="shared" si="419"/>
        <v>48.7407628228945</v>
      </c>
      <c r="J659">
        <f t="shared" si="420"/>
        <v>73.8329061821203</v>
      </c>
      <c r="K659" s="40">
        <f t="shared" si="430"/>
        <v>106162.736479469</v>
      </c>
      <c r="L659" s="40">
        <f t="shared" si="431"/>
        <v>106187.10686088</v>
      </c>
      <c r="M659" s="40">
        <f t="shared" si="432"/>
        <v>106211.477242292</v>
      </c>
      <c r="N659">
        <v>437.087</v>
      </c>
      <c r="O659">
        <v>434.41</v>
      </c>
      <c r="P659">
        <v>0.002</v>
      </c>
      <c r="Q659" s="39">
        <f t="shared" si="426"/>
        <v>505747.104626431</v>
      </c>
      <c r="R659" s="39">
        <f t="shared" si="427"/>
        <v>3340685.33133145</v>
      </c>
      <c r="S659" s="39">
        <f t="shared" si="428"/>
        <v>505766.257866038</v>
      </c>
      <c r="T659" s="39">
        <f t="shared" si="429"/>
        <v>3340670.87713779</v>
      </c>
      <c r="U659" s="39">
        <f t="shared" si="415"/>
        <v>505773.69336943</v>
      </c>
      <c r="V659" s="39">
        <f t="shared" si="416"/>
        <v>3340648.06302831</v>
      </c>
      <c r="AI659" t="str">
        <f t="array" ref="AI659">IFERROR(INDEX($L$2:$L$189,SMALL(IF(ISNUMBER(FIND($AH$2,$C$2:$C$189)),ROW($2:$189)-1,4^8),ROW(A658)))&amp;"","")</f>
        <v/>
      </c>
      <c r="AS659" t="str">
        <f>"-text"&amp;" "&amp;D659&amp;","&amp;E659&amp;" "&amp;"10"&amp;" "&amp;"0"&amp;" "&amp;C659</f>
        <v>-text 505773.4022,3340675.9742 10 0 IP357</v>
      </c>
      <c r="AT659" t="str">
        <f t="shared" si="394"/>
        <v>505773.4022,3340675.9742</v>
      </c>
      <c r="AV659">
        <f t="shared" si="425"/>
        <v>438.26</v>
      </c>
      <c r="AX659" t="str">
        <f t="shared" si="396"/>
        <v>pl 53093.5534304401,279 53093.5534304401,400 </v>
      </c>
      <c r="AY659" t="str">
        <f t="shared" si="397"/>
        <v>53093.5534304401,434.41</v>
      </c>
      <c r="AZ659" t="str">
        <f t="shared" si="398"/>
        <v>53093.5534304401,437.087</v>
      </c>
      <c r="BA659" t="str">
        <f t="shared" si="399"/>
        <v>53093.5534304401,438.26</v>
      </c>
      <c r="BB659" t="str">
        <f t="shared" si="400"/>
        <v>-text 53092.5534304401,337 3.5 90 434.410 </v>
      </c>
      <c r="BC659" t="str">
        <f t="shared" si="401"/>
        <v>-text 53092.5534304401,320 3.5 90 438.260 </v>
      </c>
      <c r="BD659" t="str">
        <f t="shared" si="402"/>
        <v>-text 53092.5534304401,306 3.5 90 437.087 </v>
      </c>
      <c r="BE659" t="str">
        <f t="shared" si="403"/>
        <v>-text 53092.5534304401,352 3.5 90 ZG106+187.107 </v>
      </c>
      <c r="BF659" t="str">
        <f t="shared" si="404"/>
        <v>-text 53092.5534304401,280 3.5 90 IP357 </v>
      </c>
      <c r="BG659" t="str">
        <f t="shared" si="405"/>
        <v>-TEXT 53094.5534304401,300 3.5 0 R=40</v>
      </c>
      <c r="BH659" t="str">
        <f t="shared" si="406"/>
        <v>-TEXT 53094.5534304401,295 3.5 0 α=69.82° </v>
      </c>
      <c r="BI659" t="str">
        <f t="shared" si="407"/>
        <v>-TEXT 53094.5534304401,290 3.5 0 T=27.91 </v>
      </c>
      <c r="BJ659" t="str">
        <f t="shared" si="408"/>
        <v>-TEXT 53094.5534304401,285 3.5 0 S=48.74 </v>
      </c>
    </row>
    <row r="660" spans="1:62">
      <c r="A660">
        <v>0</v>
      </c>
      <c r="B660">
        <v>659</v>
      </c>
      <c r="C660" t="s">
        <v>622</v>
      </c>
      <c r="D660" s="39">
        <v>505773.9159</v>
      </c>
      <c r="E660" s="39">
        <v>3340626.7315</v>
      </c>
      <c r="F660">
        <v>40</v>
      </c>
      <c r="G660">
        <f t="shared" si="433"/>
        <v>31.871</v>
      </c>
      <c r="H660">
        <f t="shared" si="418"/>
        <v>11.421099184304</v>
      </c>
      <c r="I660">
        <f t="shared" si="419"/>
        <v>22.2501554361245</v>
      </c>
      <c r="J660">
        <f t="shared" si="420"/>
        <v>49.245379386934</v>
      </c>
      <c r="K660" s="40">
        <f t="shared" si="430"/>
        <v>106221.388832108</v>
      </c>
      <c r="L660" s="40">
        <f t="shared" si="431"/>
        <v>106232.513909826</v>
      </c>
      <c r="M660" s="40">
        <f t="shared" si="432"/>
        <v>106243.638987544</v>
      </c>
      <c r="N660">
        <v>437.077</v>
      </c>
      <c r="O660">
        <v>434.4</v>
      </c>
      <c r="P660">
        <v>0.001</v>
      </c>
      <c r="Q660" s="39">
        <f t="shared" si="426"/>
        <v>505773.79676154</v>
      </c>
      <c r="R660" s="39">
        <f t="shared" si="427"/>
        <v>3340638.15197778</v>
      </c>
      <c r="S660" s="39">
        <f t="shared" si="428"/>
        <v>505775.448399898</v>
      </c>
      <c r="T660" s="39">
        <f t="shared" si="429"/>
        <v>3340627.18641871</v>
      </c>
      <c r="U660" s="39">
        <f t="shared" si="415"/>
        <v>505780.047254345</v>
      </c>
      <c r="V660" s="39">
        <f t="shared" si="416"/>
        <v>3340617.09573327</v>
      </c>
      <c r="AI660" t="str">
        <f t="array" ref="AI660">IFERROR(INDEX($L$2:$L$189,SMALL(IF(ISNUMBER(FIND($AH$2,$C$2:$C$189)),ROW($2:$189)-1,4^8),ROW(A659)))&amp;"","")</f>
        <v/>
      </c>
      <c r="AS660" t="str">
        <f>"-text"&amp;" "&amp;D660&amp;","&amp;E660&amp;" "&amp;"10"&amp;" "&amp;"0"&amp;" "&amp;C660</f>
        <v>-text 505773.9159,3340626.7315 10 0 IP358</v>
      </c>
      <c r="AT660" t="str">
        <f t="shared" si="394"/>
        <v>505773.9159,3340626.7315</v>
      </c>
      <c r="AV660">
        <f t="shared" si="425"/>
        <v>438.25</v>
      </c>
      <c r="AX660" t="str">
        <f t="shared" si="396"/>
        <v>pl 53116.256954913,279 53116.256954913,400 </v>
      </c>
      <c r="AY660" t="str">
        <f t="shared" si="397"/>
        <v>53116.256954913,434.4</v>
      </c>
      <c r="AZ660" t="str">
        <f t="shared" si="398"/>
        <v>53116.256954913,437.077</v>
      </c>
      <c r="BA660" t="str">
        <f t="shared" si="399"/>
        <v>53116.256954913,438.25</v>
      </c>
      <c r="BB660" t="str">
        <f t="shared" si="400"/>
        <v>-text 53115.256954913,337 3.5 90 434.400 </v>
      </c>
      <c r="BC660" t="str">
        <f t="shared" si="401"/>
        <v>-text 53115.256954913,320 3.5 90 438.250 </v>
      </c>
      <c r="BD660" t="str">
        <f t="shared" si="402"/>
        <v>-text 53115.256954913,306 3.5 90 437.077 </v>
      </c>
      <c r="BE660" t="str">
        <f t="shared" si="403"/>
        <v>-text 53115.256954913,352 3.5 90 ZG106+232.514 </v>
      </c>
      <c r="BF660" t="str">
        <f t="shared" si="404"/>
        <v>-text 53115.256954913,280 3.5 90 IP358 </v>
      </c>
      <c r="BG660" t="str">
        <f t="shared" si="405"/>
        <v>-TEXT 53117.256954913,300 3.5 0 R=40</v>
      </c>
      <c r="BH660" t="str">
        <f t="shared" si="406"/>
        <v>-TEXT 53117.256954913,295 3.5 0 α=31.87° </v>
      </c>
      <c r="BI660" t="str">
        <f t="shared" si="407"/>
        <v>-TEXT 53117.256954913,290 3.5 0 T=11.42 </v>
      </c>
      <c r="BJ660" t="str">
        <f t="shared" si="408"/>
        <v>-TEXT 53117.256954913,285 3.5 0 S=22.25 </v>
      </c>
    </row>
    <row r="661" spans="1:62">
      <c r="A661">
        <v>0</v>
      </c>
      <c r="B661">
        <v>660</v>
      </c>
      <c r="C661" t="s">
        <v>626</v>
      </c>
      <c r="D661" s="39">
        <v>505798.9152</v>
      </c>
      <c r="E661" s="39">
        <v>3340587.4437</v>
      </c>
      <c r="F661">
        <v>40</v>
      </c>
      <c r="G661">
        <f t="shared" si="433"/>
        <v>21.117</v>
      </c>
      <c r="H661">
        <f t="shared" si="418"/>
        <v>7.45581341303517</v>
      </c>
      <c r="I661">
        <f t="shared" si="419"/>
        <v>14.7424471257457</v>
      </c>
      <c r="J661">
        <f t="shared" si="420"/>
        <v>46.5671153211384</v>
      </c>
      <c r="K661" s="40">
        <f t="shared" si="430"/>
        <v>106271.329190268</v>
      </c>
      <c r="L661" s="40">
        <f t="shared" si="431"/>
        <v>106278.700413831</v>
      </c>
      <c r="M661" s="40">
        <f t="shared" si="432"/>
        <v>106286.071637394</v>
      </c>
      <c r="N661">
        <v>437.068</v>
      </c>
      <c r="O661">
        <v>434.391</v>
      </c>
      <c r="P661">
        <v>0.001</v>
      </c>
      <c r="Q661" s="39">
        <f t="shared" si="426"/>
        <v>505794.912587535</v>
      </c>
      <c r="R661" s="39">
        <f t="shared" si="427"/>
        <v>3340593.73402965</v>
      </c>
      <c r="S661" s="39">
        <f t="shared" si="428"/>
        <v>505799.418821696</v>
      </c>
      <c r="T661" s="39">
        <f t="shared" si="429"/>
        <v>3340587.91378642</v>
      </c>
      <c r="U661" s="39">
        <f t="shared" si="415"/>
        <v>505804.915244935</v>
      </c>
      <c r="V661" s="39">
        <f t="shared" si="416"/>
        <v>3340583.01779733</v>
      </c>
      <c r="AI661" t="str">
        <f t="array" ref="AI661">IFERROR(INDEX($L$2:$L$189,SMALL(IF(ISNUMBER(FIND($AH$2,$C$2:$C$189)),ROW($2:$189)-1,4^8),ROW(A660)))&amp;"","")</f>
        <v/>
      </c>
      <c r="AS661" t="str">
        <f>"-text"&amp;" "&amp;D661&amp;","&amp;E661&amp;" "&amp;"10"&amp;" "&amp;"0"&amp;" "&amp;C661</f>
        <v>-text 505798.9152,3340587.4437 10 0 IP359</v>
      </c>
      <c r="AT661" t="str">
        <f t="shared" si="394"/>
        <v>505798.9152,3340587.4437</v>
      </c>
      <c r="AV661">
        <f t="shared" si="425"/>
        <v>438.241</v>
      </c>
      <c r="AX661" t="str">
        <f t="shared" si="396"/>
        <v>pl 53139.3502069154,279 53139.3502069154,400 </v>
      </c>
      <c r="AY661" t="str">
        <f t="shared" si="397"/>
        <v>53139.3502069154,434.391</v>
      </c>
      <c r="AZ661" t="str">
        <f t="shared" si="398"/>
        <v>53139.3502069154,437.068</v>
      </c>
      <c r="BA661" t="str">
        <f t="shared" si="399"/>
        <v>53139.3502069154,438.241</v>
      </c>
      <c r="BB661" t="str">
        <f t="shared" si="400"/>
        <v>-text 53138.3502069154,337 3.5 90 434.391 </v>
      </c>
      <c r="BC661" t="str">
        <f t="shared" si="401"/>
        <v>-text 53138.3502069154,320 3.5 90 438.241 </v>
      </c>
      <c r="BD661" t="str">
        <f t="shared" si="402"/>
        <v>-text 53138.3502069154,306 3.5 90 437.068 </v>
      </c>
      <c r="BE661" t="str">
        <f t="shared" si="403"/>
        <v>-text 53138.3502069154,352 3.5 90 ZG106+278.700 </v>
      </c>
      <c r="BF661" t="str">
        <f t="shared" si="404"/>
        <v>-text 53138.3502069154,280 3.5 90 IP359 </v>
      </c>
      <c r="BG661" t="str">
        <f t="shared" si="405"/>
        <v>-TEXT 53140.3502069154,300 3.5 0 R=40</v>
      </c>
      <c r="BH661" t="str">
        <f t="shared" si="406"/>
        <v>-TEXT 53140.3502069154,295 3.5 0 α=21.12° </v>
      </c>
      <c r="BI661" t="str">
        <f t="shared" si="407"/>
        <v>-TEXT 53140.3502069154,290 3.5 0 T=7.46 </v>
      </c>
      <c r="BJ661" t="str">
        <f t="shared" si="408"/>
        <v>-TEXT 53140.3502069154,285 3.5 0 S=14.74 </v>
      </c>
    </row>
    <row r="662" spans="1:62">
      <c r="A662">
        <v>2</v>
      </c>
      <c r="B662">
        <v>661</v>
      </c>
      <c r="C662" t="str">
        <f>Sheet1!C610</f>
        <v>炭窑沟1#渡槽进</v>
      </c>
      <c r="D662" s="39">
        <v>505831.3209</v>
      </c>
      <c r="E662" s="39">
        <v>3340563.5398</v>
      </c>
      <c r="G662">
        <f t="shared" si="433"/>
        <v>0</v>
      </c>
      <c r="H662">
        <f t="shared" si="418"/>
        <v>0</v>
      </c>
      <c r="I662">
        <f t="shared" si="419"/>
        <v>0</v>
      </c>
      <c r="J662">
        <f t="shared" si="420"/>
        <v>40.268173881031</v>
      </c>
      <c r="K662" s="40">
        <f t="shared" si="430"/>
        <v>106318.883997862</v>
      </c>
      <c r="L662" s="40">
        <f t="shared" si="431"/>
        <v>106318.883997862</v>
      </c>
      <c r="M662" s="40">
        <f t="shared" si="432"/>
        <v>106318.883997862</v>
      </c>
      <c r="N662">
        <v>436.975</v>
      </c>
      <c r="O662">
        <v>434.281</v>
      </c>
      <c r="P662">
        <v>0</v>
      </c>
      <c r="Q662" s="39">
        <f t="shared" si="426"/>
        <v>505831.3209</v>
      </c>
      <c r="R662" s="39">
        <f t="shared" si="427"/>
        <v>3340563.5398</v>
      </c>
      <c r="S662" s="39" t="str">
        <f t="shared" si="428"/>
        <v> </v>
      </c>
      <c r="T662" s="39" t="str">
        <f t="shared" si="429"/>
        <v> </v>
      </c>
      <c r="U662" s="39" t="str">
        <f t="shared" si="415"/>
        <v> </v>
      </c>
      <c r="V662" s="39" t="str">
        <f t="shared" si="416"/>
        <v> </v>
      </c>
      <c r="AI662" t="str">
        <f t="array" ref="AI662">IFERROR(INDEX($L$2:$L$189,SMALL(IF(ISNUMBER(FIND($AH$2,$C$2:$C$189)),ROW($2:$189)-1,4^8),ROW(A661)))&amp;"","")</f>
        <v/>
      </c>
      <c r="AT662" t="str">
        <f t="shared" si="394"/>
        <v>505831.3209,3340563.5398</v>
      </c>
      <c r="AV662">
        <f t="shared" si="425"/>
        <v>437.531</v>
      </c>
      <c r="AX662" t="str">
        <f t="shared" si="396"/>
        <v>pl 53159.4419989308,279 53159.4419989308,400 </v>
      </c>
      <c r="AY662" t="str">
        <f t="shared" si="397"/>
        <v>53159.4419989308,434.281</v>
      </c>
      <c r="AZ662" t="str">
        <f t="shared" si="398"/>
        <v>53159.4419989308,436.975</v>
      </c>
      <c r="BA662" t="str">
        <f t="shared" si="399"/>
        <v>53159.4419989308,437.531</v>
      </c>
      <c r="BB662" t="str">
        <f t="shared" si="400"/>
        <v>-text 53158.4419989308,337 3.5 90 434.281 </v>
      </c>
      <c r="BC662" t="str">
        <f t="shared" si="401"/>
        <v>-text 53158.4419989308,320 3.5 90 437.531 </v>
      </c>
      <c r="BD662" t="str">
        <f t="shared" si="402"/>
        <v>-text 53158.4419989308,306 3.5 90 436.975 </v>
      </c>
      <c r="BE662" t="str">
        <f t="shared" si="403"/>
        <v>-text 53158.4419989308,352 3.5 90 ZG106+318.884 </v>
      </c>
      <c r="BF662" t="str">
        <f t="shared" si="404"/>
        <v>-text 53158.4419989308,280 3.5 90 炭窑沟1#渡槽进 </v>
      </c>
      <c r="BG662" t="str">
        <f t="shared" si="405"/>
        <v/>
      </c>
      <c r="BH662" t="str">
        <f t="shared" si="406"/>
        <v> </v>
      </c>
      <c r="BI662" t="str">
        <f t="shared" si="407"/>
        <v> </v>
      </c>
      <c r="BJ662" t="str">
        <f t="shared" si="408"/>
        <v> </v>
      </c>
    </row>
    <row r="663" spans="1:62">
      <c r="A663">
        <v>2</v>
      </c>
      <c r="B663">
        <v>662</v>
      </c>
      <c r="C663" t="s">
        <v>627</v>
      </c>
      <c r="D663" s="39">
        <v>505846.6178</v>
      </c>
      <c r="E663" s="39">
        <v>3340552.2562</v>
      </c>
      <c r="F663">
        <v>40</v>
      </c>
      <c r="G663">
        <f t="shared" si="433"/>
        <v>23.999</v>
      </c>
      <c r="H663">
        <f t="shared" si="418"/>
        <v>8.5018976307302</v>
      </c>
      <c r="I663">
        <f t="shared" si="419"/>
        <v>16.7544626874448</v>
      </c>
      <c r="J663">
        <f t="shared" si="420"/>
        <v>19.0082818414622</v>
      </c>
      <c r="K663" s="40">
        <f t="shared" si="430"/>
        <v>106329.390382072</v>
      </c>
      <c r="L663" s="40">
        <f t="shared" si="431"/>
        <v>106337.767613416</v>
      </c>
      <c r="M663" s="40">
        <f t="shared" si="432"/>
        <v>106346.14484476</v>
      </c>
      <c r="N663">
        <v>436.966</v>
      </c>
      <c r="O663">
        <v>434.272</v>
      </c>
      <c r="P663">
        <v>0.002</v>
      </c>
      <c r="Q663" s="39">
        <f t="shared" si="426"/>
        <v>505839.775904507</v>
      </c>
      <c r="R663" s="39">
        <f t="shared" si="427"/>
        <v>3340557.30305341</v>
      </c>
      <c r="S663" s="39">
        <f t="shared" si="428"/>
        <v>505845.949483124</v>
      </c>
      <c r="T663" s="39">
        <f t="shared" si="429"/>
        <v>3340551.66311607</v>
      </c>
      <c r="U663" s="39">
        <f t="shared" si="415"/>
        <v>505850.815634217</v>
      </c>
      <c r="V663" s="39">
        <f t="shared" si="416"/>
        <v>3340544.86292933</v>
      </c>
      <c r="AI663" t="str">
        <f t="array" ref="AI663">IFERROR(INDEX($L$2:$L$189,SMALL(IF(ISNUMBER(FIND($AH$2,$C$2:$C$189)),ROW($2:$189)-1,4^8),ROW(A662)))&amp;"","")</f>
        <v/>
      </c>
      <c r="AS663" t="str">
        <f>"-text"&amp;" "&amp;D663&amp;","&amp;E663&amp;" "&amp;"10"&amp;" "&amp;"0"&amp;" "&amp;C663</f>
        <v>-text 505846.6178,3340552.2562 10 0 IP360</v>
      </c>
      <c r="AT663" t="str">
        <f t="shared" si="394"/>
        <v>505846.6178,3340552.2562</v>
      </c>
      <c r="AV663">
        <f t="shared" si="425"/>
        <v>437.522</v>
      </c>
      <c r="AX663" t="str">
        <f t="shared" si="396"/>
        <v>pl 53168.8838067081,279 53168.8838067081,400 </v>
      </c>
      <c r="AY663" t="str">
        <f t="shared" si="397"/>
        <v>53168.8838067081,434.272</v>
      </c>
      <c r="AZ663" t="str">
        <f t="shared" si="398"/>
        <v>53168.8838067081,436.966</v>
      </c>
      <c r="BA663" t="str">
        <f t="shared" si="399"/>
        <v>53168.8838067081,437.522</v>
      </c>
      <c r="BB663" t="str">
        <f t="shared" si="400"/>
        <v>-text 53167.8838067081,337 3.5 90 434.272 </v>
      </c>
      <c r="BC663" t="str">
        <f t="shared" si="401"/>
        <v>-text 53167.8838067081,320 3.5 90 437.522 </v>
      </c>
      <c r="BD663" t="str">
        <f t="shared" si="402"/>
        <v>-text 53167.8838067081,306 3.5 90 436.966 </v>
      </c>
      <c r="BE663" t="str">
        <f t="shared" si="403"/>
        <v>-text 53167.8838067081,352 3.5 90 ZG106+337.768 </v>
      </c>
      <c r="BF663" t="str">
        <f t="shared" si="404"/>
        <v>-text 53167.8838067081,280 3.5 90 IP360 </v>
      </c>
      <c r="BG663" t="str">
        <f t="shared" si="405"/>
        <v>-TEXT 53169.8838067081,300 3.5 0 R=40</v>
      </c>
      <c r="BH663" t="str">
        <f t="shared" si="406"/>
        <v>-TEXT 53169.8838067081,295 3.5 0 α=24.00° </v>
      </c>
      <c r="BI663" t="str">
        <f t="shared" si="407"/>
        <v>-TEXT 53169.8838067081,290 3.5 0 T=8.50 </v>
      </c>
      <c r="BJ663" t="str">
        <f t="shared" si="408"/>
        <v>-TEXT 53169.8838067081,285 3.5 0 S=16.75 </v>
      </c>
    </row>
    <row r="664" spans="1:62">
      <c r="A664">
        <v>2</v>
      </c>
      <c r="B664">
        <v>663</v>
      </c>
      <c r="C664" t="str">
        <f>Sheet1!C612</f>
        <v>炭窑沟1#渡槽出</v>
      </c>
      <c r="D664" s="39">
        <v>505893.1781</v>
      </c>
      <c r="E664" s="39">
        <v>3340470.2537</v>
      </c>
      <c r="G664">
        <f t="shared" si="433"/>
        <v>0</v>
      </c>
      <c r="H664">
        <f t="shared" si="418"/>
        <v>0</v>
      </c>
      <c r="I664">
        <f t="shared" si="419"/>
        <v>0</v>
      </c>
      <c r="J664">
        <f t="shared" si="420"/>
        <v>94.2988416811591</v>
      </c>
      <c r="K664" s="40">
        <f t="shared" si="430"/>
        <v>106431.94178881</v>
      </c>
      <c r="L664" s="40">
        <f t="shared" si="431"/>
        <v>106431.94178881</v>
      </c>
      <c r="M664" s="40">
        <f t="shared" si="432"/>
        <v>106431.94178881</v>
      </c>
      <c r="N664">
        <v>436.922</v>
      </c>
      <c r="O664">
        <v>434.228</v>
      </c>
      <c r="P664">
        <v>0</v>
      </c>
      <c r="Q664" s="39">
        <f t="shared" si="426"/>
        <v>505893.1781</v>
      </c>
      <c r="R664" s="39">
        <f t="shared" si="427"/>
        <v>3340470.2537</v>
      </c>
      <c r="S664" s="39" t="str">
        <f t="shared" si="428"/>
        <v> </v>
      </c>
      <c r="T664" s="39" t="str">
        <f t="shared" si="429"/>
        <v> </v>
      </c>
      <c r="U664" s="39" t="str">
        <f t="shared" si="415"/>
        <v> </v>
      </c>
      <c r="V664" s="39" t="str">
        <f t="shared" si="416"/>
        <v> </v>
      </c>
      <c r="AI664" t="str">
        <f t="array" ref="AI664">IFERROR(INDEX($L$2:$L$189,SMALL(IF(ISNUMBER(FIND($AH$2,$C$2:$C$189)),ROW($2:$189)-1,4^8),ROW(A663)))&amp;"","")</f>
        <v/>
      </c>
      <c r="AT664" t="str">
        <f t="shared" ref="AT664:AT670" si="434">D664&amp;","&amp;E664</f>
        <v>505893.1781,3340470.2537</v>
      </c>
      <c r="AV664">
        <f t="shared" si="425"/>
        <v>437.478</v>
      </c>
      <c r="AX664" t="str">
        <f t="shared" ref="AX664:AX670" si="435">"pl "&amp;L664/2&amp;",279 "&amp;L664/2&amp;",400 "</f>
        <v>pl 53215.9708944051,279 53215.9708944051,400 </v>
      </c>
      <c r="AY664" t="str">
        <f t="shared" ref="AY664:AY670" si="436">L664/2&amp;","&amp;O664</f>
        <v>53215.9708944051,434.228</v>
      </c>
      <c r="AZ664" t="str">
        <f t="shared" ref="AZ664:AZ670" si="437">L664/2&amp;","&amp;N664</f>
        <v>53215.9708944051,436.922</v>
      </c>
      <c r="BA664" t="str">
        <f t="shared" ref="BA664:BA670" si="438">L664/2&amp;","&amp;AV664</f>
        <v>53215.9708944051,437.478</v>
      </c>
      <c r="BB664" t="str">
        <f t="shared" ref="BB664:BB670" si="439">"-text "&amp;L664/2-1&amp;",337 3.5 90 "&amp;FIXED(O664,3)&amp;" "</f>
        <v>-text 53214.9708944051,337 3.5 90 434.228 </v>
      </c>
      <c r="BC664" t="str">
        <f t="shared" ref="BC664:BC670" si="440">"-text "&amp;L664/2-1&amp;",320 3.5 90 "&amp;FIXED(AV664,3)&amp;" "</f>
        <v>-text 53214.9708944051,320 3.5 90 437.478 </v>
      </c>
      <c r="BD664" t="str">
        <f t="shared" ref="BD664:BD670" si="441">"-text "&amp;L664/2-1&amp;",306 3.5 90 "&amp;FIXED(N664,3)&amp;" "</f>
        <v>-text 53214.9708944051,306 3.5 90 436.922 </v>
      </c>
      <c r="BE664" t="str">
        <f t="shared" ref="BE664:BE670" si="442">"-text "&amp;L664/2-1&amp;",352 3.5 90 "&amp;"ZG"&amp;TEXT(L664,"0+000.000")&amp;" "</f>
        <v>-text 53214.9708944051,352 3.5 90 ZG106+431.942 </v>
      </c>
      <c r="BF664" t="str">
        <f t="shared" ref="BF664:BF670" si="443">"-text "&amp;L664/2-1&amp;",280 3.5 90 "&amp;C664&amp;" "</f>
        <v>-text 53214.9708944051,280 3.5 90 炭窑沟1#渡槽出 </v>
      </c>
      <c r="BG664" t="str">
        <f t="shared" ref="BG664:BG670" si="444">IF(G664&lt;0.01,"",("-TEXT "&amp;L664/2+1&amp;",300 3.5 0 "&amp;"R="&amp;FIXED(F664,0)))</f>
        <v/>
      </c>
      <c r="BH664" t="str">
        <f t="shared" ref="BH664:BH670" si="445">IF(G664&lt;0.01," ",("-TEXT "&amp;L664/2+1&amp;",295 3.5 0 "&amp;"α="&amp;FIXED(G664,2)&amp;"° "))</f>
        <v> </v>
      </c>
      <c r="BI664" t="str">
        <f t="shared" ref="BI664:BI670" si="446">IF(G664&lt;0.01," ",("-TEXT "&amp;L664/2+1&amp;",290 3.5 0 "&amp;"T="&amp;FIXED(H664,2)&amp;" "))</f>
        <v> </v>
      </c>
      <c r="BJ664" t="str">
        <f t="shared" ref="BJ664:BJ670" si="447">IF(G664&lt;0.01," ",("-TEXT "&amp;L664/2+1&amp;",285 3.5 0 "&amp;"S="&amp;FIXED(I664,2)&amp;" "))</f>
        <v> </v>
      </c>
    </row>
    <row r="665" spans="1:62">
      <c r="A665">
        <v>0</v>
      </c>
      <c r="B665">
        <v>664</v>
      </c>
      <c r="C665" t="s">
        <v>628</v>
      </c>
      <c r="D665" s="39">
        <v>505903.6658</v>
      </c>
      <c r="E665" s="39">
        <v>3340451.7827</v>
      </c>
      <c r="F665">
        <v>40</v>
      </c>
      <c r="G665" s="54">
        <f t="shared" si="433"/>
        <v>38.487</v>
      </c>
      <c r="H665" s="54">
        <f t="shared" si="418"/>
        <v>13.9635342838594</v>
      </c>
      <c r="I665" s="54">
        <f t="shared" si="419"/>
        <v>26.8689947686023</v>
      </c>
      <c r="J665" s="54">
        <f t="shared" si="420"/>
        <v>21.2407554547002</v>
      </c>
      <c r="K665" s="55">
        <f t="shared" si="430"/>
        <v>106439.219009981</v>
      </c>
      <c r="L665" s="55">
        <f t="shared" si="431"/>
        <v>106452.653507365</v>
      </c>
      <c r="M665" s="55">
        <f t="shared" si="432"/>
        <v>106466.08800475</v>
      </c>
      <c r="N665" s="54">
        <v>436.963</v>
      </c>
      <c r="O665" s="54">
        <v>434.286</v>
      </c>
      <c r="P665" s="54">
        <v>0.001</v>
      </c>
      <c r="Q665" s="39">
        <f t="shared" si="426"/>
        <v>505896.771254332</v>
      </c>
      <c r="R665" s="39">
        <f t="shared" si="427"/>
        <v>3340463.92541509</v>
      </c>
      <c r="S665" s="39">
        <f t="shared" si="428"/>
        <v>505905.224089978</v>
      </c>
      <c r="T665" s="39">
        <f t="shared" si="429"/>
        <v>3340453.56467363</v>
      </c>
      <c r="U665" s="39">
        <f t="shared" si="415"/>
        <v>505916.61937109</v>
      </c>
      <c r="V665" s="39">
        <f t="shared" si="416"/>
        <v>3340446.56874893</v>
      </c>
      <c r="AI665" t="str">
        <f t="array" ref="AI665">IFERROR(INDEX($L$2:$L$189,SMALL(IF(ISNUMBER(FIND($AH$2,$C$2:$C$189)),ROW($2:$189)-1,4^8),ROW(A664)))&amp;"","")</f>
        <v/>
      </c>
      <c r="AS665" t="str">
        <f>"-text"&amp;" "&amp;D665&amp;","&amp;E665&amp;" "&amp;"10"&amp;" "&amp;"0"&amp;" "&amp;C665</f>
        <v>-text 505903.6658,3340451.7827 10 0 IP361</v>
      </c>
      <c r="AT665" t="str">
        <f t="shared" si="434"/>
        <v>505903.6658,3340451.7827</v>
      </c>
      <c r="AV665">
        <f t="shared" si="425"/>
        <v>438.136</v>
      </c>
      <c r="AX665" t="str">
        <f t="shared" si="435"/>
        <v>pl 53226.3267536827,279 53226.3267536827,400 </v>
      </c>
      <c r="AY665" t="str">
        <f t="shared" si="436"/>
        <v>53226.3267536827,434.286</v>
      </c>
      <c r="AZ665" t="str">
        <f t="shared" si="437"/>
        <v>53226.3267536827,436.963</v>
      </c>
      <c r="BA665" t="str">
        <f t="shared" si="438"/>
        <v>53226.3267536827,438.136</v>
      </c>
      <c r="BB665" t="str">
        <f t="shared" si="439"/>
        <v>-text 53225.3267536827,337 3.5 90 434.286 </v>
      </c>
      <c r="BC665" t="str">
        <f t="shared" si="440"/>
        <v>-text 53225.3267536827,320 3.5 90 438.136 </v>
      </c>
      <c r="BD665" t="str">
        <f t="shared" si="441"/>
        <v>-text 53225.3267536827,306 3.5 90 436.963 </v>
      </c>
      <c r="BE665" t="str">
        <f t="shared" si="442"/>
        <v>-text 53225.3267536827,352 3.5 90 ZG106+452.654 </v>
      </c>
      <c r="BF665" t="str">
        <f t="shared" si="443"/>
        <v>-text 53225.3267536827,280 3.5 90 IP361 </v>
      </c>
      <c r="BG665" t="str">
        <f t="shared" si="444"/>
        <v>-TEXT 53227.3267536827,300 3.5 0 R=40</v>
      </c>
      <c r="BH665" t="str">
        <f t="shared" si="445"/>
        <v>-TEXT 53227.3267536827,295 3.5 0 α=38.49° </v>
      </c>
      <c r="BI665" t="str">
        <f t="shared" si="446"/>
        <v>-TEXT 53227.3267536827,290 3.5 0 T=13.96 </v>
      </c>
      <c r="BJ665" t="str">
        <f t="shared" si="447"/>
        <v>-TEXT 53227.3267536827,285 3.5 0 S=26.87 </v>
      </c>
    </row>
    <row r="666" spans="1:62">
      <c r="A666">
        <v>0</v>
      </c>
      <c r="B666">
        <v>665</v>
      </c>
      <c r="C666" t="s">
        <v>629</v>
      </c>
      <c r="D666" s="39">
        <v>505972.0051</v>
      </c>
      <c r="E666" s="39">
        <v>3340424.2754</v>
      </c>
      <c r="F666">
        <v>60</v>
      </c>
      <c r="G666" s="54">
        <f t="shared" si="433"/>
        <v>37.697</v>
      </c>
      <c r="H666" s="54">
        <f t="shared" si="418"/>
        <v>20.4823575457348</v>
      </c>
      <c r="I666" s="54">
        <f t="shared" si="419"/>
        <v>39.4762060874581</v>
      </c>
      <c r="J666" s="54">
        <f t="shared" si="420"/>
        <v>73.6675741270391</v>
      </c>
      <c r="K666" s="55">
        <f t="shared" si="430"/>
        <v>106505.309687047</v>
      </c>
      <c r="L666" s="55">
        <f t="shared" si="431"/>
        <v>106525.047790091</v>
      </c>
      <c r="M666" s="55">
        <f t="shared" si="432"/>
        <v>106544.785893135</v>
      </c>
      <c r="N666" s="54">
        <v>436.948</v>
      </c>
      <c r="O666" s="54">
        <v>434.271</v>
      </c>
      <c r="P666" s="54">
        <v>0.001</v>
      </c>
      <c r="Q666" s="39">
        <f t="shared" si="426"/>
        <v>505953.004203152</v>
      </c>
      <c r="R666" s="39">
        <f t="shared" si="427"/>
        <v>3340431.92346444</v>
      </c>
      <c r="S666" s="39">
        <f t="shared" si="428"/>
        <v>505969.784785658</v>
      </c>
      <c r="T666" s="39">
        <f t="shared" si="429"/>
        <v>3340421.7007808</v>
      </c>
      <c r="U666" s="39">
        <f t="shared" si="415"/>
        <v>505982.362863185</v>
      </c>
      <c r="V666" s="39">
        <f t="shared" si="416"/>
        <v>3340406.60498086</v>
      </c>
      <c r="AI666" t="str">
        <f t="array" ref="AI666">IFERROR(INDEX($L$2:$L$189,SMALL(IF(ISNUMBER(FIND($AH$2,$C$2:$C$189)),ROW($2:$189)-1,4^8),ROW(A665)))&amp;"","")</f>
        <v/>
      </c>
      <c r="AS666" t="str">
        <f>"-text"&amp;" "&amp;D666&amp;","&amp;E666&amp;" "&amp;"10"&amp;" "&amp;"0"&amp;" "&amp;C666</f>
        <v>-text 505972.0051,3340424.2754 10 0 IP362</v>
      </c>
      <c r="AT666" t="str">
        <f t="shared" si="434"/>
        <v>505972.0051,3340424.2754</v>
      </c>
      <c r="AV666">
        <f t="shared" si="425"/>
        <v>438.121</v>
      </c>
      <c r="AX666" t="str">
        <f t="shared" si="435"/>
        <v>pl 53262.5238950454,279 53262.5238950454,400 </v>
      </c>
      <c r="AY666" t="str">
        <f t="shared" si="436"/>
        <v>53262.5238950454,434.271</v>
      </c>
      <c r="AZ666" t="str">
        <f t="shared" si="437"/>
        <v>53262.5238950454,436.948</v>
      </c>
      <c r="BA666" t="str">
        <f t="shared" si="438"/>
        <v>53262.5238950454,438.121</v>
      </c>
      <c r="BB666" t="str">
        <f t="shared" si="439"/>
        <v>-text 53261.5238950454,337 3.5 90 434.271 </v>
      </c>
      <c r="BC666" t="str">
        <f t="shared" si="440"/>
        <v>-text 53261.5238950454,320 3.5 90 438.121 </v>
      </c>
      <c r="BD666" t="str">
        <f t="shared" si="441"/>
        <v>-text 53261.5238950454,306 3.5 90 436.948 </v>
      </c>
      <c r="BE666" t="str">
        <f t="shared" si="442"/>
        <v>-text 53261.5238950454,352 3.5 90 ZG106+525.048 </v>
      </c>
      <c r="BF666" t="str">
        <f t="shared" si="443"/>
        <v>-text 53261.5238950454,280 3.5 90 IP362 </v>
      </c>
      <c r="BG666" t="str">
        <f t="shared" si="444"/>
        <v>-TEXT 53263.5238950454,300 3.5 0 R=60</v>
      </c>
      <c r="BH666" t="str">
        <f t="shared" si="445"/>
        <v>-TEXT 53263.5238950454,295 3.5 0 α=37.70° </v>
      </c>
      <c r="BI666" t="str">
        <f t="shared" si="446"/>
        <v>-TEXT 53263.5238950454,290 3.5 0 T=20.48 </v>
      </c>
      <c r="BJ666" t="str">
        <f t="shared" si="447"/>
        <v>-TEXT 53263.5238950454,285 3.5 0 S=39.48 </v>
      </c>
    </row>
    <row r="667" spans="1:62">
      <c r="A667">
        <v>2</v>
      </c>
      <c r="B667">
        <v>666</v>
      </c>
      <c r="C667" t="str">
        <f>Sheet1!C615</f>
        <v>炭窑沟2#渡槽进</v>
      </c>
      <c r="D667" s="64">
        <v>505986.699</v>
      </c>
      <c r="E667" s="64">
        <v>3340399.2075</v>
      </c>
      <c r="F667" s="47"/>
      <c r="G667" s="54">
        <f t="shared" si="433"/>
        <v>0</v>
      </c>
      <c r="H667" s="54">
        <f t="shared" si="418"/>
        <v>0</v>
      </c>
      <c r="I667" s="54">
        <f t="shared" si="419"/>
        <v>0</v>
      </c>
      <c r="J667" s="54">
        <f t="shared" si="420"/>
        <v>29.0570182163863</v>
      </c>
      <c r="K667" s="55">
        <f t="shared" si="430"/>
        <v>106553.360553805</v>
      </c>
      <c r="L667" s="55">
        <f t="shared" si="431"/>
        <v>106553.360553805</v>
      </c>
      <c r="M667" s="55">
        <f t="shared" si="432"/>
        <v>106553.360553805</v>
      </c>
      <c r="N667" s="54">
        <v>436.858</v>
      </c>
      <c r="O667" s="54">
        <v>434.164</v>
      </c>
      <c r="P667" s="54">
        <v>0</v>
      </c>
      <c r="Q667" s="39">
        <f t="shared" si="426"/>
        <v>505986.699</v>
      </c>
      <c r="R667" s="39">
        <f t="shared" si="427"/>
        <v>3340399.2075</v>
      </c>
      <c r="S667" s="39" t="str">
        <f t="shared" si="428"/>
        <v> </v>
      </c>
      <c r="T667" s="39" t="str">
        <f t="shared" si="429"/>
        <v> </v>
      </c>
      <c r="U667" s="39" t="str">
        <f t="shared" si="415"/>
        <v> </v>
      </c>
      <c r="V667" s="39" t="str">
        <f t="shared" si="416"/>
        <v> </v>
      </c>
      <c r="AI667" t="str">
        <f t="array" ref="AI667">IFERROR(INDEX($L$2:$L$189,SMALL(IF(ISNUMBER(FIND($AH$2,$C$2:$C$189)),ROW($2:$189)-1,4^8),ROW(A666)))&amp;"","")</f>
        <v/>
      </c>
      <c r="AT667" t="str">
        <f t="shared" si="434"/>
        <v>505986.699,3340399.2075</v>
      </c>
      <c r="AV667">
        <f t="shared" si="425"/>
        <v>437.414</v>
      </c>
      <c r="AX667" t="str">
        <f t="shared" si="435"/>
        <v>pl 53276.6802769026,279 53276.6802769026,400 </v>
      </c>
      <c r="AY667" t="str">
        <f t="shared" si="436"/>
        <v>53276.6802769026,434.164</v>
      </c>
      <c r="AZ667" t="str">
        <f t="shared" si="437"/>
        <v>53276.6802769026,436.858</v>
      </c>
      <c r="BA667" t="str">
        <f t="shared" si="438"/>
        <v>53276.6802769026,437.414</v>
      </c>
      <c r="BB667" t="str">
        <f t="shared" si="439"/>
        <v>-text 53275.6802769026,337 3.5 90 434.164 </v>
      </c>
      <c r="BC667" t="str">
        <f t="shared" si="440"/>
        <v>-text 53275.6802769026,320 3.5 90 437.414 </v>
      </c>
      <c r="BD667" t="str">
        <f t="shared" si="441"/>
        <v>-text 53275.6802769026,306 3.5 90 436.858 </v>
      </c>
      <c r="BE667" t="str">
        <f t="shared" si="442"/>
        <v>-text 53275.6802769026,352 3.5 90 ZG106+553.361 </v>
      </c>
      <c r="BF667" t="str">
        <f t="shared" si="443"/>
        <v>-text 53275.6802769026,280 3.5 90 炭窑沟2#渡槽进 </v>
      </c>
      <c r="BG667" t="str">
        <f t="shared" si="444"/>
        <v/>
      </c>
      <c r="BH667" t="str">
        <f t="shared" si="445"/>
        <v> </v>
      </c>
      <c r="BI667" t="str">
        <f t="shared" si="446"/>
        <v> </v>
      </c>
      <c r="BJ667" t="str">
        <f t="shared" si="447"/>
        <v> </v>
      </c>
    </row>
    <row r="668" spans="1:62">
      <c r="A668">
        <v>2</v>
      </c>
      <c r="B668">
        <v>667</v>
      </c>
      <c r="C668" t="str">
        <f>Sheet1!C616</f>
        <v>炭窑沟2#渡槽出</v>
      </c>
      <c r="D668" s="64">
        <v>506017.5851</v>
      </c>
      <c r="E668" s="64">
        <v>3340346.5157</v>
      </c>
      <c r="F668" s="47"/>
      <c r="G668" s="54">
        <f t="shared" si="433"/>
        <v>0</v>
      </c>
      <c r="H668" s="54">
        <f t="shared" si="418"/>
        <v>0</v>
      </c>
      <c r="I668" s="54">
        <f t="shared" si="419"/>
        <v>0</v>
      </c>
      <c r="J668" s="54">
        <f t="shared" si="420"/>
        <v>61.0768119703836</v>
      </c>
      <c r="K668" s="55">
        <f t="shared" si="430"/>
        <v>106614.437365776</v>
      </c>
      <c r="L668" s="55">
        <f t="shared" si="431"/>
        <v>106614.437365776</v>
      </c>
      <c r="M668" s="55">
        <f t="shared" si="432"/>
        <v>106614.437365776</v>
      </c>
      <c r="N668" s="54">
        <v>436.83</v>
      </c>
      <c r="O668" s="54">
        <v>434.136</v>
      </c>
      <c r="P668" s="54">
        <v>0</v>
      </c>
      <c r="Q668" s="39">
        <f t="shared" si="426"/>
        <v>506017.5851</v>
      </c>
      <c r="R668" s="39">
        <f t="shared" si="427"/>
        <v>3340346.5157</v>
      </c>
      <c r="S668" s="39" t="str">
        <f t="shared" si="428"/>
        <v> </v>
      </c>
      <c r="T668" s="39" t="str">
        <f t="shared" si="429"/>
        <v> </v>
      </c>
      <c r="U668" s="39" t="str">
        <f t="shared" si="415"/>
        <v> </v>
      </c>
      <c r="V668" s="39" t="str">
        <f t="shared" si="416"/>
        <v> </v>
      </c>
      <c r="AI668" t="str">
        <f t="array" ref="AI668">IFERROR(INDEX($L$2:$L$189,SMALL(IF(ISNUMBER(FIND($AH$2,$C$2:$C$189)),ROW($2:$189)-1,4^8),ROW(A667)))&amp;"","")</f>
        <v/>
      </c>
      <c r="AT668" t="str">
        <f t="shared" si="434"/>
        <v>506017.5851,3340346.5157</v>
      </c>
      <c r="AV668">
        <f t="shared" si="425"/>
        <v>437.386</v>
      </c>
      <c r="AX668" t="str">
        <f t="shared" si="435"/>
        <v>pl 53307.2186828878,279 53307.2186828878,400 </v>
      </c>
      <c r="AY668" t="str">
        <f t="shared" si="436"/>
        <v>53307.2186828878,434.136</v>
      </c>
      <c r="AZ668" t="str">
        <f t="shared" si="437"/>
        <v>53307.2186828878,436.83</v>
      </c>
      <c r="BA668" t="str">
        <f t="shared" si="438"/>
        <v>53307.2186828878,437.386</v>
      </c>
      <c r="BB668" t="str">
        <f t="shared" si="439"/>
        <v>-text 53306.2186828878,337 3.5 90 434.136 </v>
      </c>
      <c r="BC668" t="str">
        <f t="shared" si="440"/>
        <v>-text 53306.2186828878,320 3.5 90 437.386 </v>
      </c>
      <c r="BD668" t="str">
        <f t="shared" si="441"/>
        <v>-text 53306.2186828878,306 3.5 90 436.830 </v>
      </c>
      <c r="BE668" t="str">
        <f t="shared" si="442"/>
        <v>-text 53306.2186828878,352 3.5 90 ZG106+614.437 </v>
      </c>
      <c r="BF668" t="str">
        <f t="shared" si="443"/>
        <v>-text 53306.2186828878,280 3.5 90 炭窑沟2#渡槽出 </v>
      </c>
      <c r="BG668" t="str">
        <f t="shared" si="444"/>
        <v/>
      </c>
      <c r="BH668" t="str">
        <f t="shared" si="445"/>
        <v> </v>
      </c>
      <c r="BI668" t="str">
        <f t="shared" si="446"/>
        <v> </v>
      </c>
      <c r="BJ668" t="str">
        <f t="shared" si="447"/>
        <v> </v>
      </c>
    </row>
    <row r="669" spans="1:62">
      <c r="A669">
        <v>1</v>
      </c>
      <c r="B669">
        <v>668</v>
      </c>
      <c r="C669" t="str">
        <f>Sheet1!C617</f>
        <v>吴家院子隧进</v>
      </c>
      <c r="D669" s="64">
        <v>506074.0444</v>
      </c>
      <c r="E669" s="64">
        <v>3340250.1958</v>
      </c>
      <c r="F669" s="47"/>
      <c r="G669">
        <f t="shared" si="433"/>
        <v>0</v>
      </c>
      <c r="H669">
        <f t="shared" si="418"/>
        <v>0</v>
      </c>
      <c r="I669">
        <f t="shared" si="419"/>
        <v>0</v>
      </c>
      <c r="J669">
        <f t="shared" si="420"/>
        <v>111.647551215864</v>
      </c>
      <c r="K669" s="40">
        <f t="shared" si="430"/>
        <v>106726.084916992</v>
      </c>
      <c r="L669" s="40">
        <f t="shared" si="431"/>
        <v>106726.084916992</v>
      </c>
      <c r="M669" s="40">
        <f t="shared" si="432"/>
        <v>106726.084916992</v>
      </c>
      <c r="N669">
        <v>436.81</v>
      </c>
      <c r="O669" s="65">
        <v>434.126</v>
      </c>
      <c r="P669">
        <v>0</v>
      </c>
      <c r="Q669" s="39">
        <f t="shared" si="426"/>
        <v>506074.0444</v>
      </c>
      <c r="R669" s="39">
        <f t="shared" si="427"/>
        <v>3340250.1958</v>
      </c>
      <c r="S669" s="39" t="str">
        <f t="shared" si="428"/>
        <v> </v>
      </c>
      <c r="T669" s="39" t="str">
        <f t="shared" si="429"/>
        <v> </v>
      </c>
      <c r="U669" s="39" t="str">
        <f t="shared" si="415"/>
        <v> </v>
      </c>
      <c r="V669" s="39" t="str">
        <f t="shared" si="416"/>
        <v> </v>
      </c>
      <c r="AI669" t="str">
        <f t="array" ref="AI669">IFERROR(INDEX($L$2:$L$189,SMALL(IF(ISNUMBER(FIND($AH$2,$C$2:$C$189)),ROW($2:$189)-1,4^8),ROW(A668)))&amp;"","")</f>
        <v/>
      </c>
      <c r="AT669" t="str">
        <f t="shared" si="434"/>
        <v>506074.0444,3340250.1958</v>
      </c>
      <c r="AV669">
        <f t="shared" si="425"/>
        <v>437.626</v>
      </c>
      <c r="AX669" t="str">
        <f t="shared" si="435"/>
        <v>pl 53363.0424584958,279 53363.0424584958,400 </v>
      </c>
      <c r="AY669" t="str">
        <f t="shared" si="436"/>
        <v>53363.0424584958,434.126</v>
      </c>
      <c r="AZ669" t="str">
        <f t="shared" si="437"/>
        <v>53363.0424584958,436.81</v>
      </c>
      <c r="BA669" t="str">
        <f t="shared" si="438"/>
        <v>53363.0424584958,437.626</v>
      </c>
      <c r="BB669" t="str">
        <f t="shared" si="439"/>
        <v>-text 53362.0424584958,337 3.5 90 434.126 </v>
      </c>
      <c r="BC669" t="str">
        <f t="shared" si="440"/>
        <v>-text 53362.0424584958,320 3.5 90 437.626 </v>
      </c>
      <c r="BD669" t="str">
        <f t="shared" si="441"/>
        <v>-text 53362.0424584958,306 3.5 90 436.810 </v>
      </c>
      <c r="BE669" t="str">
        <f t="shared" si="442"/>
        <v>-text 53362.0424584958,352 3.5 90 ZG106+726.085 </v>
      </c>
      <c r="BF669" t="str">
        <f t="shared" si="443"/>
        <v>-text 53362.0424584958,280 3.5 90 吴家院子隧进 </v>
      </c>
      <c r="BG669" t="str">
        <f t="shared" si="444"/>
        <v/>
      </c>
      <c r="BH669" t="str">
        <f t="shared" si="445"/>
        <v> </v>
      </c>
      <c r="BI669" t="str">
        <f t="shared" si="446"/>
        <v> </v>
      </c>
      <c r="BJ669" t="str">
        <f t="shared" si="447"/>
        <v> </v>
      </c>
    </row>
    <row r="670" spans="1:62">
      <c r="A670">
        <v>1</v>
      </c>
      <c r="B670">
        <v>669</v>
      </c>
      <c r="C670" t="str">
        <f>Sheet1!C618</f>
        <v>吴家院子隧出</v>
      </c>
      <c r="D670" s="64">
        <v>506203.1503</v>
      </c>
      <c r="E670" s="64">
        <v>3340029.9405</v>
      </c>
      <c r="F670" s="47"/>
      <c r="G670">
        <f t="shared" si="433"/>
        <v>0</v>
      </c>
      <c r="H670">
        <f t="shared" si="418"/>
        <v>0</v>
      </c>
      <c r="I670">
        <f t="shared" si="419"/>
        <v>0</v>
      </c>
      <c r="J670">
        <f t="shared" si="420"/>
        <v>255.305171496432</v>
      </c>
      <c r="K670" s="40">
        <f t="shared" si="430"/>
        <v>106981.390088488</v>
      </c>
      <c r="L670" s="40">
        <f t="shared" si="431"/>
        <v>106981.390088488</v>
      </c>
      <c r="M670" s="40">
        <f t="shared" si="432"/>
        <v>106981.390088488</v>
      </c>
      <c r="N670">
        <v>436.72</v>
      </c>
      <c r="O670" s="65">
        <v>434.036</v>
      </c>
      <c r="P670">
        <v>1</v>
      </c>
      <c r="Q670" s="39">
        <f t="shared" si="426"/>
        <v>506203.1503</v>
      </c>
      <c r="R670" s="39">
        <f t="shared" si="427"/>
        <v>3340029.9405</v>
      </c>
      <c r="S670" s="39" t="str">
        <f t="shared" si="428"/>
        <v> </v>
      </c>
      <c r="T670" s="39" t="str">
        <f t="shared" si="429"/>
        <v> </v>
      </c>
      <c r="U670" s="39" t="str">
        <f>IF(G670=0," ",D670+(D672-D670)/J672*H670)</f>
        <v> </v>
      </c>
      <c r="V670" s="39" t="str">
        <f>IF(G670=0," ",E670+(E672-E670)/J672*H670)</f>
        <v> </v>
      </c>
      <c r="AI670" t="str">
        <f t="array" ref="AI670">IFERROR(INDEX($L$2:$L$189,SMALL(IF(ISNUMBER(FIND($AH$2,$C$2:$C$189)),ROW($2:$189)-1,4^8),ROW(A669)))&amp;"","")</f>
        <v/>
      </c>
      <c r="AT670" t="str">
        <f t="shared" si="434"/>
        <v>506203.1503,3340029.9405</v>
      </c>
      <c r="AV670">
        <f t="shared" si="425"/>
        <v>437.536</v>
      </c>
      <c r="AX670" t="str">
        <f t="shared" si="435"/>
        <v>pl 53490.695044244,279 53490.695044244,400 </v>
      </c>
      <c r="AY670" t="str">
        <f t="shared" si="436"/>
        <v>53490.695044244,434.036</v>
      </c>
      <c r="AZ670" t="str">
        <f t="shared" si="437"/>
        <v>53490.695044244,436.72</v>
      </c>
      <c r="BA670" t="str">
        <f t="shared" si="438"/>
        <v>53490.695044244,437.536</v>
      </c>
      <c r="BB670" t="str">
        <f t="shared" si="439"/>
        <v>-text 53489.695044244,337 3.5 90 434.036 </v>
      </c>
      <c r="BC670" t="str">
        <f t="shared" si="440"/>
        <v>-text 53489.695044244,320 3.5 90 437.536 </v>
      </c>
      <c r="BD670" t="str">
        <f t="shared" si="441"/>
        <v>-text 53489.695044244,306 3.5 90 436.720 </v>
      </c>
      <c r="BE670" t="str">
        <f t="shared" si="442"/>
        <v>-text 53489.695044244,352 3.5 90 ZG106+981.390 </v>
      </c>
      <c r="BF670" t="str">
        <f t="shared" si="443"/>
        <v>-text 53489.695044244,280 3.5 90 吴家院子隧出 </v>
      </c>
      <c r="BG670" t="str">
        <f t="shared" si="444"/>
        <v/>
      </c>
      <c r="BH670" t="str">
        <f t="shared" si="445"/>
        <v> </v>
      </c>
      <c r="BI670" t="str">
        <f t="shared" si="446"/>
        <v> </v>
      </c>
      <c r="BJ670" t="str">
        <f t="shared" si="447"/>
        <v> </v>
      </c>
    </row>
    <row r="671" s="37" customFormat="1" spans="1:62">
      <c r="B671" s="37">
        <v>670</v>
      </c>
      <c r="C671" s="37" t="s">
        <v>869</v>
      </c>
      <c r="D671" s="51">
        <v>506222.5993</v>
      </c>
      <c r="E671" s="51">
        <v>3339996.7604</v>
      </c>
      <c r="F671" s="37"/>
      <c r="G671" s="37">
        <f t="shared" si="433"/>
        <v>0</v>
      </c>
      <c r="H671" s="37">
        <f t="shared" si="418"/>
        <v>0</v>
      </c>
      <c r="I671" s="37">
        <f t="shared" si="419"/>
        <v>0</v>
      </c>
      <c r="J671" s="37">
        <f t="shared" si="420"/>
        <v>38.4601434866112</v>
      </c>
      <c r="K671" s="52">
        <f t="shared" si="430"/>
        <v>107019.850231975</v>
      </c>
      <c r="L671" s="52">
        <f t="shared" si="431"/>
        <v>107019.850231975</v>
      </c>
      <c r="M671" s="52">
        <f t="shared" si="432"/>
        <v>107019.850231975</v>
      </c>
      <c r="N671" s="37">
        <v>436.72</v>
      </c>
      <c r="O671" s="37">
        <v>434.036</v>
      </c>
      <c r="P671" s="37">
        <v>2</v>
      </c>
      <c r="Q671" s="51">
        <f t="shared" si="426"/>
        <v>506222.5993</v>
      </c>
      <c r="R671" s="51">
        <f t="shared" si="427"/>
        <v>3339996.7604</v>
      </c>
      <c r="S671" s="51"/>
      <c r="T671" s="51"/>
      <c r="U671" s="51"/>
      <c r="V671" s="51"/>
    </row>
    <row r="672" spans="1:62">
      <c r="A672">
        <v>2</v>
      </c>
      <c r="B672">
        <v>671</v>
      </c>
      <c r="C672" t="str">
        <f>Sheet1!C619</f>
        <v>牛草堰渡槽进</v>
      </c>
      <c r="D672" s="39">
        <v>506242.0478</v>
      </c>
      <c r="E672" s="39">
        <v>3339963.5811</v>
      </c>
      <c r="F672" s="47"/>
      <c r="G672">
        <f t="shared" si="433"/>
        <v>0</v>
      </c>
      <c r="H672">
        <f t="shared" si="418"/>
        <v>0</v>
      </c>
      <c r="I672">
        <f t="shared" si="419"/>
        <v>0</v>
      </c>
      <c r="J672">
        <f t="shared" si="420"/>
        <v>38.4592004692931</v>
      </c>
      <c r="K672" s="40">
        <f t="shared" si="430"/>
        <v>107058.309432444</v>
      </c>
      <c r="L672" s="40">
        <f t="shared" si="431"/>
        <v>107058.309432444</v>
      </c>
      <c r="M672" s="40">
        <f t="shared" si="432"/>
        <v>107058.309432444</v>
      </c>
      <c r="N672">
        <v>436.72</v>
      </c>
      <c r="O672" s="65">
        <v>434.036</v>
      </c>
      <c r="P672">
        <v>3</v>
      </c>
      <c r="Q672" s="39">
        <f t="shared" si="426"/>
        <v>506242.0478</v>
      </c>
      <c r="R672" s="39">
        <f t="shared" si="427"/>
        <v>3339963.5811</v>
      </c>
      <c r="S672" s="39" t="str">
        <f t="shared" ref="S672:S712" si="448">IF(G672=0," ",(Q672+U672)/2+(D672-(Q672+U672)/2)/(H672*SIN(G672/360*PI()))*(F672-F672*COS(G672/360*PI())))</f>
        <v> </v>
      </c>
      <c r="T672" s="39" t="str">
        <f t="shared" ref="T672:T712" si="449">IF(G672=0," ",(R672+V672)/2+(E672-(R672+V672)/2)/(H672*SIN(G672/360*PI()))*(F672-F672*COS(G672/360*PI())))</f>
        <v> </v>
      </c>
      <c r="U672" s="39" t="str">
        <f t="shared" ref="U672:U711" si="450">IF(G672=0," ",D672+(D673-D672)/J673*H672)</f>
        <v> </v>
      </c>
      <c r="V672" s="39" t="str">
        <f t="shared" ref="V672:V711" si="451">IF(G672=0," ",E672+(E673-E672)/J673*H672)</f>
        <v> </v>
      </c>
      <c r="AI672" t="str">
        <f t="array" ref="AI672">IFERROR(INDEX($L$2:$L$189,SMALL(IF(ISNUMBER(FIND($AH$2,$C$2:$C$189)),ROW($2:$189)-1,4^8),ROW(A670)))&amp;"","")</f>
        <v/>
      </c>
      <c r="AT672" t="str">
        <f t="shared" ref="AT672:AT707" si="452">D672&amp;","&amp;E672</f>
        <v>506242.0478,3339963.5811</v>
      </c>
      <c r="AV672">
        <f t="shared" ref="AV672:AV699" si="453">IF(A672=0,O672+3.85,IF(A672=1,O672+3.5,O672+3.25))</f>
        <v>437.286</v>
      </c>
      <c r="AX672" t="str">
        <f t="shared" ref="AX672:AX707" si="454">"pl "&amp;L672/2&amp;",279 "&amp;L672/2&amp;",400 "</f>
        <v>pl 53529.1547162219,279 53529.1547162219,400 </v>
      </c>
      <c r="AY672" t="str">
        <f t="shared" ref="AY672:AY707" si="455">L672/2&amp;","&amp;O672</f>
        <v>53529.1547162219,434.036</v>
      </c>
      <c r="AZ672" t="str">
        <f t="shared" ref="AZ672:AZ707" si="456">L672/2&amp;","&amp;N672</f>
        <v>53529.1547162219,436.72</v>
      </c>
      <c r="BA672" t="str">
        <f t="shared" ref="BA672:BA707" si="457">L672/2&amp;","&amp;AV672</f>
        <v>53529.1547162219,437.286</v>
      </c>
      <c r="BB672" t="str">
        <f t="shared" ref="BB672:BB707" si="458">"-text "&amp;L672/2-1&amp;",337 3.5 90 "&amp;FIXED(O672,3)&amp;" "</f>
        <v>-text 53528.1547162219,337 3.5 90 434.036 </v>
      </c>
      <c r="BC672" t="str">
        <f t="shared" ref="BC672:BC707" si="459">"-text "&amp;L672/2-1&amp;",320 3.5 90 "&amp;FIXED(AV672,3)&amp;" "</f>
        <v>-text 53528.1547162219,320 3.5 90 437.286 </v>
      </c>
      <c r="BD672" t="str">
        <f t="shared" ref="BD672:BD707" si="460">"-text "&amp;L672/2-1&amp;",306 3.5 90 "&amp;FIXED(N672,3)&amp;" "</f>
        <v>-text 53528.1547162219,306 3.5 90 436.720 </v>
      </c>
      <c r="BE672" t="str">
        <f t="shared" ref="BE672:BE707" si="461">"-text "&amp;L672/2-1&amp;",352 3.5 90 "&amp;"ZG"&amp;TEXT(L672,"0+000.000")&amp;" "</f>
        <v>-text 53528.1547162219,352 3.5 90 ZG107+058.309 </v>
      </c>
      <c r="BF672" t="str">
        <f t="shared" ref="BF672:BF707" si="462">"-text "&amp;L672/2-1&amp;",280 3.5 90 "&amp;C672&amp;" "</f>
        <v>-text 53528.1547162219,280 3.5 90 牛草堰渡槽进 </v>
      </c>
      <c r="BG672" t="str">
        <f t="shared" ref="BG672:BG707" si="463">IF(G672&lt;0.01,"",("-TEXT "&amp;L672/2+1&amp;",300 3.5 0 "&amp;"R="&amp;FIXED(F672,0)))</f>
        <v/>
      </c>
      <c r="BH672" t="str">
        <f t="shared" ref="BH672:BH707" si="464">IF(G672&lt;0.01," ",("-TEXT "&amp;L672/2+1&amp;",295 3.5 0 "&amp;"α="&amp;FIXED(G672,2)&amp;"° "))</f>
        <v> </v>
      </c>
      <c r="BI672" t="str">
        <f t="shared" ref="BI672:BI707" si="465">IF(G672&lt;0.01," ",("-TEXT "&amp;L672/2+1&amp;",290 3.5 0 "&amp;"T="&amp;FIXED(H672,2)&amp;" "))</f>
        <v> </v>
      </c>
      <c r="BJ672" t="str">
        <f t="shared" ref="BJ672:BJ707" si="466">IF(G672&lt;0.01," ",("-TEXT "&amp;L672/2+1&amp;",285 3.5 0 "&amp;"S="&amp;FIXED(I672,2)&amp;" "))</f>
        <v> </v>
      </c>
    </row>
    <row r="673" spans="1:62">
      <c r="A673">
        <v>2</v>
      </c>
      <c r="B673">
        <v>672</v>
      </c>
      <c r="C673" t="s">
        <v>631</v>
      </c>
      <c r="D673" s="39">
        <v>506268.599</v>
      </c>
      <c r="E673" s="39">
        <v>3339918.2847</v>
      </c>
      <c r="F673">
        <v>60</v>
      </c>
      <c r="G673">
        <f t="shared" si="433"/>
        <v>26.946</v>
      </c>
      <c r="H673">
        <f t="shared" ref="H672:H712" si="467">F673*TAN(PI()/180*G673/2)</f>
        <v>14.3748249208019</v>
      </c>
      <c r="I673">
        <f t="shared" ref="I672:I712" si="468">F673*G673/180*PI()</f>
        <v>28.2177852145435</v>
      </c>
      <c r="J673">
        <f t="shared" ref="J672:J712" si="469">SQRT((D673-D672)^2+(E673-E672)^2)</f>
        <v>52.5045719379565</v>
      </c>
      <c r="K673" s="40">
        <f t="shared" si="430"/>
        <v>107096.439179461</v>
      </c>
      <c r="L673" s="40">
        <f t="shared" si="431"/>
        <v>107110.548072068</v>
      </c>
      <c r="M673" s="40">
        <f t="shared" si="432"/>
        <v>107124.656964676</v>
      </c>
      <c r="N673">
        <v>436.62</v>
      </c>
      <c r="O673">
        <v>433.926</v>
      </c>
      <c r="P673">
        <v>0.002</v>
      </c>
      <c r="Q673" s="39">
        <f t="shared" ref="Q672:Q712" si="470">IF(G673=0,D673,D672+(D673-D672)/J673*(J673-H673))</f>
        <v>506261.329750155</v>
      </c>
      <c r="R673" s="39">
        <f t="shared" ref="R672:R712" si="471">IF(G673=0,E673,E672+(E673-E672)/J673*(J673-H673))</f>
        <v>3339930.68605469</v>
      </c>
      <c r="S673" s="39">
        <f t="shared" si="448"/>
        <v>506266.974458939</v>
      </c>
      <c r="T673" s="39">
        <f t="shared" si="449"/>
        <v>3339917.79098352</v>
      </c>
      <c r="U673" s="39">
        <f t="shared" si="450"/>
        <v>506269.459500924</v>
      </c>
      <c r="V673" s="39">
        <f t="shared" si="451"/>
        <v>3339903.9356537</v>
      </c>
      <c r="AI673" t="str">
        <f t="array" ref="AI673">IFERROR(INDEX($L$2:$L$189,SMALL(IF(ISNUMBER(FIND($AH$2,$C$2:$C$189)),ROW($2:$189)-1,4^8),ROW(A672)))&amp;"","")</f>
        <v/>
      </c>
      <c r="AS673" t="str">
        <f>"-text"&amp;" "&amp;D673&amp;","&amp;E673&amp;" "&amp;"10"&amp;" "&amp;"0"&amp;" "&amp;C673</f>
        <v>-text 506268.599,3339918.2847 10 0 IP363</v>
      </c>
      <c r="AT673" t="str">
        <f t="shared" si="452"/>
        <v>506268.599,3339918.2847</v>
      </c>
      <c r="AV673">
        <f t="shared" si="453"/>
        <v>437.176</v>
      </c>
      <c r="AX673" t="str">
        <f t="shared" si="454"/>
        <v>pl 53555.2740360341,279 53555.2740360341,400 </v>
      </c>
      <c r="AY673" t="str">
        <f t="shared" si="455"/>
        <v>53555.2740360341,433.926</v>
      </c>
      <c r="AZ673" t="str">
        <f t="shared" si="456"/>
        <v>53555.2740360341,436.62</v>
      </c>
      <c r="BA673" t="str">
        <f t="shared" si="457"/>
        <v>53555.2740360341,437.176</v>
      </c>
      <c r="BB673" t="str">
        <f t="shared" si="458"/>
        <v>-text 53554.2740360341,337 3.5 90 433.926 </v>
      </c>
      <c r="BC673" t="str">
        <f t="shared" si="459"/>
        <v>-text 53554.2740360341,320 3.5 90 437.176 </v>
      </c>
      <c r="BD673" t="str">
        <f t="shared" si="460"/>
        <v>-text 53554.2740360341,306 3.5 90 436.620 </v>
      </c>
      <c r="BE673" t="str">
        <f t="shared" si="461"/>
        <v>-text 53554.2740360341,352 3.5 90 ZG107+110.548 </v>
      </c>
      <c r="BF673" t="str">
        <f t="shared" si="462"/>
        <v>-text 53554.2740360341,280 3.5 90 IP363 </v>
      </c>
      <c r="BG673" t="str">
        <f t="shared" si="463"/>
        <v>-TEXT 53556.2740360341,300 3.5 0 R=60</v>
      </c>
      <c r="BH673" t="str">
        <f t="shared" si="464"/>
        <v>-TEXT 53556.2740360341,295 3.5 0 α=26.95° </v>
      </c>
      <c r="BI673" t="str">
        <f t="shared" si="465"/>
        <v>-TEXT 53556.2740360341,290 3.5 0 T=14.37 </v>
      </c>
      <c r="BJ673" t="str">
        <f t="shared" si="466"/>
        <v>-TEXT 53556.2740360341,285 3.5 0 S=28.22 </v>
      </c>
    </row>
    <row r="674" spans="1:62">
      <c r="A674">
        <v>2</v>
      </c>
      <c r="B674">
        <v>673</v>
      </c>
      <c r="C674" t="str">
        <f>Sheet1!C621</f>
        <v>牛草堰渡槽出</v>
      </c>
      <c r="D674" s="39">
        <v>506269.8337</v>
      </c>
      <c r="E674" s="39">
        <v>3339897.6958</v>
      </c>
      <c r="G674">
        <f t="shared" si="433"/>
        <v>0</v>
      </c>
      <c r="H674">
        <f t="shared" si="467"/>
        <v>0</v>
      </c>
      <c r="I674">
        <f t="shared" si="468"/>
        <v>0</v>
      </c>
      <c r="J674">
        <f t="shared" si="469"/>
        <v>20.625888764205</v>
      </c>
      <c r="K674" s="40">
        <f t="shared" si="430"/>
        <v>107130.908028519</v>
      </c>
      <c r="L674" s="40">
        <f t="shared" si="431"/>
        <v>107130.908028519</v>
      </c>
      <c r="M674" s="40">
        <f t="shared" si="432"/>
        <v>107130.908028519</v>
      </c>
      <c r="N674">
        <v>436.609</v>
      </c>
      <c r="O674">
        <v>433.915</v>
      </c>
      <c r="P674">
        <v>0</v>
      </c>
      <c r="Q674" s="39">
        <f t="shared" si="470"/>
        <v>506269.8337</v>
      </c>
      <c r="R674" s="39">
        <f t="shared" si="471"/>
        <v>3339897.6958</v>
      </c>
      <c r="S674" s="39" t="str">
        <f t="shared" si="448"/>
        <v> </v>
      </c>
      <c r="T674" s="39" t="str">
        <f t="shared" si="449"/>
        <v> </v>
      </c>
      <c r="U674" s="39" t="str">
        <f t="shared" si="450"/>
        <v> </v>
      </c>
      <c r="V674" s="39" t="str">
        <f t="shared" si="451"/>
        <v> </v>
      </c>
      <c r="AI674" t="str">
        <f t="array" ref="AI674">IFERROR(INDEX($L$2:$L$189,SMALL(IF(ISNUMBER(FIND($AH$2,$C$2:$C$189)),ROW($2:$189)-1,4^8),ROW(A673)))&amp;"","")</f>
        <v/>
      </c>
      <c r="AT674" t="str">
        <f t="shared" si="452"/>
        <v>506269.8337,3339897.6958</v>
      </c>
      <c r="AV674">
        <f t="shared" si="453"/>
        <v>437.165</v>
      </c>
      <c r="AX674" t="str">
        <f t="shared" si="454"/>
        <v>pl 53565.4540142595,279 53565.4540142595,400 </v>
      </c>
      <c r="AY674" t="str">
        <f t="shared" si="455"/>
        <v>53565.4540142595,433.915</v>
      </c>
      <c r="AZ674" t="str">
        <f t="shared" si="456"/>
        <v>53565.4540142595,436.609</v>
      </c>
      <c r="BA674" t="str">
        <f t="shared" si="457"/>
        <v>53565.4540142595,437.165</v>
      </c>
      <c r="BB674" t="str">
        <f t="shared" si="458"/>
        <v>-text 53564.4540142595,337 3.5 90 433.915 </v>
      </c>
      <c r="BC674" t="str">
        <f t="shared" si="459"/>
        <v>-text 53564.4540142595,320 3.5 90 437.165 </v>
      </c>
      <c r="BD674" t="str">
        <f t="shared" si="460"/>
        <v>-text 53564.4540142595,306 3.5 90 436.609 </v>
      </c>
      <c r="BE674" t="str">
        <f t="shared" si="461"/>
        <v>-text 53564.4540142595,352 3.5 90 ZG107+130.908 </v>
      </c>
      <c r="BF674" t="str">
        <f t="shared" si="462"/>
        <v>-text 53564.4540142595,280 3.5 90 牛草堰渡槽出 </v>
      </c>
      <c r="BG674" t="str">
        <f t="shared" si="463"/>
        <v/>
      </c>
      <c r="BH674" t="str">
        <f t="shared" si="464"/>
        <v> </v>
      </c>
      <c r="BI674" t="str">
        <f t="shared" si="465"/>
        <v> </v>
      </c>
      <c r="BJ674" t="str">
        <f t="shared" si="466"/>
        <v> </v>
      </c>
    </row>
    <row r="675" spans="1:62">
      <c r="A675">
        <v>0</v>
      </c>
      <c r="B675">
        <v>674</v>
      </c>
      <c r="C675" t="s">
        <v>633</v>
      </c>
      <c r="D675" s="39">
        <v>506272.6645</v>
      </c>
      <c r="E675" s="39">
        <v>3339850.4936</v>
      </c>
      <c r="F675">
        <v>60</v>
      </c>
      <c r="G675">
        <f t="shared" si="433"/>
        <v>40.865</v>
      </c>
      <c r="H675">
        <f t="shared" si="467"/>
        <v>22.3525492136488</v>
      </c>
      <c r="I675">
        <f t="shared" si="468"/>
        <v>42.793727929649</v>
      </c>
      <c r="J675">
        <f t="shared" si="469"/>
        <v>47.2870078716393</v>
      </c>
      <c r="K675" s="40">
        <f t="shared" si="430"/>
        <v>107155.842487177</v>
      </c>
      <c r="L675" s="40">
        <f t="shared" si="431"/>
        <v>107177.239351142</v>
      </c>
      <c r="M675" s="40">
        <f t="shared" si="432"/>
        <v>107198.636215107</v>
      </c>
      <c r="N675">
        <v>436.646</v>
      </c>
      <c r="O675">
        <v>433.969</v>
      </c>
      <c r="P675">
        <v>0.001</v>
      </c>
      <c r="Q675" s="39">
        <f t="shared" si="470"/>
        <v>506271.326382002</v>
      </c>
      <c r="R675" s="39">
        <f t="shared" si="471"/>
        <v>3339872.80606057</v>
      </c>
      <c r="S675" s="39">
        <f t="shared" si="448"/>
        <v>506276.348502851</v>
      </c>
      <c r="T675" s="39">
        <f t="shared" si="449"/>
        <v>3339852.1234016</v>
      </c>
      <c r="U675" s="39">
        <f t="shared" si="450"/>
        <v>506288.275064821</v>
      </c>
      <c r="V675" s="39">
        <f t="shared" si="451"/>
        <v>3339834.49526501</v>
      </c>
      <c r="AI675" t="str">
        <f t="array" ref="AI675">IFERROR(INDEX($L$2:$L$189,SMALL(IF(ISNUMBER(FIND($AH$2,$C$2:$C$189)),ROW($2:$189)-1,4^8),ROW(A674)))&amp;"","")</f>
        <v/>
      </c>
      <c r="AS675" t="str">
        <f>"-text"&amp;" "&amp;D675&amp;","&amp;E675&amp;" "&amp;"10"&amp;" "&amp;"0"&amp;" "&amp;C675</f>
        <v>-text 506272.6645,3339850.4936 10 0 IP364</v>
      </c>
      <c r="AT675" t="str">
        <f t="shared" si="452"/>
        <v>506272.6645,3339850.4936</v>
      </c>
      <c r="AV675">
        <f t="shared" si="453"/>
        <v>437.819</v>
      </c>
      <c r="AX675" t="str">
        <f t="shared" si="454"/>
        <v>pl 53588.6196755709,279 53588.6196755709,400 </v>
      </c>
      <c r="AY675" t="str">
        <f t="shared" si="455"/>
        <v>53588.6196755709,433.969</v>
      </c>
      <c r="AZ675" t="str">
        <f t="shared" si="456"/>
        <v>53588.6196755709,436.646</v>
      </c>
      <c r="BA675" t="str">
        <f t="shared" si="457"/>
        <v>53588.6196755709,437.819</v>
      </c>
      <c r="BB675" t="str">
        <f t="shared" si="458"/>
        <v>-text 53587.6196755709,337 3.5 90 433.969 </v>
      </c>
      <c r="BC675" t="str">
        <f t="shared" si="459"/>
        <v>-text 53587.6196755709,320 3.5 90 437.819 </v>
      </c>
      <c r="BD675" t="str">
        <f t="shared" si="460"/>
        <v>-text 53587.6196755709,306 3.5 90 436.646 </v>
      </c>
      <c r="BE675" t="str">
        <f t="shared" si="461"/>
        <v>-text 53587.6196755709,352 3.5 90 ZG107+177.239 </v>
      </c>
      <c r="BF675" t="str">
        <f t="shared" si="462"/>
        <v>-text 53587.6196755709,280 3.5 90 IP364 </v>
      </c>
      <c r="BG675" t="str">
        <f t="shared" si="463"/>
        <v>-TEXT 53589.6196755709,300 3.5 0 R=60</v>
      </c>
      <c r="BH675" t="str">
        <f t="shared" si="464"/>
        <v>-TEXT 53589.6196755709,295 3.5 0 α=40.87° </v>
      </c>
      <c r="BI675" t="str">
        <f t="shared" si="465"/>
        <v>-TEXT 53589.6196755709,290 3.5 0 T=22.35 </v>
      </c>
      <c r="BJ675" t="str">
        <f t="shared" si="466"/>
        <v>-TEXT 53589.6196755709,285 3.5 0 S=42.79 </v>
      </c>
    </row>
    <row r="676" spans="1:62">
      <c r="A676">
        <v>0</v>
      </c>
      <c r="B676">
        <v>675</v>
      </c>
      <c r="C676" t="s">
        <v>634</v>
      </c>
      <c r="D676" s="39">
        <v>506383.4082</v>
      </c>
      <c r="E676" s="39">
        <v>3339736.999</v>
      </c>
      <c r="F676">
        <v>60</v>
      </c>
      <c r="G676">
        <f t="shared" si="433"/>
        <v>15.543</v>
      </c>
      <c r="H676">
        <f t="shared" si="467"/>
        <v>8.18857455329858</v>
      </c>
      <c r="I676">
        <f t="shared" si="468"/>
        <v>16.2765915382487</v>
      </c>
      <c r="J676">
        <f t="shared" si="469"/>
        <v>158.572353576915</v>
      </c>
      <c r="K676" s="40">
        <f t="shared" si="430"/>
        <v>107326.667444917</v>
      </c>
      <c r="L676" s="40">
        <f t="shared" si="431"/>
        <v>107334.805740686</v>
      </c>
      <c r="M676" s="40">
        <f t="shared" si="432"/>
        <v>107342.944036455</v>
      </c>
      <c r="N676">
        <v>436.615</v>
      </c>
      <c r="O676">
        <v>433.938</v>
      </c>
      <c r="P676">
        <v>0.001</v>
      </c>
      <c r="Q676" s="39">
        <f t="shared" si="470"/>
        <v>506377.689466417</v>
      </c>
      <c r="R676" s="39">
        <f t="shared" si="471"/>
        <v>3339742.85978829</v>
      </c>
      <c r="S676" s="39">
        <f t="shared" si="448"/>
        <v>506383.750096062</v>
      </c>
      <c r="T676" s="39">
        <f t="shared" si="449"/>
        <v>3339737.43768653</v>
      </c>
      <c r="U676" s="39">
        <f t="shared" si="450"/>
        <v>506390.488237356</v>
      </c>
      <c r="V676" s="39">
        <f t="shared" si="451"/>
        <v>3339732.88489934</v>
      </c>
      <c r="AI676" t="str">
        <f t="array" ref="AI676">IFERROR(INDEX($L$2:$L$189,SMALL(IF(ISNUMBER(FIND($AH$2,$C$2:$C$189)),ROW($2:$189)-1,4^8),ROW(A675)))&amp;"","")</f>
        <v/>
      </c>
      <c r="AS676" t="str">
        <f>"-text"&amp;" "&amp;D676&amp;","&amp;E676&amp;" "&amp;"10"&amp;" "&amp;"0"&amp;" "&amp;C676</f>
        <v>-text 506383.4082,3339736.999 10 0 IP365</v>
      </c>
      <c r="AT676" t="str">
        <f t="shared" si="452"/>
        <v>506383.4082,3339736.999</v>
      </c>
      <c r="AV676">
        <f t="shared" si="453"/>
        <v>437.788</v>
      </c>
      <c r="AX676" t="str">
        <f t="shared" si="454"/>
        <v>pl 53667.4028703428,279 53667.4028703428,400 </v>
      </c>
      <c r="AY676" t="str">
        <f t="shared" si="455"/>
        <v>53667.4028703428,433.938</v>
      </c>
      <c r="AZ676" t="str">
        <f t="shared" si="456"/>
        <v>53667.4028703428,436.615</v>
      </c>
      <c r="BA676" t="str">
        <f t="shared" si="457"/>
        <v>53667.4028703428,437.788</v>
      </c>
      <c r="BB676" t="str">
        <f t="shared" si="458"/>
        <v>-text 53666.4028703428,337 3.5 90 433.938 </v>
      </c>
      <c r="BC676" t="str">
        <f t="shared" si="459"/>
        <v>-text 53666.4028703428,320 3.5 90 437.788 </v>
      </c>
      <c r="BD676" t="str">
        <f t="shared" si="460"/>
        <v>-text 53666.4028703428,306 3.5 90 436.615 </v>
      </c>
      <c r="BE676" t="str">
        <f t="shared" si="461"/>
        <v>-text 53666.4028703428,352 3.5 90 ZG107+334.806 </v>
      </c>
      <c r="BF676" t="str">
        <f t="shared" si="462"/>
        <v>-text 53666.4028703428,280 3.5 90 IP365 </v>
      </c>
      <c r="BG676" t="str">
        <f t="shared" si="463"/>
        <v>-TEXT 53668.4028703428,300 3.5 0 R=60</v>
      </c>
      <c r="BH676" t="str">
        <f t="shared" si="464"/>
        <v>-TEXT 53668.4028703428,295 3.5 0 α=15.54° </v>
      </c>
      <c r="BI676" t="str">
        <f t="shared" si="465"/>
        <v>-TEXT 53668.4028703428,290 3.5 0 T=8.19 </v>
      </c>
      <c r="BJ676" t="str">
        <f t="shared" si="466"/>
        <v>-TEXT 53668.4028703428,285 3.5 0 S=16.28 </v>
      </c>
    </row>
    <row r="677" spans="1:62">
      <c r="A677">
        <v>2</v>
      </c>
      <c r="B677">
        <v>676</v>
      </c>
      <c r="C677" t="str">
        <f>Sheet1!C624</f>
        <v>花生基渡槽进</v>
      </c>
      <c r="D677" s="39">
        <v>506524.0428</v>
      </c>
      <c r="E677" s="39">
        <v>3339655.2784</v>
      </c>
      <c r="G677">
        <f t="shared" si="433"/>
        <v>0</v>
      </c>
      <c r="H677">
        <f t="shared" si="467"/>
        <v>0</v>
      </c>
      <c r="I677">
        <f t="shared" si="468"/>
        <v>0</v>
      </c>
      <c r="J677">
        <f t="shared" si="469"/>
        <v>162.65407213304</v>
      </c>
      <c r="K677" s="40">
        <f t="shared" si="430"/>
        <v>107497.409534035</v>
      </c>
      <c r="L677" s="40">
        <f t="shared" si="431"/>
        <v>107497.409534035</v>
      </c>
      <c r="M677" s="40">
        <f t="shared" si="432"/>
        <v>107497.409534035</v>
      </c>
      <c r="N677">
        <v>436.5</v>
      </c>
      <c r="O677">
        <v>433.806</v>
      </c>
      <c r="P677">
        <v>0</v>
      </c>
      <c r="Q677" s="39">
        <f t="shared" si="470"/>
        <v>506524.0428</v>
      </c>
      <c r="R677" s="39">
        <f t="shared" si="471"/>
        <v>3339655.2784</v>
      </c>
      <c r="S677" s="39" t="str">
        <f t="shared" si="448"/>
        <v> </v>
      </c>
      <c r="T677" s="39" t="str">
        <f t="shared" si="449"/>
        <v> </v>
      </c>
      <c r="U677" s="39" t="str">
        <f t="shared" si="450"/>
        <v> </v>
      </c>
      <c r="V677" s="39" t="str">
        <f t="shared" si="451"/>
        <v> </v>
      </c>
      <c r="AI677" t="str">
        <f t="array" ref="AI677">IFERROR(INDEX($L$2:$L$189,SMALL(IF(ISNUMBER(FIND($AH$2,$C$2:$C$189)),ROW($2:$189)-1,4^8),ROW(A676)))&amp;"","")</f>
        <v/>
      </c>
      <c r="AT677" t="str">
        <f t="shared" si="452"/>
        <v>506524.0428,3339655.2784</v>
      </c>
      <c r="AV677">
        <f t="shared" si="453"/>
        <v>437.056</v>
      </c>
      <c r="AX677" t="str">
        <f t="shared" si="454"/>
        <v>pl 53748.7047670173,279 53748.7047670173,400 </v>
      </c>
      <c r="AY677" t="str">
        <f t="shared" si="455"/>
        <v>53748.7047670173,433.806</v>
      </c>
      <c r="AZ677" t="str">
        <f t="shared" si="456"/>
        <v>53748.7047670173,436.5</v>
      </c>
      <c r="BA677" t="str">
        <f t="shared" si="457"/>
        <v>53748.7047670173,437.056</v>
      </c>
      <c r="BB677" t="str">
        <f t="shared" si="458"/>
        <v>-text 53747.7047670173,337 3.5 90 433.806 </v>
      </c>
      <c r="BC677" t="str">
        <f t="shared" si="459"/>
        <v>-text 53747.7047670173,320 3.5 90 437.056 </v>
      </c>
      <c r="BD677" t="str">
        <f t="shared" si="460"/>
        <v>-text 53747.7047670173,306 3.5 90 436.500 </v>
      </c>
      <c r="BE677" t="str">
        <f t="shared" si="461"/>
        <v>-text 53747.7047670173,352 3.5 90 ZG107+497.410 </v>
      </c>
      <c r="BF677" t="str">
        <f t="shared" si="462"/>
        <v>-text 53747.7047670173,280 3.5 90 花生基渡槽进 </v>
      </c>
      <c r="BG677" t="str">
        <f t="shared" si="463"/>
        <v/>
      </c>
      <c r="BH677" t="str">
        <f t="shared" si="464"/>
        <v> </v>
      </c>
      <c r="BI677" t="str">
        <f t="shared" si="465"/>
        <v> </v>
      </c>
      <c r="BJ677" t="str">
        <f t="shared" si="466"/>
        <v> </v>
      </c>
    </row>
    <row r="678" spans="1:62">
      <c r="A678">
        <v>2</v>
      </c>
      <c r="B678">
        <v>677</v>
      </c>
      <c r="C678" t="s">
        <v>640</v>
      </c>
      <c r="D678" s="39">
        <v>506609.532</v>
      </c>
      <c r="E678" s="39">
        <v>3339605.6018</v>
      </c>
      <c r="F678">
        <v>60</v>
      </c>
      <c r="G678">
        <f t="shared" si="433"/>
        <v>11.892</v>
      </c>
      <c r="H678">
        <f t="shared" si="467"/>
        <v>6.24908640669832</v>
      </c>
      <c r="I678">
        <f t="shared" si="468"/>
        <v>12.4532732788299</v>
      </c>
      <c r="J678">
        <f t="shared" si="469"/>
        <v>98.8745058356156</v>
      </c>
      <c r="K678" s="40">
        <f t="shared" si="430"/>
        <v>107590.034953463</v>
      </c>
      <c r="L678" s="40">
        <f t="shared" si="431"/>
        <v>107596.261590103</v>
      </c>
      <c r="M678" s="40">
        <f t="shared" si="432"/>
        <v>107602.488226742</v>
      </c>
      <c r="N678">
        <v>436.454</v>
      </c>
      <c r="O678">
        <v>433.76</v>
      </c>
      <c r="P678">
        <v>0.001</v>
      </c>
      <c r="Q678" s="39">
        <f t="shared" si="470"/>
        <v>506604.128894385</v>
      </c>
      <c r="R678" s="39">
        <f t="shared" si="471"/>
        <v>3339608.74147047</v>
      </c>
      <c r="S678" s="39">
        <f t="shared" si="448"/>
        <v>506609.665114172</v>
      </c>
      <c r="T678" s="39">
        <f t="shared" si="449"/>
        <v>3339605.89779568</v>
      </c>
      <c r="U678" s="39">
        <f t="shared" si="450"/>
        <v>506615.466129986</v>
      </c>
      <c r="V678" s="39">
        <f t="shared" si="451"/>
        <v>3339603.64292731</v>
      </c>
      <c r="AI678" t="str">
        <f t="array" ref="AI678">IFERROR(INDEX($L$2:$L$189,SMALL(IF(ISNUMBER(FIND($AH$2,$C$2:$C$189)),ROW($2:$189)-1,4^8),ROW(A677)))&amp;"","")</f>
        <v/>
      </c>
      <c r="AS678" t="str">
        <f>"-text"&amp;" "&amp;D678&amp;","&amp;E678&amp;" "&amp;"10"&amp;" "&amp;"0"&amp;" "&amp;C678</f>
        <v>-text 506609.532,3339605.6018 10 0 IP366</v>
      </c>
      <c r="AT678" t="str">
        <f t="shared" si="452"/>
        <v>506609.532,3339605.6018</v>
      </c>
      <c r="AV678">
        <f t="shared" si="453"/>
        <v>437.01</v>
      </c>
      <c r="AX678" t="str">
        <f t="shared" si="454"/>
        <v>pl 53798.1307950514,279 53798.1307950514,400 </v>
      </c>
      <c r="AY678" t="str">
        <f t="shared" si="455"/>
        <v>53798.1307950514,433.76</v>
      </c>
      <c r="AZ678" t="str">
        <f t="shared" si="456"/>
        <v>53798.1307950514,436.454</v>
      </c>
      <c r="BA678" t="str">
        <f t="shared" si="457"/>
        <v>53798.1307950514,437.01</v>
      </c>
      <c r="BB678" t="str">
        <f t="shared" si="458"/>
        <v>-text 53797.1307950514,337 3.5 90 433.760 </v>
      </c>
      <c r="BC678" t="str">
        <f t="shared" si="459"/>
        <v>-text 53797.1307950514,320 3.5 90 437.010 </v>
      </c>
      <c r="BD678" t="str">
        <f t="shared" si="460"/>
        <v>-text 53797.1307950514,306 3.5 90 436.454 </v>
      </c>
      <c r="BE678" t="str">
        <f t="shared" si="461"/>
        <v>-text 53797.1307950514,352 3.5 90 ZG107+596.262 </v>
      </c>
      <c r="BF678" t="str">
        <f t="shared" si="462"/>
        <v>-text 53797.1307950514,280 3.5 90 IP366 </v>
      </c>
      <c r="BG678" t="str">
        <f t="shared" si="463"/>
        <v>-TEXT 53799.1307950514,300 3.5 0 R=60</v>
      </c>
      <c r="BH678" t="str">
        <f t="shared" si="464"/>
        <v>-TEXT 53799.1307950514,295 3.5 0 α=11.89° </v>
      </c>
      <c r="BI678" t="str">
        <f t="shared" si="465"/>
        <v>-TEXT 53799.1307950514,290 3.5 0 T=6.25 </v>
      </c>
      <c r="BJ678" t="str">
        <f t="shared" si="466"/>
        <v>-TEXT 53799.1307950514,285 3.5 0 S=12.45 </v>
      </c>
    </row>
    <row r="679" spans="1:62">
      <c r="A679">
        <v>2</v>
      </c>
      <c r="B679">
        <v>678</v>
      </c>
      <c r="C679" t="str">
        <f>Sheet1!C626</f>
        <v>花生基渡槽出</v>
      </c>
      <c r="D679" s="39">
        <v>506668.3967</v>
      </c>
      <c r="E679" s="39">
        <v>3339586.1704</v>
      </c>
      <c r="G679">
        <f t="shared" si="433"/>
        <v>0</v>
      </c>
      <c r="H679">
        <f t="shared" si="467"/>
        <v>0</v>
      </c>
      <c r="I679">
        <f t="shared" si="468"/>
        <v>0</v>
      </c>
      <c r="J679">
        <f t="shared" si="469"/>
        <v>61.9889684704763</v>
      </c>
      <c r="K679" s="40">
        <f t="shared" si="430"/>
        <v>107658.228108806</v>
      </c>
      <c r="L679" s="40">
        <f t="shared" si="431"/>
        <v>107658.228108806</v>
      </c>
      <c r="M679" s="40">
        <f t="shared" si="432"/>
        <v>107658.228108806</v>
      </c>
      <c r="N679">
        <v>436.426</v>
      </c>
      <c r="O679">
        <v>433.732</v>
      </c>
      <c r="P679">
        <v>0</v>
      </c>
      <c r="Q679" s="39">
        <f t="shared" si="470"/>
        <v>506668.3967</v>
      </c>
      <c r="R679" s="39">
        <f t="shared" si="471"/>
        <v>3339586.1704</v>
      </c>
      <c r="S679" s="39" t="str">
        <f t="shared" si="448"/>
        <v> </v>
      </c>
      <c r="T679" s="39" t="str">
        <f t="shared" si="449"/>
        <v> </v>
      </c>
      <c r="U679" s="39" t="str">
        <f t="shared" si="450"/>
        <v> </v>
      </c>
      <c r="V679" s="39" t="str">
        <f t="shared" si="451"/>
        <v> </v>
      </c>
      <c r="AI679" t="str">
        <f t="array" ref="AI679">IFERROR(INDEX($L$2:$L$189,SMALL(IF(ISNUMBER(FIND($AH$2,$C$2:$C$189)),ROW($2:$189)-1,4^8),ROW(A678)))&amp;"","")</f>
        <v/>
      </c>
      <c r="AT679" t="str">
        <f t="shared" si="452"/>
        <v>506668.3967,3339586.1704</v>
      </c>
      <c r="AV679">
        <f t="shared" si="453"/>
        <v>436.982</v>
      </c>
      <c r="AX679" t="str">
        <f t="shared" si="454"/>
        <v>pl 53829.114054403,279 53829.114054403,400 </v>
      </c>
      <c r="AY679" t="str">
        <f t="shared" si="455"/>
        <v>53829.114054403,433.732</v>
      </c>
      <c r="AZ679" t="str">
        <f t="shared" si="456"/>
        <v>53829.114054403,436.426</v>
      </c>
      <c r="BA679" t="str">
        <f t="shared" si="457"/>
        <v>53829.114054403,436.982</v>
      </c>
      <c r="BB679" t="str">
        <f t="shared" si="458"/>
        <v>-text 53828.114054403,337 3.5 90 433.732 </v>
      </c>
      <c r="BC679" t="str">
        <f t="shared" si="459"/>
        <v>-text 53828.114054403,320 3.5 90 436.982 </v>
      </c>
      <c r="BD679" t="str">
        <f t="shared" si="460"/>
        <v>-text 53828.114054403,306 3.5 90 436.426 </v>
      </c>
      <c r="BE679" t="str">
        <f t="shared" si="461"/>
        <v>-text 53828.114054403,352 3.5 90 ZG107+658.228 </v>
      </c>
      <c r="BF679" t="str">
        <f t="shared" si="462"/>
        <v>-text 53828.114054403,280 3.5 90 花生基渡槽出 </v>
      </c>
      <c r="BG679" t="str">
        <f t="shared" si="463"/>
        <v/>
      </c>
      <c r="BH679" t="str">
        <f t="shared" si="464"/>
        <v> </v>
      </c>
      <c r="BI679" t="str">
        <f t="shared" si="465"/>
        <v> </v>
      </c>
      <c r="BJ679" t="str">
        <f t="shared" si="466"/>
        <v> </v>
      </c>
    </row>
    <row r="680" spans="1:62">
      <c r="A680">
        <v>0</v>
      </c>
      <c r="B680">
        <v>679</v>
      </c>
      <c r="C680" t="s">
        <v>642</v>
      </c>
      <c r="D680" s="39">
        <v>506705.041</v>
      </c>
      <c r="E680" s="39">
        <v>3339574.0741</v>
      </c>
      <c r="F680">
        <v>40</v>
      </c>
      <c r="G680">
        <f t="shared" ref="G680:G693" si="472">ROUND(IF((2*SQRT((D679-D680)^2+(E679-E680)^2)*SQRT((D681-D680)^2+(E681-E680)^2))=0,0,180-ACOS(((D679-D680)^2+(E679-E680)^2+(D681-D680)^2+(E681-E680)^2-(D681-D679)^2-(E681-E679)^2)/(2*SQRT((D679-D680)^2+(E679-E680)^2)*SQRT((D681-D680)^2+(E681-E680)^2)))/PI()*180),3)</f>
        <v>65.241</v>
      </c>
      <c r="H680">
        <f t="shared" si="467"/>
        <v>25.601236943969</v>
      </c>
      <c r="I680">
        <f t="shared" si="468"/>
        <v>45.5468102917448</v>
      </c>
      <c r="J680">
        <f t="shared" si="469"/>
        <v>38.589184964068</v>
      </c>
      <c r="K680" s="40">
        <f t="shared" si="430"/>
        <v>107671.216056826</v>
      </c>
      <c r="L680" s="40">
        <f t="shared" si="431"/>
        <v>107693.989461972</v>
      </c>
      <c r="M680" s="40">
        <f t="shared" si="432"/>
        <v>107716.762867118</v>
      </c>
      <c r="N680">
        <v>436.464</v>
      </c>
      <c r="O680">
        <v>433.787</v>
      </c>
      <c r="P680">
        <v>0.002</v>
      </c>
      <c r="Q680" s="39">
        <f t="shared" si="470"/>
        <v>506680.730058791</v>
      </c>
      <c r="R680" s="39">
        <f t="shared" si="471"/>
        <v>3339582.09915269</v>
      </c>
      <c r="S680" s="39">
        <f t="shared" si="448"/>
        <v>506699.228327386</v>
      </c>
      <c r="T680" s="39">
        <f t="shared" si="449"/>
        <v>3339569.34835902</v>
      </c>
      <c r="U680" s="39">
        <f t="shared" si="450"/>
        <v>506707.935037651</v>
      </c>
      <c r="V680" s="39">
        <f t="shared" si="451"/>
        <v>3339548.63696417</v>
      </c>
      <c r="AI680" t="str">
        <f t="array" ref="AI680">IFERROR(INDEX($L$2:$L$189,SMALL(IF(ISNUMBER(FIND($AH$2,$C$2:$C$189)),ROW($2:$189)-1,4^8),ROW(A679)))&amp;"","")</f>
        <v/>
      </c>
      <c r="AS680" t="str">
        <f>"-text"&amp;" "&amp;D680&amp;","&amp;E680&amp;" "&amp;"10"&amp;" "&amp;"0"&amp;" "&amp;C680</f>
        <v>-text 506705.041,3339574.0741 10 0 IP367</v>
      </c>
      <c r="AT680" t="str">
        <f t="shared" si="452"/>
        <v>506705.041,3339574.0741</v>
      </c>
      <c r="AV680">
        <f t="shared" si="453"/>
        <v>437.637</v>
      </c>
      <c r="AX680" t="str">
        <f t="shared" si="454"/>
        <v>pl 53846.994730986,279 53846.994730986,400 </v>
      </c>
      <c r="AY680" t="str">
        <f t="shared" si="455"/>
        <v>53846.994730986,433.787</v>
      </c>
      <c r="AZ680" t="str">
        <f t="shared" si="456"/>
        <v>53846.994730986,436.464</v>
      </c>
      <c r="BA680" t="str">
        <f t="shared" si="457"/>
        <v>53846.994730986,437.637</v>
      </c>
      <c r="BB680" t="str">
        <f t="shared" si="458"/>
        <v>-text 53845.994730986,337 3.5 90 433.787 </v>
      </c>
      <c r="BC680" t="str">
        <f t="shared" si="459"/>
        <v>-text 53845.994730986,320 3.5 90 437.637 </v>
      </c>
      <c r="BD680" t="str">
        <f t="shared" si="460"/>
        <v>-text 53845.994730986,306 3.5 90 436.464 </v>
      </c>
      <c r="BE680" t="str">
        <f t="shared" si="461"/>
        <v>-text 53845.994730986,352 3.5 90 ZG107+693.989 </v>
      </c>
      <c r="BF680" t="str">
        <f t="shared" si="462"/>
        <v>-text 53845.994730986,280 3.5 90 IP367 </v>
      </c>
      <c r="BG680" t="str">
        <f t="shared" si="463"/>
        <v>-TEXT 53847.994730986,300 3.5 0 R=40</v>
      </c>
      <c r="BH680" t="str">
        <f t="shared" si="464"/>
        <v>-TEXT 53847.994730986,295 3.5 0 α=65.24° </v>
      </c>
      <c r="BI680" t="str">
        <f t="shared" si="465"/>
        <v>-TEXT 53847.994730986,290 3.5 0 T=25.60 </v>
      </c>
      <c r="BJ680" t="str">
        <f t="shared" si="466"/>
        <v>-TEXT 53847.994730986,285 3.5 0 S=45.55 </v>
      </c>
    </row>
    <row r="681" spans="1:62">
      <c r="A681">
        <v>0</v>
      </c>
      <c r="B681">
        <v>680</v>
      </c>
      <c r="C681" t="s">
        <v>643</v>
      </c>
      <c r="D681" s="39">
        <v>506720.037</v>
      </c>
      <c r="E681" s="39">
        <v>3339442.2668</v>
      </c>
      <c r="F681">
        <v>60</v>
      </c>
      <c r="G681">
        <f t="shared" si="472"/>
        <v>46.47</v>
      </c>
      <c r="H681">
        <f t="shared" si="467"/>
        <v>25.7594290280008</v>
      </c>
      <c r="I681">
        <f t="shared" si="468"/>
        <v>48.6632702041059</v>
      </c>
      <c r="J681">
        <f t="shared" si="469"/>
        <v>132.6576207735</v>
      </c>
      <c r="K681" s="40">
        <f t="shared" si="430"/>
        <v>107798.059821919</v>
      </c>
      <c r="L681" s="40">
        <f t="shared" si="431"/>
        <v>107822.391457021</v>
      </c>
      <c r="M681" s="40">
        <f t="shared" si="432"/>
        <v>107846.723092124</v>
      </c>
      <c r="N681">
        <v>436.438</v>
      </c>
      <c r="O681">
        <v>433.761</v>
      </c>
      <c r="P681">
        <v>0.002</v>
      </c>
      <c r="Q681" s="39">
        <f t="shared" si="470"/>
        <v>506717.12507986</v>
      </c>
      <c r="R681" s="39">
        <f t="shared" si="471"/>
        <v>3339467.86111392</v>
      </c>
      <c r="S681" s="39">
        <f t="shared" si="448"/>
        <v>506724.635984709</v>
      </c>
      <c r="T681" s="39">
        <f t="shared" si="449"/>
        <v>3339444.89277118</v>
      </c>
      <c r="U681" s="39">
        <f t="shared" si="450"/>
        <v>506740.598853272</v>
      </c>
      <c r="V681" s="39">
        <f t="shared" si="451"/>
        <v>3339426.75040951</v>
      </c>
      <c r="AI681" t="str">
        <f t="array" ref="AI681">IFERROR(INDEX($L$2:$L$189,SMALL(IF(ISNUMBER(FIND($AH$2,$C$2:$C$189)),ROW($2:$189)-1,4^8),ROW(A680)))&amp;"","")</f>
        <v/>
      </c>
      <c r="AS681" t="str">
        <f>"-text"&amp;" "&amp;D681&amp;","&amp;E681&amp;" "&amp;"10"&amp;" "&amp;"0"&amp;" "&amp;C681</f>
        <v>-text 506720.037,3339442.2668 10 0 IP368</v>
      </c>
      <c r="AT681" t="str">
        <f t="shared" si="452"/>
        <v>506720.037,3339442.2668</v>
      </c>
      <c r="AV681">
        <f t="shared" si="453"/>
        <v>437.611</v>
      </c>
      <c r="AX681" t="str">
        <f t="shared" si="454"/>
        <v>pl 53911.1957285107,279 53911.1957285107,400 </v>
      </c>
      <c r="AY681" t="str">
        <f t="shared" si="455"/>
        <v>53911.1957285107,433.761</v>
      </c>
      <c r="AZ681" t="str">
        <f t="shared" si="456"/>
        <v>53911.1957285107,436.438</v>
      </c>
      <c r="BA681" t="str">
        <f t="shared" si="457"/>
        <v>53911.1957285107,437.611</v>
      </c>
      <c r="BB681" t="str">
        <f t="shared" si="458"/>
        <v>-text 53910.1957285107,337 3.5 90 433.761 </v>
      </c>
      <c r="BC681" t="str">
        <f t="shared" si="459"/>
        <v>-text 53910.1957285107,320 3.5 90 437.611 </v>
      </c>
      <c r="BD681" t="str">
        <f t="shared" si="460"/>
        <v>-text 53910.1957285107,306 3.5 90 436.438 </v>
      </c>
      <c r="BE681" t="str">
        <f t="shared" si="461"/>
        <v>-text 53910.1957285107,352 3.5 90 ZG107+822.391 </v>
      </c>
      <c r="BF681" t="str">
        <f t="shared" si="462"/>
        <v>-text 53910.1957285107,280 3.5 90 IP368 </v>
      </c>
      <c r="BG681" t="str">
        <f t="shared" si="463"/>
        <v>-TEXT 53912.1957285107,300 3.5 0 R=60</v>
      </c>
      <c r="BH681" t="str">
        <f t="shared" si="464"/>
        <v>-TEXT 53912.1957285107,295 3.5 0 α=46.47° </v>
      </c>
      <c r="BI681" t="str">
        <f t="shared" si="465"/>
        <v>-TEXT 53912.1957285107,290 3.5 0 T=25.76 </v>
      </c>
      <c r="BJ681" t="str">
        <f t="shared" si="466"/>
        <v>-TEXT 53912.1957285107,285 3.5 0 S=48.66 </v>
      </c>
    </row>
    <row r="682" spans="1:62">
      <c r="A682">
        <v>0</v>
      </c>
      <c r="B682">
        <v>681</v>
      </c>
      <c r="C682" s="47" t="str">
        <f>Sheet1!C629</f>
        <v>吴家大院子倒虹管进</v>
      </c>
      <c r="D682" s="49">
        <v>506752.9953</v>
      </c>
      <c r="E682" s="49">
        <v>3339417.3958</v>
      </c>
      <c r="G682">
        <f t="shared" si="472"/>
        <v>0</v>
      </c>
      <c r="H682">
        <f t="shared" si="467"/>
        <v>0</v>
      </c>
      <c r="I682">
        <f t="shared" si="468"/>
        <v>0</v>
      </c>
      <c r="J682">
        <f t="shared" si="469"/>
        <v>41.289419708691</v>
      </c>
      <c r="K682" s="40">
        <f t="shared" si="430"/>
        <v>107862.253082804</v>
      </c>
      <c r="L682" s="40">
        <f t="shared" si="431"/>
        <v>107862.253082804</v>
      </c>
      <c r="M682" s="40">
        <f t="shared" si="432"/>
        <v>107862.253082804</v>
      </c>
      <c r="N682" s="47">
        <v>436.43</v>
      </c>
      <c r="O682" s="47">
        <v>433.738</v>
      </c>
      <c r="P682" s="47">
        <v>0</v>
      </c>
      <c r="Q682" s="39">
        <f t="shared" si="470"/>
        <v>506752.9953</v>
      </c>
      <c r="R682" s="39">
        <f t="shared" si="471"/>
        <v>3339417.3958</v>
      </c>
      <c r="S682" s="39" t="str">
        <f t="shared" si="448"/>
        <v> </v>
      </c>
      <c r="T682" s="39" t="str">
        <f t="shared" si="449"/>
        <v> </v>
      </c>
      <c r="U682" s="39" t="str">
        <f t="shared" si="450"/>
        <v> </v>
      </c>
      <c r="V682" s="39" t="str">
        <f t="shared" si="451"/>
        <v> </v>
      </c>
      <c r="AI682" t="str">
        <f t="array" ref="AI682">IFERROR(INDEX($L$2:$L$189,SMALL(IF(ISNUMBER(FIND($AH$2,$C$2:$C$189)),ROW($2:$189)-1,4^8),ROW(A681)))&amp;"","")</f>
        <v/>
      </c>
      <c r="AT682" t="str">
        <f t="shared" si="452"/>
        <v>506752.9953,3339417.3958</v>
      </c>
      <c r="AV682">
        <f t="shared" si="453"/>
        <v>437.588</v>
      </c>
      <c r="AX682" t="str">
        <f t="shared" si="454"/>
        <v>pl 53931.1265414021,279 53931.1265414021,400 </v>
      </c>
      <c r="AY682" t="str">
        <f t="shared" si="455"/>
        <v>53931.1265414021,433.738</v>
      </c>
      <c r="AZ682" t="str">
        <f t="shared" si="456"/>
        <v>53931.1265414021,436.43</v>
      </c>
      <c r="BA682" t="str">
        <f t="shared" si="457"/>
        <v>53931.1265414021,437.588</v>
      </c>
      <c r="BB682" t="str">
        <f t="shared" si="458"/>
        <v>-text 53930.1265414021,337 3.5 90 433.738 </v>
      </c>
      <c r="BC682" t="str">
        <f t="shared" si="459"/>
        <v>-text 53930.1265414021,320 3.5 90 437.588 </v>
      </c>
      <c r="BD682" t="str">
        <f t="shared" si="460"/>
        <v>-text 53930.1265414021,306 3.5 90 436.430 </v>
      </c>
      <c r="BE682" t="str">
        <f t="shared" si="461"/>
        <v>-text 53930.1265414021,352 3.5 90 ZG107+862.253 </v>
      </c>
      <c r="BF682" t="str">
        <f t="shared" si="462"/>
        <v>-text 53930.1265414021,280 3.5 90 吴家大院子倒虹管进 </v>
      </c>
      <c r="BG682" t="str">
        <f t="shared" si="463"/>
        <v/>
      </c>
      <c r="BH682" t="str">
        <f t="shared" si="464"/>
        <v> </v>
      </c>
      <c r="BI682" t="str">
        <f t="shared" si="465"/>
        <v> </v>
      </c>
      <c r="BJ682" t="str">
        <f t="shared" si="466"/>
        <v> </v>
      </c>
    </row>
    <row r="683" spans="1:62">
      <c r="A683">
        <v>0</v>
      </c>
      <c r="B683">
        <v>682</v>
      </c>
      <c r="C683" t="s">
        <v>645</v>
      </c>
      <c r="D683" s="49">
        <v>506937.616</v>
      </c>
      <c r="E683" s="49">
        <v>3339278.0776</v>
      </c>
      <c r="F683">
        <v>15</v>
      </c>
      <c r="G683">
        <f t="shared" si="472"/>
        <v>29.412</v>
      </c>
      <c r="H683">
        <f t="shared" si="467"/>
        <v>3.93685528581718</v>
      </c>
      <c r="I683">
        <f t="shared" si="468"/>
        <v>7.70004359394858</v>
      </c>
      <c r="J683">
        <f t="shared" si="469"/>
        <v>231.288485921253</v>
      </c>
      <c r="K683" s="40">
        <f t="shared" si="430"/>
        <v>108089.60471344</v>
      </c>
      <c r="L683" s="40">
        <f t="shared" si="431"/>
        <v>108093.454735237</v>
      </c>
      <c r="M683" s="40">
        <f t="shared" si="432"/>
        <v>108097.304757034</v>
      </c>
      <c r="N683" s="47"/>
      <c r="O683" s="47">
        <v>433.738</v>
      </c>
      <c r="P683" s="47">
        <v>0</v>
      </c>
      <c r="Q683" s="39">
        <f t="shared" si="470"/>
        <v>506934.473496058</v>
      </c>
      <c r="R683" s="39">
        <f t="shared" si="471"/>
        <v>3339280.44899168</v>
      </c>
      <c r="S683" s="39">
        <f t="shared" si="448"/>
        <v>506937.217060836</v>
      </c>
      <c r="T683" s="39">
        <f t="shared" si="449"/>
        <v>3339277.76304635</v>
      </c>
      <c r="U683" s="39">
        <f t="shared" si="450"/>
        <v>506939.188884841</v>
      </c>
      <c r="V683" s="39">
        <f t="shared" si="451"/>
        <v>3339274.46860252</v>
      </c>
      <c r="AI683" t="str">
        <f t="array" ref="AI683">IFERROR(INDEX($L$2:$L$189,SMALL(IF(ISNUMBER(FIND($AH$2,$C$2:$C$189)),ROW($2:$189)-1,4^8),ROW(A682)))&amp;"","")</f>
        <v/>
      </c>
      <c r="AS683" t="str">
        <f>"-text"&amp;" "&amp;D683&amp;","&amp;E683&amp;" "&amp;"10"&amp;" "&amp;"0"&amp;" "&amp;C683</f>
        <v>-text 506937.616,3339278.0776 10 0 IP369</v>
      </c>
      <c r="AT683" t="str">
        <f t="shared" si="452"/>
        <v>506937.616,3339278.0776</v>
      </c>
      <c r="AV683">
        <f t="shared" si="453"/>
        <v>437.588</v>
      </c>
      <c r="AX683" t="str">
        <f t="shared" si="454"/>
        <v>pl 54046.7273676183,279 54046.7273676183,400 </v>
      </c>
      <c r="AY683" t="str">
        <f t="shared" si="455"/>
        <v>54046.7273676183,433.738</v>
      </c>
      <c r="AZ683" t="str">
        <f t="shared" si="456"/>
        <v>54046.7273676183,</v>
      </c>
      <c r="BA683" t="str">
        <f t="shared" si="457"/>
        <v>54046.7273676183,437.588</v>
      </c>
      <c r="BB683" t="str">
        <f t="shared" si="458"/>
        <v>-text 54045.7273676183,337 3.5 90 433.738 </v>
      </c>
      <c r="BC683" t="str">
        <f t="shared" si="459"/>
        <v>-text 54045.7273676183,320 3.5 90 437.588 </v>
      </c>
      <c r="BD683" t="str">
        <f t="shared" si="460"/>
        <v>-text 54045.7273676183,306 3.5 90 0.000 </v>
      </c>
      <c r="BE683" t="str">
        <f t="shared" si="461"/>
        <v>-text 54045.7273676183,352 3.5 90 ZG108+093.455 </v>
      </c>
      <c r="BF683" t="str">
        <f t="shared" si="462"/>
        <v>-text 54045.7273676183,280 3.5 90 IP369 </v>
      </c>
      <c r="BG683" t="str">
        <f t="shared" si="463"/>
        <v>-TEXT 54047.7273676183,300 3.5 0 R=15</v>
      </c>
      <c r="BH683" t="str">
        <f t="shared" si="464"/>
        <v>-TEXT 54047.7273676183,295 3.5 0 α=29.41° </v>
      </c>
      <c r="BI683" t="str">
        <f t="shared" si="465"/>
        <v>-TEXT 54047.7273676183,290 3.5 0 T=3.94 </v>
      </c>
      <c r="BJ683" t="str">
        <f t="shared" si="466"/>
        <v>-TEXT 54047.7273676183,285 3.5 0 S=7.70 </v>
      </c>
    </row>
    <row r="684" spans="1:62">
      <c r="A684">
        <v>0</v>
      </c>
      <c r="B684">
        <v>683</v>
      </c>
      <c r="C684" t="s">
        <v>647</v>
      </c>
      <c r="D684" s="49">
        <v>506994.1132</v>
      </c>
      <c r="E684" s="49">
        <v>3339148.4443</v>
      </c>
      <c r="F684">
        <v>15</v>
      </c>
      <c r="G684">
        <f t="shared" si="472"/>
        <v>22.016</v>
      </c>
      <c r="H684">
        <f t="shared" si="467"/>
        <v>2.91787822518063</v>
      </c>
      <c r="I684">
        <f t="shared" si="468"/>
        <v>5.76377532178607</v>
      </c>
      <c r="J684">
        <f t="shared" si="469"/>
        <v>141.409780696743</v>
      </c>
      <c r="K684" s="40">
        <f t="shared" si="430"/>
        <v>108231.859804219</v>
      </c>
      <c r="L684" s="40">
        <f t="shared" si="431"/>
        <v>108234.74169188</v>
      </c>
      <c r="M684" s="40">
        <f t="shared" si="432"/>
        <v>108237.623579541</v>
      </c>
      <c r="N684" s="47"/>
      <c r="O684" s="47">
        <v>433.738</v>
      </c>
      <c r="P684" s="47">
        <v>0</v>
      </c>
      <c r="Q684" s="39">
        <f t="shared" si="470"/>
        <v>506992.947425265</v>
      </c>
      <c r="R684" s="39">
        <f t="shared" si="471"/>
        <v>3339151.11917992</v>
      </c>
      <c r="S684" s="39">
        <f t="shared" si="448"/>
        <v>506994.34475744</v>
      </c>
      <c r="T684" s="39">
        <f t="shared" si="449"/>
        <v>3339148.60378239</v>
      </c>
      <c r="U684" s="39">
        <f t="shared" si="450"/>
        <v>506996.196683428</v>
      </c>
      <c r="V684" s="39">
        <f t="shared" si="451"/>
        <v>3339146.40148083</v>
      </c>
      <c r="AI684" t="str">
        <f t="array" ref="AI684">IFERROR(INDEX($L$2:$L$189,SMALL(IF(ISNUMBER(FIND($AH$2,$C$2:$C$189)),ROW($2:$189)-1,4^8),ROW(A683)))&amp;"","")</f>
        <v/>
      </c>
      <c r="AS684" t="str">
        <f>"-text"&amp;" "&amp;D684&amp;","&amp;E684&amp;" "&amp;"10"&amp;" "&amp;"0"&amp;" "&amp;C684</f>
        <v>-text 506994.1132,3339148.4443 10 0 IP370</v>
      </c>
      <c r="AT684" t="str">
        <f t="shared" si="452"/>
        <v>506994.1132,3339148.4443</v>
      </c>
      <c r="AV684">
        <f t="shared" si="453"/>
        <v>437.588</v>
      </c>
      <c r="AX684" t="str">
        <f t="shared" si="454"/>
        <v>pl 54117.3708459401,279 54117.3708459401,400 </v>
      </c>
      <c r="AY684" t="str">
        <f t="shared" si="455"/>
        <v>54117.3708459401,433.738</v>
      </c>
      <c r="AZ684" t="str">
        <f t="shared" si="456"/>
        <v>54117.3708459401,</v>
      </c>
      <c r="BA684" t="str">
        <f t="shared" si="457"/>
        <v>54117.3708459401,437.588</v>
      </c>
      <c r="BB684" t="str">
        <f t="shared" si="458"/>
        <v>-text 54116.3708459401,337 3.5 90 433.738 </v>
      </c>
      <c r="BC684" t="str">
        <f t="shared" si="459"/>
        <v>-text 54116.3708459401,320 3.5 90 437.588 </v>
      </c>
      <c r="BD684" t="str">
        <f t="shared" si="460"/>
        <v>-text 54116.3708459401,306 3.5 90 0.000 </v>
      </c>
      <c r="BE684" t="str">
        <f t="shared" si="461"/>
        <v>-text 54116.3708459401,352 3.5 90 ZG108+234.742 </v>
      </c>
      <c r="BF684" t="str">
        <f t="shared" si="462"/>
        <v>-text 54116.3708459401,280 3.5 90 IP370 </v>
      </c>
      <c r="BG684" t="str">
        <f t="shared" si="463"/>
        <v>-TEXT 54118.3708459401,300 3.5 0 R=15</v>
      </c>
      <c r="BH684" t="str">
        <f t="shared" si="464"/>
        <v>-TEXT 54118.3708459401,295 3.5 0 α=22.02° </v>
      </c>
      <c r="BI684" t="str">
        <f t="shared" si="465"/>
        <v>-TEXT 54118.3708459401,290 3.5 0 T=2.92 </v>
      </c>
      <c r="BJ684" t="str">
        <f t="shared" si="466"/>
        <v>-TEXT 54118.3708459401,285 3.5 0 S=5.76 </v>
      </c>
    </row>
    <row r="685" spans="1:62">
      <c r="A685">
        <v>0</v>
      </c>
      <c r="B685">
        <v>684</v>
      </c>
      <c r="C685" s="47" t="str">
        <f>Sheet1!C630</f>
        <v>吴家大院子倒虹管出</v>
      </c>
      <c r="D685" s="49">
        <v>507189.6204</v>
      </c>
      <c r="E685" s="49">
        <v>3338956.7529</v>
      </c>
      <c r="G685">
        <f t="shared" si="472"/>
        <v>0</v>
      </c>
      <c r="H685">
        <f t="shared" si="467"/>
        <v>0</v>
      </c>
      <c r="I685">
        <f t="shared" si="468"/>
        <v>0</v>
      </c>
      <c r="J685">
        <f t="shared" si="469"/>
        <v>273.804050528396</v>
      </c>
      <c r="K685" s="40">
        <f t="shared" si="430"/>
        <v>108508.509751844</v>
      </c>
      <c r="L685" s="40">
        <f t="shared" si="431"/>
        <v>108508.509751844</v>
      </c>
      <c r="M685" s="40">
        <f t="shared" si="432"/>
        <v>108508.509751844</v>
      </c>
      <c r="N685" s="47">
        <v>435.78</v>
      </c>
      <c r="O685" s="47">
        <v>433.088</v>
      </c>
      <c r="P685" s="47">
        <v>0</v>
      </c>
      <c r="Q685" s="39">
        <f t="shared" si="470"/>
        <v>507189.6204</v>
      </c>
      <c r="R685" s="39">
        <f t="shared" si="471"/>
        <v>3338956.7529</v>
      </c>
      <c r="S685" s="39" t="str">
        <f t="shared" si="448"/>
        <v> </v>
      </c>
      <c r="T685" s="39" t="str">
        <f t="shared" si="449"/>
        <v> </v>
      </c>
      <c r="U685" s="39" t="str">
        <f t="shared" si="450"/>
        <v> </v>
      </c>
      <c r="V685" s="39" t="str">
        <f t="shared" si="451"/>
        <v> </v>
      </c>
      <c r="AI685" t="str">
        <f t="array" ref="AI685">IFERROR(INDEX($L$2:$L$189,SMALL(IF(ISNUMBER(FIND($AH$2,$C$2:$C$189)),ROW($2:$189)-1,4^8),ROW(A684)))&amp;"","")</f>
        <v/>
      </c>
      <c r="AT685" t="str">
        <f t="shared" si="452"/>
        <v>507189.6204,3338956.7529</v>
      </c>
      <c r="AV685">
        <f t="shared" si="453"/>
        <v>436.938</v>
      </c>
      <c r="AX685" t="str">
        <f t="shared" si="454"/>
        <v>pl 54254.2548759222,279 54254.2548759222,400 </v>
      </c>
      <c r="AY685" t="str">
        <f t="shared" si="455"/>
        <v>54254.2548759222,433.088</v>
      </c>
      <c r="AZ685" t="str">
        <f t="shared" si="456"/>
        <v>54254.2548759222,435.78</v>
      </c>
      <c r="BA685" t="str">
        <f t="shared" si="457"/>
        <v>54254.2548759222,436.938</v>
      </c>
      <c r="BB685" t="str">
        <f t="shared" si="458"/>
        <v>-text 54253.2548759222,337 3.5 90 433.088 </v>
      </c>
      <c r="BC685" t="str">
        <f t="shared" si="459"/>
        <v>-text 54253.2548759222,320 3.5 90 436.938 </v>
      </c>
      <c r="BD685" t="str">
        <f t="shared" si="460"/>
        <v>-text 54253.2548759222,306 3.5 90 435.780 </v>
      </c>
      <c r="BE685" t="str">
        <f t="shared" si="461"/>
        <v>-text 54253.2548759222,352 3.5 90 ZG108+508.510 </v>
      </c>
      <c r="BF685" t="str">
        <f t="shared" si="462"/>
        <v>-text 54253.2548759222,280 3.5 90 吴家大院子倒虹管出 </v>
      </c>
      <c r="BG685" t="str">
        <f t="shared" si="463"/>
        <v/>
      </c>
      <c r="BH685" t="str">
        <f t="shared" si="464"/>
        <v> </v>
      </c>
      <c r="BI685" t="str">
        <f t="shared" si="465"/>
        <v> </v>
      </c>
      <c r="BJ685" t="str">
        <f t="shared" si="466"/>
        <v> </v>
      </c>
    </row>
    <row r="686" spans="1:62">
      <c r="A686">
        <v>1</v>
      </c>
      <c r="B686">
        <v>685</v>
      </c>
      <c r="C686" t="str">
        <f>Sheet1!C631</f>
        <v>杨家湾隧进</v>
      </c>
      <c r="D686" s="39">
        <v>507212.8916</v>
      </c>
      <c r="E686" s="39">
        <v>3338933.936</v>
      </c>
      <c r="G686">
        <f t="shared" si="472"/>
        <v>0</v>
      </c>
      <c r="H686">
        <f t="shared" si="467"/>
        <v>0</v>
      </c>
      <c r="I686">
        <f t="shared" si="468"/>
        <v>0</v>
      </c>
      <c r="J686">
        <f t="shared" si="469"/>
        <v>32.590791261444</v>
      </c>
      <c r="K686" s="40">
        <f t="shared" si="430"/>
        <v>108541.100543106</v>
      </c>
      <c r="L686" s="40">
        <f t="shared" si="431"/>
        <v>108541.100543106</v>
      </c>
      <c r="M686" s="40">
        <f t="shared" si="432"/>
        <v>108541.100543106</v>
      </c>
      <c r="N686">
        <v>435.729</v>
      </c>
      <c r="O686">
        <v>433.045</v>
      </c>
      <c r="P686">
        <v>0</v>
      </c>
      <c r="Q686" s="39">
        <f t="shared" si="470"/>
        <v>507212.8916</v>
      </c>
      <c r="R686" s="39">
        <f t="shared" si="471"/>
        <v>3338933.936</v>
      </c>
      <c r="S686" s="39" t="str">
        <f t="shared" si="448"/>
        <v> </v>
      </c>
      <c r="T686" s="39" t="str">
        <f t="shared" si="449"/>
        <v> </v>
      </c>
      <c r="U686" s="39" t="str">
        <f t="shared" si="450"/>
        <v> </v>
      </c>
      <c r="V686" s="39" t="str">
        <f t="shared" si="451"/>
        <v> </v>
      </c>
      <c r="AI686" t="str">
        <f t="array" ref="AI686">IFERROR(INDEX($L$2:$L$189,SMALL(IF(ISNUMBER(FIND($AH$2,$C$2:$C$189)),ROW($2:$189)-1,4^8),ROW(A685)))&amp;"","")</f>
        <v/>
      </c>
      <c r="AT686" t="str">
        <f t="shared" si="452"/>
        <v>507212.8916,3338933.936</v>
      </c>
      <c r="AV686">
        <f t="shared" si="453"/>
        <v>436.545</v>
      </c>
      <c r="AX686" t="str">
        <f t="shared" si="454"/>
        <v>pl 54270.5502715529,279 54270.5502715529,400 </v>
      </c>
      <c r="AY686" t="str">
        <f t="shared" si="455"/>
        <v>54270.5502715529,433.045</v>
      </c>
      <c r="AZ686" t="str">
        <f t="shared" si="456"/>
        <v>54270.5502715529,435.729</v>
      </c>
      <c r="BA686" t="str">
        <f t="shared" si="457"/>
        <v>54270.5502715529,436.545</v>
      </c>
      <c r="BB686" t="str">
        <f t="shared" si="458"/>
        <v>-text 54269.5502715529,337 3.5 90 433.045 </v>
      </c>
      <c r="BC686" t="str">
        <f t="shared" si="459"/>
        <v>-text 54269.5502715529,320 3.5 90 436.545 </v>
      </c>
      <c r="BD686" t="str">
        <f t="shared" si="460"/>
        <v>-text 54269.5502715529,306 3.5 90 435.729 </v>
      </c>
      <c r="BE686" t="str">
        <f t="shared" si="461"/>
        <v>-text 54269.5502715529,352 3.5 90 ZG108+541.101 </v>
      </c>
      <c r="BF686" t="str">
        <f t="shared" si="462"/>
        <v>-text 54269.5502715529,280 3.5 90 杨家湾隧进 </v>
      </c>
      <c r="BG686" t="str">
        <f t="shared" si="463"/>
        <v/>
      </c>
      <c r="BH686" t="str">
        <f t="shared" si="464"/>
        <v> </v>
      </c>
      <c r="BI686" t="str">
        <f t="shared" si="465"/>
        <v> </v>
      </c>
      <c r="BJ686" t="str">
        <f t="shared" si="466"/>
        <v> </v>
      </c>
    </row>
    <row r="687" spans="1:62">
      <c r="A687">
        <v>1</v>
      </c>
      <c r="B687">
        <v>686</v>
      </c>
      <c r="C687" t="s">
        <v>648</v>
      </c>
      <c r="D687" s="39">
        <v>507263.0089</v>
      </c>
      <c r="E687" s="39">
        <v>3338884.7968</v>
      </c>
      <c r="F687">
        <v>60</v>
      </c>
      <c r="G687">
        <f t="shared" si="472"/>
        <v>42.847</v>
      </c>
      <c r="H687">
        <f t="shared" si="467"/>
        <v>23.5421361144578</v>
      </c>
      <c r="I687">
        <f t="shared" si="468"/>
        <v>44.8692734761206</v>
      </c>
      <c r="J687">
        <f t="shared" si="469"/>
        <v>70.1883518537318</v>
      </c>
      <c r="K687" s="40">
        <f t="shared" si="430"/>
        <v>108587.746758845</v>
      </c>
      <c r="L687" s="40">
        <f t="shared" si="431"/>
        <v>108610.181395583</v>
      </c>
      <c r="M687" s="40">
        <f t="shared" si="432"/>
        <v>108632.616032321</v>
      </c>
      <c r="N687">
        <v>435.703</v>
      </c>
      <c r="O687">
        <v>433.019</v>
      </c>
      <c r="P687">
        <v>0.003</v>
      </c>
      <c r="Q687" s="39">
        <f t="shared" si="470"/>
        <v>507246.198870029</v>
      </c>
      <c r="R687" s="39">
        <f t="shared" si="471"/>
        <v>3338901.27876181</v>
      </c>
      <c r="S687" s="39">
        <f t="shared" si="448"/>
        <v>507258.945000028</v>
      </c>
      <c r="T687" s="39">
        <f t="shared" si="449"/>
        <v>3338882.97545113</v>
      </c>
      <c r="U687" s="39">
        <f t="shared" si="450"/>
        <v>507264.12491162</v>
      </c>
      <c r="V687" s="39">
        <f t="shared" si="451"/>
        <v>3338861.28113095</v>
      </c>
      <c r="AI687" t="str">
        <f t="array" ref="AI687">IFERROR(INDEX($L$2:$L$189,SMALL(IF(ISNUMBER(FIND($AH$2,$C$2:$C$189)),ROW($2:$189)-1,4^8),ROW(A686)))&amp;"","")</f>
        <v/>
      </c>
      <c r="AS687" t="str">
        <f>"-text"&amp;" "&amp;D687&amp;","&amp;E687&amp;" "&amp;"10"&amp;" "&amp;"0"&amp;" "&amp;C687</f>
        <v>-text 507263.0089,3338884.7968 10 0 IP371</v>
      </c>
      <c r="AT687" t="str">
        <f t="shared" si="452"/>
        <v>507263.0089,3338884.7968</v>
      </c>
      <c r="AV687">
        <f t="shared" si="453"/>
        <v>436.519</v>
      </c>
      <c r="AX687" t="str">
        <f t="shared" si="454"/>
        <v>pl 54305.0906977916,279 54305.0906977916,400 </v>
      </c>
      <c r="AY687" t="str">
        <f t="shared" si="455"/>
        <v>54305.0906977916,433.019</v>
      </c>
      <c r="AZ687" t="str">
        <f t="shared" si="456"/>
        <v>54305.0906977916,435.703</v>
      </c>
      <c r="BA687" t="str">
        <f t="shared" si="457"/>
        <v>54305.0906977916,436.519</v>
      </c>
      <c r="BB687" t="str">
        <f t="shared" si="458"/>
        <v>-text 54304.0906977916,337 3.5 90 433.019 </v>
      </c>
      <c r="BC687" t="str">
        <f t="shared" si="459"/>
        <v>-text 54304.0906977916,320 3.5 90 436.519 </v>
      </c>
      <c r="BD687" t="str">
        <f t="shared" si="460"/>
        <v>-text 54304.0906977916,306 3.5 90 435.703 </v>
      </c>
      <c r="BE687" t="str">
        <f t="shared" si="461"/>
        <v>-text 54304.0906977916,352 3.5 90 ZG108+610.181 </v>
      </c>
      <c r="BF687" t="str">
        <f t="shared" si="462"/>
        <v>-text 54304.0906977916,280 3.5 90 IP371 </v>
      </c>
      <c r="BG687" t="str">
        <f t="shared" si="463"/>
        <v>-TEXT 54306.0906977916,300 3.5 0 R=60</v>
      </c>
      <c r="BH687" t="str">
        <f t="shared" si="464"/>
        <v>-TEXT 54306.0906977916,295 3.5 0 α=42.85° </v>
      </c>
      <c r="BI687" t="str">
        <f t="shared" si="465"/>
        <v>-TEXT 54306.0906977916,290 3.5 0 T=23.54 </v>
      </c>
      <c r="BJ687" t="str">
        <f t="shared" si="466"/>
        <v>-TEXT 54306.0906977916,285 3.5 0 S=44.87 </v>
      </c>
    </row>
    <row r="688" spans="1:62">
      <c r="A688">
        <v>1</v>
      </c>
      <c r="B688">
        <v>687</v>
      </c>
      <c r="C688" t="s">
        <v>870</v>
      </c>
      <c r="D688" s="39">
        <v>507270.7581</v>
      </c>
      <c r="E688" s="39">
        <v>3338721.5121</v>
      </c>
      <c r="F688">
        <v>60</v>
      </c>
      <c r="G688">
        <f t="shared" si="472"/>
        <v>36.573</v>
      </c>
      <c r="H688">
        <f t="shared" si="467"/>
        <v>19.8274206116239</v>
      </c>
      <c r="I688">
        <f t="shared" si="468"/>
        <v>38.2991560399132</v>
      </c>
      <c r="J688">
        <f t="shared" si="469"/>
        <v>163.468478168705</v>
      </c>
      <c r="K688" s="40">
        <f t="shared" si="430"/>
        <v>108752.714953764</v>
      </c>
      <c r="L688" s="40">
        <f t="shared" si="431"/>
        <v>108771.864531784</v>
      </c>
      <c r="M688" s="40">
        <f t="shared" si="432"/>
        <v>108791.014109804</v>
      </c>
      <c r="N688">
        <v>435.642</v>
      </c>
      <c r="O688">
        <v>432.958</v>
      </c>
      <c r="P688">
        <v>0.002</v>
      </c>
      <c r="Q688" s="39">
        <f t="shared" si="470"/>
        <v>507269.818183941</v>
      </c>
      <c r="R688" s="39">
        <f t="shared" si="471"/>
        <v>3338741.31722979</v>
      </c>
      <c r="S688" s="39">
        <f t="shared" si="448"/>
        <v>507267.683984247</v>
      </c>
      <c r="T688" s="39">
        <f t="shared" si="449"/>
        <v>3338722.36864669</v>
      </c>
      <c r="U688" s="39">
        <f t="shared" si="450"/>
        <v>507259.712042218</v>
      </c>
      <c r="V688" s="39">
        <f t="shared" si="451"/>
        <v>3338705.04664478</v>
      </c>
      <c r="AI688" t="str">
        <f t="array" ref="AI688">IFERROR(INDEX($L$2:$L$189,SMALL(IF(ISNUMBER(FIND($AH$2,$C$2:$C$189)),ROW($2:$189)-1,4^8),ROW(A687)))&amp;"","")</f>
        <v/>
      </c>
      <c r="AS688" t="str">
        <f>"-text"&amp;" "&amp;D688&amp;","&amp;E688&amp;" "&amp;"10"&amp;" "&amp;"0"&amp;" "&amp;C688</f>
        <v>-text 507270.7581,3338721.5121 10 0 IP372</v>
      </c>
      <c r="AT688" t="str">
        <f t="shared" si="452"/>
        <v>507270.7581,3338721.5121</v>
      </c>
      <c r="AV688">
        <f t="shared" si="453"/>
        <v>436.458</v>
      </c>
      <c r="AX688" t="str">
        <f t="shared" si="454"/>
        <v>pl 54385.9322658919,279 54385.9322658919,400 </v>
      </c>
      <c r="AY688" t="str">
        <f t="shared" si="455"/>
        <v>54385.9322658919,432.958</v>
      </c>
      <c r="AZ688" t="str">
        <f t="shared" si="456"/>
        <v>54385.9322658919,435.642</v>
      </c>
      <c r="BA688" t="str">
        <f t="shared" si="457"/>
        <v>54385.9322658919,436.458</v>
      </c>
      <c r="BB688" t="str">
        <f t="shared" si="458"/>
        <v>-text 54384.9322658919,337 3.5 90 432.958 </v>
      </c>
      <c r="BC688" t="str">
        <f t="shared" si="459"/>
        <v>-text 54384.9322658919,320 3.5 90 436.458 </v>
      </c>
      <c r="BD688" t="str">
        <f t="shared" si="460"/>
        <v>-text 54384.9322658919,306 3.5 90 435.642 </v>
      </c>
      <c r="BE688" t="str">
        <f t="shared" si="461"/>
        <v>-text 54384.9322658919,352 3.5 90 ZG108+771.865 </v>
      </c>
      <c r="BF688" t="str">
        <f t="shared" si="462"/>
        <v>-text 54384.9322658919,280 3.5 90 IP372 </v>
      </c>
      <c r="BG688" t="str">
        <f t="shared" si="463"/>
        <v>-TEXT 54386.9322658919,300 3.5 0 R=60</v>
      </c>
      <c r="BH688" t="str">
        <f t="shared" si="464"/>
        <v>-TEXT 54386.9322658919,295 3.5 0 α=36.57° </v>
      </c>
      <c r="BI688" t="str">
        <f t="shared" si="465"/>
        <v>-TEXT 54386.9322658919,290 3.5 0 T=19.83 </v>
      </c>
      <c r="BJ688" t="str">
        <f t="shared" si="466"/>
        <v>-TEXT 54386.9322658919,285 3.5 0 S=38.30 </v>
      </c>
    </row>
    <row r="689" spans="1:62">
      <c r="A689">
        <v>1</v>
      </c>
      <c r="B689">
        <v>688</v>
      </c>
      <c r="C689" t="s">
        <v>871</v>
      </c>
      <c r="D689" s="39">
        <v>507133.3052</v>
      </c>
      <c r="E689" s="39">
        <v>3338516.6223</v>
      </c>
      <c r="F689">
        <v>60</v>
      </c>
      <c r="G689">
        <f t="shared" si="472"/>
        <v>34.583</v>
      </c>
      <c r="H689">
        <f t="shared" si="467"/>
        <v>18.6781547200505</v>
      </c>
      <c r="I689">
        <f t="shared" si="468"/>
        <v>36.2152329130319</v>
      </c>
      <c r="J689">
        <f t="shared" si="469"/>
        <v>246.724805932531</v>
      </c>
      <c r="K689" s="40">
        <f t="shared" si="430"/>
        <v>108999.233340405</v>
      </c>
      <c r="L689" s="40">
        <f t="shared" si="431"/>
        <v>109017.340956861</v>
      </c>
      <c r="M689" s="40">
        <f t="shared" si="432"/>
        <v>109035.448573318</v>
      </c>
      <c r="N689">
        <v>435.553</v>
      </c>
      <c r="O689">
        <v>432.869</v>
      </c>
      <c r="P689">
        <v>0.002</v>
      </c>
      <c r="Q689" s="39">
        <f t="shared" si="470"/>
        <v>507143.710990059</v>
      </c>
      <c r="R689" s="39">
        <f t="shared" si="471"/>
        <v>3338532.13336047</v>
      </c>
      <c r="S689" s="39">
        <f t="shared" si="448"/>
        <v>507136.027416723</v>
      </c>
      <c r="T689" s="39">
        <f t="shared" si="449"/>
        <v>3338515.81260529</v>
      </c>
      <c r="U689" s="39">
        <f t="shared" si="450"/>
        <v>507133.542215147</v>
      </c>
      <c r="V689" s="39">
        <f t="shared" si="451"/>
        <v>3338497.94564913</v>
      </c>
      <c r="AI689" t="str">
        <f t="array" ref="AI689">IFERROR(INDEX($L$2:$L$189,SMALL(IF(ISNUMBER(FIND($AH$2,$C$2:$C$189)),ROW($2:$189)-1,4^8),ROW(A688)))&amp;"","")</f>
        <v/>
      </c>
      <c r="AS689" t="str">
        <f>"-text"&amp;" "&amp;D689&amp;","&amp;E689&amp;" "&amp;"10"&amp;" "&amp;"0"&amp;" "&amp;C689</f>
        <v>-text 507133.3052,3338516.6223 10 0 IP373</v>
      </c>
      <c r="AT689" t="str">
        <f t="shared" si="452"/>
        <v>507133.3052,3338516.6223</v>
      </c>
      <c r="AV689">
        <f t="shared" si="453"/>
        <v>436.369</v>
      </c>
      <c r="AX689" t="str">
        <f t="shared" si="454"/>
        <v>pl 54508.6704784306,279 54508.6704784306,400 </v>
      </c>
      <c r="AY689" t="str">
        <f t="shared" si="455"/>
        <v>54508.6704784306,432.869</v>
      </c>
      <c r="AZ689" t="str">
        <f t="shared" si="456"/>
        <v>54508.6704784306,435.553</v>
      </c>
      <c r="BA689" t="str">
        <f t="shared" si="457"/>
        <v>54508.6704784306,436.369</v>
      </c>
      <c r="BB689" t="str">
        <f t="shared" si="458"/>
        <v>-text 54507.6704784306,337 3.5 90 432.869 </v>
      </c>
      <c r="BC689" t="str">
        <f t="shared" si="459"/>
        <v>-text 54507.6704784306,320 3.5 90 436.369 </v>
      </c>
      <c r="BD689" t="str">
        <f t="shared" si="460"/>
        <v>-text 54507.6704784306,306 3.5 90 435.553 </v>
      </c>
      <c r="BE689" t="str">
        <f t="shared" si="461"/>
        <v>-text 54507.6704784306,352 3.5 90 ZG109+017.341 </v>
      </c>
      <c r="BF689" t="str">
        <f t="shared" si="462"/>
        <v>-text 54507.6704784306,280 3.5 90 IP373 </v>
      </c>
      <c r="BG689" t="str">
        <f t="shared" si="463"/>
        <v>-TEXT 54509.6704784306,300 3.5 0 R=60</v>
      </c>
      <c r="BH689" t="str">
        <f t="shared" si="464"/>
        <v>-TEXT 54509.6704784306,295 3.5 0 α=34.58° </v>
      </c>
      <c r="BI689" t="str">
        <f t="shared" si="465"/>
        <v>-TEXT 54509.6704784306,290 3.5 0 T=18.68 </v>
      </c>
      <c r="BJ689" t="str">
        <f t="shared" si="466"/>
        <v>-TEXT 54509.6704784306,285 3.5 0 S=36.22 </v>
      </c>
    </row>
    <row r="690" spans="1:62">
      <c r="A690">
        <v>1</v>
      </c>
      <c r="B690">
        <v>689</v>
      </c>
      <c r="C690" t="str">
        <f>Sheet1!C635</f>
        <v>杨家湾隧出</v>
      </c>
      <c r="D690" s="39">
        <v>507134.4343</v>
      </c>
      <c r="E690" s="39">
        <v>3338427.6499</v>
      </c>
      <c r="G690">
        <f t="shared" si="472"/>
        <v>0</v>
      </c>
      <c r="H690">
        <f t="shared" si="467"/>
        <v>0</v>
      </c>
      <c r="I690">
        <f t="shared" si="468"/>
        <v>0</v>
      </c>
      <c r="J690">
        <f t="shared" si="469"/>
        <v>88.9795641062819</v>
      </c>
      <c r="K690" s="40">
        <f t="shared" si="430"/>
        <v>109105.749982704</v>
      </c>
      <c r="L690" s="40">
        <f t="shared" si="431"/>
        <v>109105.749982704</v>
      </c>
      <c r="M690" s="40">
        <f t="shared" si="432"/>
        <v>109105.749982704</v>
      </c>
      <c r="N690">
        <v>435.52</v>
      </c>
      <c r="O690">
        <v>432.836</v>
      </c>
      <c r="P690">
        <v>0</v>
      </c>
      <c r="Q690" s="39">
        <f t="shared" si="470"/>
        <v>507134.4343</v>
      </c>
      <c r="R690" s="39">
        <f t="shared" si="471"/>
        <v>3338427.6499</v>
      </c>
      <c r="S690" s="39" t="str">
        <f t="shared" si="448"/>
        <v> </v>
      </c>
      <c r="T690" s="39" t="str">
        <f t="shared" si="449"/>
        <v> </v>
      </c>
      <c r="U690" s="39" t="str">
        <f t="shared" si="450"/>
        <v> </v>
      </c>
      <c r="V690" s="39" t="str">
        <f t="shared" si="451"/>
        <v> </v>
      </c>
      <c r="AI690" t="str">
        <f t="array" ref="AI690">IFERROR(INDEX($L$2:$L$189,SMALL(IF(ISNUMBER(FIND($AH$2,$C$2:$C$189)),ROW($2:$189)-1,4^8),ROW(A689)))&amp;"","")</f>
        <v/>
      </c>
      <c r="AT690" t="str">
        <f t="shared" si="452"/>
        <v>507134.4343,3338427.6499</v>
      </c>
      <c r="AV690">
        <f t="shared" si="453"/>
        <v>436.336</v>
      </c>
      <c r="AX690" t="str">
        <f t="shared" si="454"/>
        <v>pl 54552.874991352,279 54552.874991352,400 </v>
      </c>
      <c r="AY690" t="str">
        <f t="shared" si="455"/>
        <v>54552.874991352,432.836</v>
      </c>
      <c r="AZ690" t="str">
        <f t="shared" si="456"/>
        <v>54552.874991352,435.52</v>
      </c>
      <c r="BA690" t="str">
        <f t="shared" si="457"/>
        <v>54552.874991352,436.336</v>
      </c>
      <c r="BB690" t="str">
        <f t="shared" si="458"/>
        <v>-text 54551.874991352,337 3.5 90 432.836 </v>
      </c>
      <c r="BC690" t="str">
        <f t="shared" si="459"/>
        <v>-text 54551.874991352,320 3.5 90 436.336 </v>
      </c>
      <c r="BD690" t="str">
        <f t="shared" si="460"/>
        <v>-text 54551.874991352,306 3.5 90 435.520 </v>
      </c>
      <c r="BE690" t="str">
        <f t="shared" si="461"/>
        <v>-text 54551.874991352,352 3.5 90 ZG109+105.750 </v>
      </c>
      <c r="BF690" t="str">
        <f t="shared" si="462"/>
        <v>-text 54551.874991352,280 3.5 90 杨家湾隧出 </v>
      </c>
      <c r="BG690" t="str">
        <f t="shared" si="463"/>
        <v/>
      </c>
      <c r="BH690" t="str">
        <f t="shared" si="464"/>
        <v> </v>
      </c>
      <c r="BI690" t="str">
        <f t="shared" si="465"/>
        <v> </v>
      </c>
      <c r="BJ690" t="str">
        <f t="shared" si="466"/>
        <v> </v>
      </c>
    </row>
    <row r="691" spans="1:62">
      <c r="A691">
        <v>0</v>
      </c>
      <c r="B691">
        <v>690</v>
      </c>
      <c r="C691" t="s">
        <v>652</v>
      </c>
      <c r="D691" s="39">
        <v>507135.1946</v>
      </c>
      <c r="E691" s="39">
        <v>3338367.7412</v>
      </c>
      <c r="F691">
        <v>60</v>
      </c>
      <c r="G691">
        <f t="shared" si="472"/>
        <v>57.679</v>
      </c>
      <c r="H691">
        <f t="shared" si="467"/>
        <v>33.0391654071945</v>
      </c>
      <c r="I691">
        <f t="shared" si="468"/>
        <v>60.4013075554686</v>
      </c>
      <c r="J691">
        <f t="shared" si="469"/>
        <v>59.9135242811123</v>
      </c>
      <c r="K691" s="40">
        <f t="shared" ref="K691:K754" si="473">L691-I691/2</f>
        <v>109132.624341578</v>
      </c>
      <c r="L691" s="40">
        <f t="shared" ref="L691:L754" si="474">L690+J691-H691+I691/2+I690/2-H690</f>
        <v>109162.824995356</v>
      </c>
      <c r="M691" s="40">
        <f t="shared" ref="M691:M754" si="475">K691+I691</f>
        <v>109193.025649133</v>
      </c>
      <c r="N691">
        <v>435.533</v>
      </c>
      <c r="O691">
        <v>432.856</v>
      </c>
      <c r="P691">
        <v>0.002</v>
      </c>
      <c r="Q691" s="39">
        <f t="shared" si="470"/>
        <v>507134.775334437</v>
      </c>
      <c r="R691" s="39">
        <f t="shared" si="471"/>
        <v>3338400.77770507</v>
      </c>
      <c r="S691" s="39">
        <f t="shared" si="448"/>
        <v>507142.583509324</v>
      </c>
      <c r="T691" s="39">
        <f t="shared" si="449"/>
        <v>3338371.93295665</v>
      </c>
      <c r="U691" s="39">
        <f t="shared" si="450"/>
        <v>507163.33667427</v>
      </c>
      <c r="V691" s="39">
        <f t="shared" si="451"/>
        <v>3338350.43195084</v>
      </c>
      <c r="AI691" t="str">
        <f t="array" ref="AI691">IFERROR(INDEX($L$2:$L$189,SMALL(IF(ISNUMBER(FIND($AH$2,$C$2:$C$189)),ROW($2:$189)-1,4^8),ROW(A690)))&amp;"","")</f>
        <v/>
      </c>
      <c r="AS691" t="str">
        <f>"-text"&amp;" "&amp;D691&amp;","&amp;E691&amp;" "&amp;"10"&amp;" "&amp;"0"&amp;" "&amp;C691</f>
        <v>-text 507135.1946,3338367.7412 10 0 IP374</v>
      </c>
      <c r="AT691" t="str">
        <f t="shared" si="452"/>
        <v>507135.1946,3338367.7412</v>
      </c>
      <c r="AV691">
        <f t="shared" si="453"/>
        <v>436.706</v>
      </c>
      <c r="AX691" t="str">
        <f t="shared" si="454"/>
        <v>pl 54581.4124976778,279 54581.4124976778,400 </v>
      </c>
      <c r="AY691" t="str">
        <f t="shared" si="455"/>
        <v>54581.4124976778,432.856</v>
      </c>
      <c r="AZ691" t="str">
        <f t="shared" si="456"/>
        <v>54581.4124976778,435.533</v>
      </c>
      <c r="BA691" t="str">
        <f t="shared" si="457"/>
        <v>54581.4124976778,436.706</v>
      </c>
      <c r="BB691" t="str">
        <f t="shared" si="458"/>
        <v>-text 54580.4124976778,337 3.5 90 432.856 </v>
      </c>
      <c r="BC691" t="str">
        <f t="shared" si="459"/>
        <v>-text 54580.4124976778,320 3.5 90 436.706 </v>
      </c>
      <c r="BD691" t="str">
        <f t="shared" si="460"/>
        <v>-text 54580.4124976778,306 3.5 90 435.533 </v>
      </c>
      <c r="BE691" t="str">
        <f t="shared" si="461"/>
        <v>-text 54580.4124976778,352 3.5 90 ZG109+162.825 </v>
      </c>
      <c r="BF691" t="str">
        <f t="shared" si="462"/>
        <v>-text 54580.4124976778,280 3.5 90 IP374 </v>
      </c>
      <c r="BG691" t="str">
        <f t="shared" si="463"/>
        <v>-TEXT 54582.4124976778,300 3.5 0 R=60</v>
      </c>
      <c r="BH691" t="str">
        <f t="shared" si="464"/>
        <v>-TEXT 54582.4124976778,295 3.5 0 α=57.68° </v>
      </c>
      <c r="BI691" t="str">
        <f t="shared" si="465"/>
        <v>-TEXT 54582.4124976778,290 3.5 0 T=33.04 </v>
      </c>
      <c r="BJ691" t="str">
        <f t="shared" si="466"/>
        <v>-TEXT 54582.4124976778,285 3.5 0 S=60.40 </v>
      </c>
    </row>
    <row r="692" spans="1:62">
      <c r="A692">
        <v>0</v>
      </c>
      <c r="B692">
        <v>691</v>
      </c>
      <c r="C692" t="s">
        <v>653</v>
      </c>
      <c r="D692" s="39">
        <v>507209.084</v>
      </c>
      <c r="E692" s="39">
        <v>3338322.2943</v>
      </c>
      <c r="F692">
        <v>60</v>
      </c>
      <c r="G692">
        <f t="shared" si="472"/>
        <v>53.73</v>
      </c>
      <c r="H692">
        <f t="shared" si="467"/>
        <v>30.393666127064</v>
      </c>
      <c r="I692">
        <f t="shared" si="468"/>
        <v>56.2659244257932</v>
      </c>
      <c r="J692">
        <f t="shared" si="469"/>
        <v>86.7471276294237</v>
      </c>
      <c r="K692" s="40">
        <f t="shared" si="473"/>
        <v>109216.339945228</v>
      </c>
      <c r="L692" s="40">
        <f t="shared" si="474"/>
        <v>109244.472907441</v>
      </c>
      <c r="M692" s="40">
        <f t="shared" si="475"/>
        <v>109272.605869654</v>
      </c>
      <c r="N692">
        <v>435.516</v>
      </c>
      <c r="O692">
        <v>432.839</v>
      </c>
      <c r="P692">
        <v>0.002</v>
      </c>
      <c r="Q692" s="39">
        <f t="shared" si="470"/>
        <v>507183.195307022</v>
      </c>
      <c r="R692" s="39">
        <f t="shared" si="471"/>
        <v>3338338.21756966</v>
      </c>
      <c r="S692" s="39">
        <f t="shared" si="448"/>
        <v>507202.897394871</v>
      </c>
      <c r="T692" s="39">
        <f t="shared" si="449"/>
        <v>3338318.49708028</v>
      </c>
      <c r="U692" s="39">
        <f t="shared" si="450"/>
        <v>507211.56166677</v>
      </c>
      <c r="V692" s="39">
        <f t="shared" si="451"/>
        <v>3338292.00179089</v>
      </c>
      <c r="AI692" t="str">
        <f t="array" ref="AI692">IFERROR(INDEX($L$2:$L$189,SMALL(IF(ISNUMBER(FIND($AH$2,$C$2:$C$189)),ROW($2:$189)-1,4^8),ROW(A691)))&amp;"","")</f>
        <v/>
      </c>
      <c r="AS692" t="str">
        <f>"-text"&amp;" "&amp;D692&amp;","&amp;E692&amp;" "&amp;"10"&amp;" "&amp;"0"&amp;" "&amp;C692</f>
        <v>-text 507209.084,3338322.2943 10 0 IP375</v>
      </c>
      <c r="AT692" t="str">
        <f t="shared" si="452"/>
        <v>507209.084,3338322.2943</v>
      </c>
      <c r="AV692">
        <f t="shared" si="453"/>
        <v>436.689</v>
      </c>
      <c r="AX692" t="str">
        <f t="shared" si="454"/>
        <v>pl 54622.2364537207,279 54622.2364537207,400 </v>
      </c>
      <c r="AY692" t="str">
        <f t="shared" si="455"/>
        <v>54622.2364537207,432.839</v>
      </c>
      <c r="AZ692" t="str">
        <f t="shared" si="456"/>
        <v>54622.2364537207,435.516</v>
      </c>
      <c r="BA692" t="str">
        <f t="shared" si="457"/>
        <v>54622.2364537207,436.689</v>
      </c>
      <c r="BB692" t="str">
        <f t="shared" si="458"/>
        <v>-text 54621.2364537207,337 3.5 90 432.839 </v>
      </c>
      <c r="BC692" t="str">
        <f t="shared" si="459"/>
        <v>-text 54621.2364537207,320 3.5 90 436.689 </v>
      </c>
      <c r="BD692" t="str">
        <f t="shared" si="460"/>
        <v>-text 54621.2364537207,306 3.5 90 435.516 </v>
      </c>
      <c r="BE692" t="str">
        <f t="shared" si="461"/>
        <v>-text 54621.2364537207,352 3.5 90 ZG109+244.473 </v>
      </c>
      <c r="BF692" t="str">
        <f t="shared" si="462"/>
        <v>-text 54621.2364537207,280 3.5 90 IP375 </v>
      </c>
      <c r="BG692" t="str">
        <f t="shared" si="463"/>
        <v>-TEXT 54623.2364537207,300 3.5 0 R=60</v>
      </c>
      <c r="BH692" t="str">
        <f t="shared" si="464"/>
        <v>-TEXT 54623.2364537207,295 3.5 0 α=53.73° </v>
      </c>
      <c r="BI692" t="str">
        <f t="shared" si="465"/>
        <v>-TEXT 54623.2364537207,290 3.5 0 T=30.39 </v>
      </c>
      <c r="BJ692" t="str">
        <f t="shared" si="466"/>
        <v>-TEXT 54623.2364537207,285 3.5 0 S=56.27 </v>
      </c>
    </row>
    <row r="693" spans="1:62">
      <c r="A693">
        <v>0</v>
      </c>
      <c r="B693">
        <v>692</v>
      </c>
      <c r="C693" t="s">
        <v>654</v>
      </c>
      <c r="D693" s="39">
        <v>507219.3959</v>
      </c>
      <c r="E693" s="39">
        <v>3338196.2187</v>
      </c>
      <c r="F693">
        <v>60</v>
      </c>
      <c r="G693">
        <f t="shared" si="472"/>
        <v>32.152</v>
      </c>
      <c r="H693">
        <f t="shared" si="467"/>
        <v>17.2908868590002</v>
      </c>
      <c r="I693">
        <f t="shared" si="468"/>
        <v>33.669495666073</v>
      </c>
      <c r="J693">
        <f t="shared" si="469"/>
        <v>126.496609428852</v>
      </c>
      <c r="K693" s="40">
        <f t="shared" si="473"/>
        <v>109351.417926097</v>
      </c>
      <c r="L693" s="40">
        <f t="shared" si="474"/>
        <v>109368.25267393</v>
      </c>
      <c r="M693" s="40">
        <f t="shared" si="475"/>
        <v>109385.087421763</v>
      </c>
      <c r="N693">
        <v>435.491</v>
      </c>
      <c r="O693">
        <v>432.814</v>
      </c>
      <c r="P693">
        <v>0.001</v>
      </c>
      <c r="Q693" s="39">
        <f t="shared" si="470"/>
        <v>507217.986361064</v>
      </c>
      <c r="R693" s="39">
        <f t="shared" si="471"/>
        <v>3338213.45203886</v>
      </c>
      <c r="S693" s="39">
        <f t="shared" si="448"/>
        <v>507221.679261747</v>
      </c>
      <c r="T693" s="39">
        <f t="shared" si="449"/>
        <v>3338197.08387626</v>
      </c>
      <c r="U693" s="39">
        <f t="shared" si="450"/>
        <v>507229.760305258</v>
      </c>
      <c r="V693" s="39">
        <f t="shared" si="451"/>
        <v>3338182.37840116</v>
      </c>
      <c r="AI693" t="str">
        <f t="array" ref="AI693">IFERROR(INDEX($L$2:$L$189,SMALL(IF(ISNUMBER(FIND($AH$2,$C$2:$C$189)),ROW($2:$189)-1,4^8),ROW(A692)))&amp;"","")</f>
        <v/>
      </c>
      <c r="AS693" t="str">
        <f>"-text"&amp;" "&amp;D693&amp;","&amp;E693&amp;" "&amp;"10"&amp;" "&amp;"0"&amp;" "&amp;C693</f>
        <v>-text 507219.3959,3338196.2187 10 0 IP376</v>
      </c>
      <c r="AT693" t="str">
        <f t="shared" si="452"/>
        <v>507219.3959,3338196.2187</v>
      </c>
      <c r="AV693">
        <f t="shared" si="453"/>
        <v>436.664</v>
      </c>
      <c r="AX693" t="str">
        <f t="shared" si="454"/>
        <v>pl 54684.126336965,279 54684.126336965,400 </v>
      </c>
      <c r="AY693" t="str">
        <f t="shared" si="455"/>
        <v>54684.126336965,432.814</v>
      </c>
      <c r="AZ693" t="str">
        <f t="shared" si="456"/>
        <v>54684.126336965,435.491</v>
      </c>
      <c r="BA693" t="str">
        <f t="shared" si="457"/>
        <v>54684.126336965,436.664</v>
      </c>
      <c r="BB693" t="str">
        <f t="shared" si="458"/>
        <v>-text 54683.126336965,337 3.5 90 432.814 </v>
      </c>
      <c r="BC693" t="str">
        <f t="shared" si="459"/>
        <v>-text 54683.126336965,320 3.5 90 436.664 </v>
      </c>
      <c r="BD693" t="str">
        <f t="shared" si="460"/>
        <v>-text 54683.126336965,306 3.5 90 435.491 </v>
      </c>
      <c r="BE693" t="str">
        <f t="shared" si="461"/>
        <v>-text 54683.126336965,352 3.5 90 ZG109+368.253 </v>
      </c>
      <c r="BF693" t="str">
        <f t="shared" si="462"/>
        <v>-text 54683.126336965,280 3.5 90 IP376 </v>
      </c>
      <c r="BG693" t="str">
        <f t="shared" si="463"/>
        <v>-TEXT 54685.126336965,300 3.5 0 R=60</v>
      </c>
      <c r="BH693" t="str">
        <f t="shared" si="464"/>
        <v>-TEXT 54685.126336965,295 3.5 0 α=32.15° </v>
      </c>
      <c r="BI693" t="str">
        <f t="shared" si="465"/>
        <v>-TEXT 54685.126336965,290 3.5 0 T=17.29 </v>
      </c>
      <c r="BJ693" t="str">
        <f t="shared" si="466"/>
        <v>-TEXT 54685.126336965,285 3.5 0 S=33.67 </v>
      </c>
    </row>
    <row r="694" spans="1:62">
      <c r="A694">
        <v>2</v>
      </c>
      <c r="B694">
        <v>693</v>
      </c>
      <c r="C694" t="str">
        <f>Sheet1!C639</f>
        <v>桂花厅渡槽进</v>
      </c>
      <c r="D694" s="39">
        <v>507250.3046</v>
      </c>
      <c r="E694" s="39">
        <v>3338154.9442</v>
      </c>
      <c r="G694">
        <f>ROUND(IF((2*SQRT((D693-D694)^2+(E693-E694)^2)*SQRT((D695-D694)^2+(E695-E694)^2))=0,0,180-ACOS(((D693-D694)^2+(E693-E694)^2+(D695-D694)^2+(E695-E694)^2-(D695-D693)^2-(E695-E693)^2)/(2*SQRT((D693-D694)^2+(E693-E694)^2)*SQRT((D695-D694)^2+(E695-E694)^2)))/PI()*180),2)</f>
        <v>0</v>
      </c>
      <c r="H694">
        <f t="shared" si="467"/>
        <v>0</v>
      </c>
      <c r="I694">
        <f t="shared" si="468"/>
        <v>0</v>
      </c>
      <c r="J694">
        <f t="shared" si="469"/>
        <v>51.5648338110595</v>
      </c>
      <c r="K694" s="40">
        <f t="shared" si="473"/>
        <v>109419.361368715</v>
      </c>
      <c r="L694" s="40">
        <f t="shared" si="474"/>
        <v>109419.361368715</v>
      </c>
      <c r="M694" s="40">
        <f t="shared" si="475"/>
        <v>109419.361368715</v>
      </c>
      <c r="N694">
        <v>435.396</v>
      </c>
      <c r="O694">
        <v>432.702</v>
      </c>
      <c r="P694">
        <v>0</v>
      </c>
      <c r="Q694" s="39">
        <f t="shared" si="470"/>
        <v>507250.3046</v>
      </c>
      <c r="R694" s="39">
        <f t="shared" si="471"/>
        <v>3338154.9442</v>
      </c>
      <c r="S694" s="39" t="str">
        <f t="shared" si="448"/>
        <v> </v>
      </c>
      <c r="T694" s="39" t="str">
        <f t="shared" si="449"/>
        <v> </v>
      </c>
      <c r="U694" s="39" t="str">
        <f t="shared" si="450"/>
        <v> </v>
      </c>
      <c r="V694" s="39" t="str">
        <f t="shared" si="451"/>
        <v> </v>
      </c>
      <c r="AI694" t="str">
        <f t="array" ref="AI694">IFERROR(INDEX($L$2:$L$189,SMALL(IF(ISNUMBER(FIND($AH$2,$C$2:$C$189)),ROW($2:$189)-1,4^8),ROW(A693)))&amp;"","")</f>
        <v/>
      </c>
      <c r="AT694" t="str">
        <f t="shared" si="452"/>
        <v>507250.3046,3338154.9442</v>
      </c>
      <c r="AV694">
        <f t="shared" si="453"/>
        <v>435.952</v>
      </c>
      <c r="AX694" t="str">
        <f t="shared" si="454"/>
        <v>pl 54709.6806843576,279 54709.6806843576,400 </v>
      </c>
      <c r="AY694" t="str">
        <f t="shared" si="455"/>
        <v>54709.6806843576,432.702</v>
      </c>
      <c r="AZ694" t="str">
        <f t="shared" si="456"/>
        <v>54709.6806843576,435.396</v>
      </c>
      <c r="BA694" t="str">
        <f t="shared" si="457"/>
        <v>54709.6806843576,435.952</v>
      </c>
      <c r="BB694" t="str">
        <f t="shared" si="458"/>
        <v>-text 54708.6806843576,337 3.5 90 432.702 </v>
      </c>
      <c r="BC694" t="str">
        <f t="shared" si="459"/>
        <v>-text 54708.6806843576,320 3.5 90 435.952 </v>
      </c>
      <c r="BD694" t="str">
        <f t="shared" si="460"/>
        <v>-text 54708.6806843576,306 3.5 90 435.396 </v>
      </c>
      <c r="BE694" t="str">
        <f t="shared" si="461"/>
        <v>-text 54708.6806843576,352 3.5 90 ZG109+419.361 </v>
      </c>
      <c r="BF694" t="str">
        <f t="shared" si="462"/>
        <v>-text 54708.6806843576,280 3.5 90 桂花厅渡槽进 </v>
      </c>
      <c r="BG694" t="str">
        <f t="shared" si="463"/>
        <v/>
      </c>
      <c r="BH694" t="str">
        <f t="shared" si="464"/>
        <v> </v>
      </c>
      <c r="BI694" t="str">
        <f t="shared" si="465"/>
        <v> </v>
      </c>
      <c r="BJ694" t="str">
        <f t="shared" si="466"/>
        <v> </v>
      </c>
    </row>
    <row r="695" spans="1:62">
      <c r="A695">
        <v>2</v>
      </c>
      <c r="B695">
        <v>694</v>
      </c>
      <c r="C695" t="s">
        <v>656</v>
      </c>
      <c r="D695" s="39">
        <v>507287.0031</v>
      </c>
      <c r="E695" s="39">
        <v>3338105.9382</v>
      </c>
      <c r="F695">
        <v>60</v>
      </c>
      <c r="G695">
        <f t="shared" ref="G695:G726" si="476">ROUND(IF((2*SQRT((D694-D695)^2+(E694-E695)^2)*SQRT((D696-D695)^2+(E696-E695)^2))=0,0,180-ACOS(((D694-D695)^2+(E694-E695)^2+(D696-D695)^2+(E696-E695)^2-(D696-D694)^2-(E696-E694)^2)/(2*SQRT((D694-D695)^2+(E694-E695)^2)*SQRT((D696-D695)^2+(E696-E695)^2)))/PI()*180),3)</f>
        <v>31.434</v>
      </c>
      <c r="H695">
        <f t="shared" si="467"/>
        <v>16.8844499130621</v>
      </c>
      <c r="I695">
        <f t="shared" si="468"/>
        <v>32.9176078243139</v>
      </c>
      <c r="J695">
        <f t="shared" si="469"/>
        <v>61.2239163906505</v>
      </c>
      <c r="K695" s="40">
        <f t="shared" si="473"/>
        <v>109463.700835193</v>
      </c>
      <c r="L695" s="40">
        <f t="shared" si="474"/>
        <v>109480.159639105</v>
      </c>
      <c r="M695" s="40">
        <f t="shared" si="475"/>
        <v>109496.618443017</v>
      </c>
      <c r="N695">
        <v>435.367</v>
      </c>
      <c r="O695">
        <v>432.673</v>
      </c>
      <c r="P695">
        <v>0.003</v>
      </c>
      <c r="Q695" s="39">
        <f t="shared" si="470"/>
        <v>507276.882316789</v>
      </c>
      <c r="R695" s="39">
        <f t="shared" si="471"/>
        <v>3338119.45316933</v>
      </c>
      <c r="S695" s="39">
        <f t="shared" si="448"/>
        <v>507288.4203351</v>
      </c>
      <c r="T695" s="39">
        <f t="shared" si="449"/>
        <v>3338107.78818195</v>
      </c>
      <c r="U695" s="39">
        <f t="shared" si="450"/>
        <v>507302.68684678</v>
      </c>
      <c r="V695" s="39">
        <f t="shared" si="451"/>
        <v>3338099.68482205</v>
      </c>
      <c r="AI695" t="str">
        <f t="array" ref="AI695">IFERROR(INDEX($L$2:$L$189,SMALL(IF(ISNUMBER(FIND($AH$2,$C$2:$C$189)),ROW($2:$189)-1,4^8),ROW(A694)))&amp;"","")</f>
        <v/>
      </c>
      <c r="AS695" t="str">
        <f>"-text"&amp;" "&amp;D695&amp;","&amp;E695&amp;" "&amp;"10"&amp;" "&amp;"0"&amp;" "&amp;C695</f>
        <v>-text 507287.0031,3338105.9382 10 0 IP377</v>
      </c>
      <c r="AT695" t="str">
        <f t="shared" si="452"/>
        <v>507287.0031,3338105.9382</v>
      </c>
      <c r="AV695">
        <f t="shared" si="453"/>
        <v>435.923</v>
      </c>
      <c r="AX695" t="str">
        <f t="shared" si="454"/>
        <v>pl 54740.0798195525,279 54740.0798195525,400 </v>
      </c>
      <c r="AY695" t="str">
        <f t="shared" si="455"/>
        <v>54740.0798195525,432.673</v>
      </c>
      <c r="AZ695" t="str">
        <f t="shared" si="456"/>
        <v>54740.0798195525,435.367</v>
      </c>
      <c r="BA695" t="str">
        <f t="shared" si="457"/>
        <v>54740.0798195525,435.923</v>
      </c>
      <c r="BB695" t="str">
        <f t="shared" si="458"/>
        <v>-text 54739.0798195525,337 3.5 90 432.673 </v>
      </c>
      <c r="BC695" t="str">
        <f t="shared" si="459"/>
        <v>-text 54739.0798195525,320 3.5 90 435.923 </v>
      </c>
      <c r="BD695" t="str">
        <f t="shared" si="460"/>
        <v>-text 54739.0798195525,306 3.5 90 435.367 </v>
      </c>
      <c r="BE695" t="str">
        <f t="shared" si="461"/>
        <v>-text 54739.0798195525,352 3.5 90 ZG109+480.160 </v>
      </c>
      <c r="BF695" t="str">
        <f t="shared" si="462"/>
        <v>-text 54739.0798195525,280 3.5 90 IP377 </v>
      </c>
      <c r="BG695" t="str">
        <f t="shared" si="463"/>
        <v>-TEXT 54741.0798195525,300 3.5 0 R=60</v>
      </c>
      <c r="BH695" t="str">
        <f t="shared" si="464"/>
        <v>-TEXT 54741.0798195525,295 3.5 0 α=31.43° </v>
      </c>
      <c r="BI695" t="str">
        <f t="shared" si="465"/>
        <v>-TEXT 54741.0798195525,290 3.5 0 T=16.88 </v>
      </c>
      <c r="BJ695" t="str">
        <f t="shared" si="466"/>
        <v>-TEXT 54741.0798195525,285 3.5 0 S=32.92 </v>
      </c>
    </row>
    <row r="696" spans="1:62">
      <c r="A696">
        <v>2</v>
      </c>
      <c r="B696">
        <v>695</v>
      </c>
      <c r="C696" t="str">
        <f>Sheet1!C641</f>
        <v>桂花厅渡槽出</v>
      </c>
      <c r="D696" s="39">
        <v>507627.4959</v>
      </c>
      <c r="E696" s="39">
        <v>3337970.1779</v>
      </c>
      <c r="G696">
        <f t="shared" si="476"/>
        <v>0</v>
      </c>
      <c r="H696">
        <f t="shared" si="467"/>
        <v>0</v>
      </c>
      <c r="I696">
        <f t="shared" si="468"/>
        <v>0</v>
      </c>
      <c r="J696">
        <f t="shared" si="469"/>
        <v>366.559962227176</v>
      </c>
      <c r="K696" s="40">
        <f t="shared" si="473"/>
        <v>109846.293955331</v>
      </c>
      <c r="L696" s="40">
        <f t="shared" si="474"/>
        <v>109846.293955331</v>
      </c>
      <c r="M696" s="40">
        <f t="shared" si="475"/>
        <v>109846.293955331</v>
      </c>
      <c r="N696">
        <v>435.2</v>
      </c>
      <c r="O696">
        <v>432.506</v>
      </c>
      <c r="P696">
        <v>0</v>
      </c>
      <c r="Q696" s="39">
        <f t="shared" si="470"/>
        <v>507627.4959</v>
      </c>
      <c r="R696" s="39">
        <f t="shared" si="471"/>
        <v>3337970.1779</v>
      </c>
      <c r="S696" s="39" t="str">
        <f t="shared" si="448"/>
        <v> </v>
      </c>
      <c r="T696" s="39" t="str">
        <f t="shared" si="449"/>
        <v> </v>
      </c>
      <c r="U696" s="39" t="str">
        <f t="shared" si="450"/>
        <v> </v>
      </c>
      <c r="V696" s="39" t="str">
        <f t="shared" si="451"/>
        <v> </v>
      </c>
      <c r="AI696" t="str">
        <f t="array" ref="AI696">IFERROR(INDEX($L$2:$L$189,SMALL(IF(ISNUMBER(FIND($AH$2,$C$2:$C$189)),ROW($2:$189)-1,4^8),ROW(A695)))&amp;"","")</f>
        <v/>
      </c>
      <c r="AT696" t="str">
        <f t="shared" si="452"/>
        <v>507627.4959,3337970.1779</v>
      </c>
      <c r="AV696">
        <f t="shared" si="453"/>
        <v>435.756</v>
      </c>
      <c r="AX696" t="str">
        <f t="shared" si="454"/>
        <v>pl 54923.1469776656,279 54923.1469776656,400 </v>
      </c>
      <c r="AY696" t="str">
        <f t="shared" si="455"/>
        <v>54923.1469776656,432.506</v>
      </c>
      <c r="AZ696" t="str">
        <f t="shared" si="456"/>
        <v>54923.1469776656,435.2</v>
      </c>
      <c r="BA696" t="str">
        <f t="shared" si="457"/>
        <v>54923.1469776656,435.756</v>
      </c>
      <c r="BB696" t="str">
        <f t="shared" si="458"/>
        <v>-text 54922.1469776656,337 3.5 90 432.506 </v>
      </c>
      <c r="BC696" t="str">
        <f t="shared" si="459"/>
        <v>-text 54922.1469776656,320 3.5 90 435.756 </v>
      </c>
      <c r="BD696" t="str">
        <f t="shared" si="460"/>
        <v>-text 54922.1469776656,306 3.5 90 435.200 </v>
      </c>
      <c r="BE696" t="str">
        <f t="shared" si="461"/>
        <v>-text 54922.1469776656,352 3.5 90 ZG109+846.294 </v>
      </c>
      <c r="BF696" t="str">
        <f t="shared" si="462"/>
        <v>-text 54922.1469776656,280 3.5 90 桂花厅渡槽出 </v>
      </c>
      <c r="BG696" t="str">
        <f t="shared" si="463"/>
        <v/>
      </c>
      <c r="BH696" t="str">
        <f t="shared" si="464"/>
        <v> </v>
      </c>
      <c r="BI696" t="str">
        <f t="shared" si="465"/>
        <v> </v>
      </c>
      <c r="BJ696" t="str">
        <f t="shared" si="466"/>
        <v> </v>
      </c>
    </row>
    <row r="697" spans="1:62">
      <c r="A697">
        <v>0</v>
      </c>
      <c r="B697">
        <v>696</v>
      </c>
      <c r="C697" t="s">
        <v>657</v>
      </c>
      <c r="D697" s="39">
        <v>507688.539</v>
      </c>
      <c r="E697" s="39">
        <v>3337945.839</v>
      </c>
      <c r="F697">
        <v>60</v>
      </c>
      <c r="G697">
        <f t="shared" si="476"/>
        <v>19.486</v>
      </c>
      <c r="H697">
        <f t="shared" si="467"/>
        <v>10.302338948168</v>
      </c>
      <c r="I697">
        <f t="shared" si="468"/>
        <v>20.4056914826169</v>
      </c>
      <c r="J697">
        <f t="shared" si="469"/>
        <v>65.7163762757369</v>
      </c>
      <c r="K697" s="40">
        <f t="shared" si="473"/>
        <v>109901.707992659</v>
      </c>
      <c r="L697" s="40">
        <f t="shared" si="474"/>
        <v>109911.9108384</v>
      </c>
      <c r="M697" s="40">
        <f t="shared" si="475"/>
        <v>109922.113684141</v>
      </c>
      <c r="N697">
        <v>435.233</v>
      </c>
      <c r="O697">
        <v>432.556</v>
      </c>
      <c r="P697">
        <v>0.001</v>
      </c>
      <c r="Q697" s="39">
        <f t="shared" si="470"/>
        <v>507678.969289339</v>
      </c>
      <c r="R697" s="39">
        <f t="shared" si="471"/>
        <v>3337949.65460292</v>
      </c>
      <c r="S697" s="39">
        <f t="shared" si="448"/>
        <v>507688.080456006</v>
      </c>
      <c r="T697" s="39">
        <f t="shared" si="449"/>
        <v>3337945.0901703</v>
      </c>
      <c r="U697" s="39">
        <f t="shared" si="450"/>
        <v>507696.287762083</v>
      </c>
      <c r="V697" s="39">
        <f t="shared" si="451"/>
        <v>3337939.04967942</v>
      </c>
      <c r="AI697" t="str">
        <f t="array" ref="AI697">IFERROR(INDEX($L$2:$L$189,SMALL(IF(ISNUMBER(FIND($AH$2,$C$2:$C$189)),ROW($2:$189)-1,4^8),ROW(A696)))&amp;"","")</f>
        <v/>
      </c>
      <c r="AS697" t="str">
        <f>"-text"&amp;" "&amp;D697&amp;","&amp;E697&amp;" "&amp;"10"&amp;" "&amp;"0"&amp;" "&amp;C697</f>
        <v>-text 507688.539,3337945.839 10 0 IP378</v>
      </c>
      <c r="AT697" t="str">
        <f t="shared" si="452"/>
        <v>507688.539,3337945.839</v>
      </c>
      <c r="AV697">
        <f t="shared" si="453"/>
        <v>436.406</v>
      </c>
      <c r="AX697" t="str">
        <f t="shared" si="454"/>
        <v>pl 54955.9554192,279 54955.9554192,400 </v>
      </c>
      <c r="AY697" t="str">
        <f t="shared" si="455"/>
        <v>54955.9554192,432.556</v>
      </c>
      <c r="AZ697" t="str">
        <f t="shared" si="456"/>
        <v>54955.9554192,435.233</v>
      </c>
      <c r="BA697" t="str">
        <f t="shared" si="457"/>
        <v>54955.9554192,436.406</v>
      </c>
      <c r="BB697" t="str">
        <f t="shared" si="458"/>
        <v>-text 54954.9554192,337 3.5 90 432.556 </v>
      </c>
      <c r="BC697" t="str">
        <f t="shared" si="459"/>
        <v>-text 54954.9554192,320 3.5 90 436.406 </v>
      </c>
      <c r="BD697" t="str">
        <f t="shared" si="460"/>
        <v>-text 54954.9554192,306 3.5 90 435.233 </v>
      </c>
      <c r="BE697" t="str">
        <f t="shared" si="461"/>
        <v>-text 54954.9554192,352 3.5 90 ZG109+911.911 </v>
      </c>
      <c r="BF697" t="str">
        <f t="shared" si="462"/>
        <v>-text 54954.9554192,280 3.5 90 IP378 </v>
      </c>
      <c r="BG697" t="str">
        <f t="shared" si="463"/>
        <v>-TEXT 54956.9554192,300 3.5 0 R=60</v>
      </c>
      <c r="BH697" t="str">
        <f t="shared" si="464"/>
        <v>-TEXT 54956.9554192,295 3.5 0 α=19.49° </v>
      </c>
      <c r="BI697" t="str">
        <f t="shared" si="465"/>
        <v>-TEXT 54956.9554192,290 3.5 0 T=10.30 </v>
      </c>
      <c r="BJ697" t="str">
        <f t="shared" si="466"/>
        <v>-TEXT 54956.9554192,285 3.5 0 S=20.41 </v>
      </c>
    </row>
    <row r="698" spans="1:62">
      <c r="A698">
        <v>2</v>
      </c>
      <c r="B698">
        <v>697</v>
      </c>
      <c r="C698" t="str">
        <f>Sheet1!C643</f>
        <v>仁义坝渡槽进</v>
      </c>
      <c r="D698" s="39">
        <v>507708.6119</v>
      </c>
      <c r="E698" s="39">
        <v>3337928.2515</v>
      </c>
      <c r="G698">
        <f t="shared" si="476"/>
        <v>0</v>
      </c>
      <c r="H698">
        <f t="shared" si="467"/>
        <v>0</v>
      </c>
      <c r="I698">
        <f t="shared" si="468"/>
        <v>0</v>
      </c>
      <c r="J698">
        <f t="shared" si="469"/>
        <v>26.6878524927398</v>
      </c>
      <c r="K698" s="40">
        <f t="shared" si="473"/>
        <v>109938.499197686</v>
      </c>
      <c r="L698" s="40">
        <f t="shared" si="474"/>
        <v>109938.499197686</v>
      </c>
      <c r="M698" s="40">
        <f t="shared" si="475"/>
        <v>109938.499197686</v>
      </c>
      <c r="N698">
        <v>435.143</v>
      </c>
      <c r="O698">
        <v>432.449</v>
      </c>
      <c r="P698">
        <v>0</v>
      </c>
      <c r="Q698" s="39">
        <f t="shared" si="470"/>
        <v>507708.6119</v>
      </c>
      <c r="R698" s="39">
        <f t="shared" si="471"/>
        <v>3337928.2515</v>
      </c>
      <c r="S698" s="39" t="str">
        <f t="shared" si="448"/>
        <v> </v>
      </c>
      <c r="T698" s="39" t="str">
        <f t="shared" si="449"/>
        <v> </v>
      </c>
      <c r="U698" s="39" t="str">
        <f t="shared" si="450"/>
        <v> </v>
      </c>
      <c r="V698" s="39" t="str">
        <f t="shared" si="451"/>
        <v> </v>
      </c>
      <c r="AI698" t="str">
        <f t="array" ref="AI698">IFERROR(INDEX($L$2:$L$189,SMALL(IF(ISNUMBER(FIND($AH$2,$C$2:$C$189)),ROW($2:$189)-1,4^8),ROW(A697)))&amp;"","")</f>
        <v/>
      </c>
      <c r="AT698" t="str">
        <f t="shared" si="452"/>
        <v>507708.6119,3337928.2515</v>
      </c>
      <c r="AV698">
        <f t="shared" si="453"/>
        <v>435.699</v>
      </c>
      <c r="AX698" t="str">
        <f t="shared" si="454"/>
        <v>pl 54969.249598843,279 54969.249598843,400 </v>
      </c>
      <c r="AY698" t="str">
        <f t="shared" si="455"/>
        <v>54969.249598843,432.449</v>
      </c>
      <c r="AZ698" t="str">
        <f t="shared" si="456"/>
        <v>54969.249598843,435.143</v>
      </c>
      <c r="BA698" t="str">
        <f t="shared" si="457"/>
        <v>54969.249598843,435.699</v>
      </c>
      <c r="BB698" t="str">
        <f t="shared" si="458"/>
        <v>-text 54968.249598843,337 3.5 90 432.449 </v>
      </c>
      <c r="BC698" t="str">
        <f t="shared" si="459"/>
        <v>-text 54968.249598843,320 3.5 90 435.699 </v>
      </c>
      <c r="BD698" t="str">
        <f t="shared" si="460"/>
        <v>-text 54968.249598843,306 3.5 90 435.143 </v>
      </c>
      <c r="BE698" t="str">
        <f t="shared" si="461"/>
        <v>-text 54968.249598843,352 3.5 90 ZG109+938.499 </v>
      </c>
      <c r="BF698" t="str">
        <f t="shared" si="462"/>
        <v>-text 54968.249598843,280 3.5 90 仁义坝渡槽进 </v>
      </c>
      <c r="BG698" t="str">
        <f t="shared" si="463"/>
        <v/>
      </c>
      <c r="BH698" t="str">
        <f t="shared" si="464"/>
        <v> </v>
      </c>
      <c r="BI698" t="str">
        <f t="shared" si="465"/>
        <v> </v>
      </c>
      <c r="BJ698" t="str">
        <f t="shared" si="466"/>
        <v> </v>
      </c>
    </row>
    <row r="699" spans="1:62">
      <c r="A699">
        <v>2</v>
      </c>
      <c r="B699">
        <v>698</v>
      </c>
      <c r="C699" t="str">
        <f>Sheet1!C644</f>
        <v>仁义坝渡槽出</v>
      </c>
      <c r="D699" s="39">
        <v>507758.7816</v>
      </c>
      <c r="E699" s="39">
        <v>3337884.2937</v>
      </c>
      <c r="G699">
        <f t="shared" si="476"/>
        <v>0</v>
      </c>
      <c r="H699">
        <f t="shared" si="467"/>
        <v>0</v>
      </c>
      <c r="I699">
        <f t="shared" si="468"/>
        <v>0</v>
      </c>
      <c r="J699">
        <f t="shared" si="469"/>
        <v>66.7029757876267</v>
      </c>
      <c r="K699" s="40">
        <f t="shared" si="473"/>
        <v>110005.202173474</v>
      </c>
      <c r="L699" s="40">
        <f t="shared" si="474"/>
        <v>110005.202173474</v>
      </c>
      <c r="M699" s="40">
        <f t="shared" si="475"/>
        <v>110005.202173474</v>
      </c>
      <c r="N699">
        <v>435.112</v>
      </c>
      <c r="O699">
        <v>432.418</v>
      </c>
      <c r="P699">
        <v>0</v>
      </c>
      <c r="Q699" s="39">
        <f t="shared" si="470"/>
        <v>507758.7816</v>
      </c>
      <c r="R699" s="39">
        <f t="shared" si="471"/>
        <v>3337884.2937</v>
      </c>
      <c r="S699" s="39" t="str">
        <f t="shared" si="448"/>
        <v> </v>
      </c>
      <c r="T699" s="39" t="str">
        <f t="shared" si="449"/>
        <v> </v>
      </c>
      <c r="U699" s="39" t="str">
        <f t="shared" si="450"/>
        <v> </v>
      </c>
      <c r="V699" s="39" t="str">
        <f t="shared" si="451"/>
        <v> </v>
      </c>
      <c r="AI699" t="str">
        <f t="array" ref="AI699">IFERROR(INDEX($L$2:$L$189,SMALL(IF(ISNUMBER(FIND($AH$2,$C$2:$C$189)),ROW($2:$189)-1,4^8),ROW(A698)))&amp;"","")</f>
        <v/>
      </c>
      <c r="AT699" t="str">
        <f t="shared" si="452"/>
        <v>507758.7816,3337884.2937</v>
      </c>
      <c r="AV699">
        <f t="shared" si="453"/>
        <v>435.668</v>
      </c>
      <c r="AX699" t="str">
        <f t="shared" si="454"/>
        <v>pl 55002.6010867368,279 55002.6010867368,400 </v>
      </c>
      <c r="AY699" t="str">
        <f t="shared" si="455"/>
        <v>55002.6010867368,432.418</v>
      </c>
      <c r="AZ699" t="str">
        <f t="shared" si="456"/>
        <v>55002.6010867368,435.112</v>
      </c>
      <c r="BA699" t="str">
        <f t="shared" si="457"/>
        <v>55002.6010867368,435.668</v>
      </c>
      <c r="BB699" t="str">
        <f t="shared" si="458"/>
        <v>-text 55001.6010867368,337 3.5 90 432.418 </v>
      </c>
      <c r="BC699" t="str">
        <f t="shared" si="459"/>
        <v>-text 55001.6010867368,320 3.5 90 435.668 </v>
      </c>
      <c r="BD699" t="str">
        <f t="shared" si="460"/>
        <v>-text 55001.6010867368,306 3.5 90 435.112 </v>
      </c>
      <c r="BE699" t="str">
        <f t="shared" si="461"/>
        <v>-text 55001.6010867368,352 3.5 90 ZG110+005.202 </v>
      </c>
      <c r="BF699" t="str">
        <f t="shared" si="462"/>
        <v>-text 55001.6010867368,280 3.5 90 仁义坝渡槽出 </v>
      </c>
      <c r="BG699" t="str">
        <f t="shared" si="463"/>
        <v/>
      </c>
      <c r="BH699" t="str">
        <f t="shared" si="464"/>
        <v> </v>
      </c>
      <c r="BI699" t="str">
        <f t="shared" si="465"/>
        <v> </v>
      </c>
      <c r="BJ699" t="str">
        <f t="shared" si="466"/>
        <v> </v>
      </c>
    </row>
    <row r="700" spans="1:62">
      <c r="A700">
        <v>1</v>
      </c>
      <c r="B700">
        <v>699</v>
      </c>
      <c r="C700" t="str">
        <f>Sheet1!C645</f>
        <v>仁义坝隧进</v>
      </c>
      <c r="D700" s="39">
        <v>507770.2328</v>
      </c>
      <c r="E700" s="39">
        <v>3337874.2604</v>
      </c>
      <c r="G700">
        <f t="shared" si="476"/>
        <v>0</v>
      </c>
      <c r="H700">
        <f t="shared" si="467"/>
        <v>0</v>
      </c>
      <c r="I700">
        <f t="shared" si="468"/>
        <v>0</v>
      </c>
      <c r="J700">
        <f t="shared" si="469"/>
        <v>15.2248839183019</v>
      </c>
      <c r="K700" s="40">
        <f t="shared" si="473"/>
        <v>110020.427057392</v>
      </c>
      <c r="L700" s="40">
        <f t="shared" si="474"/>
        <v>110020.427057392</v>
      </c>
      <c r="M700" s="40">
        <f t="shared" si="475"/>
        <v>110020.427057392</v>
      </c>
      <c r="N700">
        <v>435.11</v>
      </c>
      <c r="O700">
        <v>432.426</v>
      </c>
      <c r="P700">
        <v>0</v>
      </c>
      <c r="Q700" s="39">
        <f t="shared" si="470"/>
        <v>507770.2328</v>
      </c>
      <c r="R700" s="39">
        <f t="shared" si="471"/>
        <v>3337874.2604</v>
      </c>
      <c r="S700" s="39" t="str">
        <f t="shared" si="448"/>
        <v> </v>
      </c>
      <c r="T700" s="39" t="str">
        <f t="shared" si="449"/>
        <v> </v>
      </c>
      <c r="U700" s="39" t="str">
        <f t="shared" si="450"/>
        <v> </v>
      </c>
      <c r="V700" s="39" t="str">
        <f t="shared" si="451"/>
        <v> </v>
      </c>
      <c r="AI700" t="str">
        <f t="array" ref="AI700">IFERROR(INDEX($L$2:$L$189,SMALL(IF(ISNUMBER(FIND($AH$2,$C$2:$C$189)),ROW($2:$189)-1,4^8),ROW(A699)))&amp;"","")</f>
        <v/>
      </c>
      <c r="AT700" t="str">
        <f t="shared" si="452"/>
        <v>507770.2328,3337874.2604</v>
      </c>
      <c r="AV700">
        <f t="shared" ref="AV700:AV763" si="477">IF(A700=0,O700+3.85,IF(A700=1,O700+3.5,O700+3.25))</f>
        <v>435.926</v>
      </c>
      <c r="AX700" t="str">
        <f t="shared" si="454"/>
        <v>pl 55010.2135286959,279 55010.2135286959,400 </v>
      </c>
      <c r="AY700" t="str">
        <f t="shared" si="455"/>
        <v>55010.2135286959,432.426</v>
      </c>
      <c r="AZ700" t="str">
        <f t="shared" si="456"/>
        <v>55010.2135286959,435.11</v>
      </c>
      <c r="BA700" t="str">
        <f t="shared" si="457"/>
        <v>55010.2135286959,435.926</v>
      </c>
      <c r="BB700" t="str">
        <f t="shared" si="458"/>
        <v>-text 55009.2135286959,337 3.5 90 432.426 </v>
      </c>
      <c r="BC700" t="str">
        <f t="shared" si="459"/>
        <v>-text 55009.2135286959,320 3.5 90 435.926 </v>
      </c>
      <c r="BD700" t="str">
        <f t="shared" si="460"/>
        <v>-text 55009.2135286959,306 3.5 90 435.110 </v>
      </c>
      <c r="BE700" t="str">
        <f t="shared" si="461"/>
        <v>-text 55009.2135286959,352 3.5 90 ZG110+020.427 </v>
      </c>
      <c r="BF700" t="str">
        <f t="shared" si="462"/>
        <v>-text 55009.2135286959,280 3.5 90 仁义坝隧进 </v>
      </c>
      <c r="BG700" t="str">
        <f t="shared" si="463"/>
        <v/>
      </c>
      <c r="BH700" t="str">
        <f t="shared" si="464"/>
        <v> </v>
      </c>
      <c r="BI700" t="str">
        <f t="shared" si="465"/>
        <v> </v>
      </c>
      <c r="BJ700" t="str">
        <f t="shared" si="466"/>
        <v> </v>
      </c>
    </row>
    <row r="701" spans="1:62">
      <c r="A701">
        <v>1</v>
      </c>
      <c r="B701">
        <v>700</v>
      </c>
      <c r="C701" t="str">
        <f>Sheet1!C646</f>
        <v>仁义坝隧出</v>
      </c>
      <c r="D701" s="39">
        <v>507841.8293</v>
      </c>
      <c r="E701" s="39">
        <v>3337811.5288</v>
      </c>
      <c r="G701">
        <f t="shared" si="476"/>
        <v>0</v>
      </c>
      <c r="H701">
        <f t="shared" si="467"/>
        <v>0</v>
      </c>
      <c r="I701">
        <f t="shared" si="468"/>
        <v>0</v>
      </c>
      <c r="J701">
        <f t="shared" si="469"/>
        <v>95.1909263050584</v>
      </c>
      <c r="K701" s="40">
        <f t="shared" si="473"/>
        <v>110115.617983697</v>
      </c>
      <c r="L701" s="40">
        <f t="shared" si="474"/>
        <v>110115.617983697</v>
      </c>
      <c r="M701" s="40">
        <f t="shared" si="475"/>
        <v>110115.617983697</v>
      </c>
      <c r="N701">
        <v>435.076</v>
      </c>
      <c r="O701">
        <v>432.392</v>
      </c>
      <c r="P701">
        <v>0</v>
      </c>
      <c r="Q701" s="39">
        <f t="shared" si="470"/>
        <v>507841.8293</v>
      </c>
      <c r="R701" s="39">
        <f t="shared" si="471"/>
        <v>3337811.5288</v>
      </c>
      <c r="S701" s="39" t="str">
        <f t="shared" si="448"/>
        <v> </v>
      </c>
      <c r="T701" s="39" t="str">
        <f t="shared" si="449"/>
        <v> </v>
      </c>
      <c r="U701" s="39" t="str">
        <f t="shared" si="450"/>
        <v> </v>
      </c>
      <c r="V701" s="39" t="str">
        <f t="shared" si="451"/>
        <v> </v>
      </c>
      <c r="AI701" t="str">
        <f t="array" ref="AI701">IFERROR(INDEX($L$2:$L$189,SMALL(IF(ISNUMBER(FIND($AH$2,$C$2:$C$189)),ROW($2:$189)-1,4^8),ROW(A700)))&amp;"","")</f>
        <v/>
      </c>
      <c r="AT701" t="str">
        <f t="shared" si="452"/>
        <v>507841.8293,3337811.5288</v>
      </c>
      <c r="AV701">
        <f t="shared" si="477"/>
        <v>435.892</v>
      </c>
      <c r="AX701" t="str">
        <f t="shared" si="454"/>
        <v>pl 55057.8089918485,279 55057.8089918485,400 </v>
      </c>
      <c r="AY701" t="str">
        <f t="shared" si="455"/>
        <v>55057.8089918485,432.392</v>
      </c>
      <c r="AZ701" t="str">
        <f t="shared" si="456"/>
        <v>55057.8089918485,435.076</v>
      </c>
      <c r="BA701" t="str">
        <f t="shared" si="457"/>
        <v>55057.8089918485,435.892</v>
      </c>
      <c r="BB701" t="str">
        <f t="shared" si="458"/>
        <v>-text 55056.8089918485,337 3.5 90 432.392 </v>
      </c>
      <c r="BC701" t="str">
        <f t="shared" si="459"/>
        <v>-text 55056.8089918485,320 3.5 90 435.892 </v>
      </c>
      <c r="BD701" t="str">
        <f t="shared" si="460"/>
        <v>-text 55056.8089918485,306 3.5 90 435.076 </v>
      </c>
      <c r="BE701" t="str">
        <f t="shared" si="461"/>
        <v>-text 55056.8089918485,352 3.5 90 ZG110+115.618 </v>
      </c>
      <c r="BF701" t="str">
        <f t="shared" si="462"/>
        <v>-text 55056.8089918485,280 3.5 90 仁义坝隧出 </v>
      </c>
      <c r="BG701" t="str">
        <f t="shared" si="463"/>
        <v/>
      </c>
      <c r="BH701" t="str">
        <f t="shared" si="464"/>
        <v> </v>
      </c>
      <c r="BI701" t="str">
        <f t="shared" si="465"/>
        <v> </v>
      </c>
      <c r="BJ701" t="str">
        <f t="shared" si="466"/>
        <v> </v>
      </c>
    </row>
    <row r="702" spans="1:62">
      <c r="A702">
        <v>0</v>
      </c>
      <c r="B702">
        <v>701</v>
      </c>
      <c r="C702" t="s">
        <v>658</v>
      </c>
      <c r="D702" s="39">
        <v>507859.445</v>
      </c>
      <c r="E702" s="39">
        <v>3337796.0942</v>
      </c>
      <c r="F702">
        <v>60</v>
      </c>
      <c r="G702">
        <f t="shared" si="476"/>
        <v>28.681</v>
      </c>
      <c r="H702">
        <f t="shared" si="467"/>
        <v>15.3389834492341</v>
      </c>
      <c r="I702">
        <f t="shared" si="468"/>
        <v>30.0346729658696</v>
      </c>
      <c r="J702">
        <f t="shared" si="469"/>
        <v>23.4209257640426</v>
      </c>
      <c r="K702" s="40">
        <f t="shared" si="473"/>
        <v>110123.699926012</v>
      </c>
      <c r="L702" s="40">
        <f t="shared" si="474"/>
        <v>110138.717262495</v>
      </c>
      <c r="M702" s="40">
        <f t="shared" si="475"/>
        <v>110153.734598978</v>
      </c>
      <c r="N702">
        <v>435.096</v>
      </c>
      <c r="O702">
        <v>432.419</v>
      </c>
      <c r="P702">
        <v>0.001</v>
      </c>
      <c r="Q702" s="39">
        <f t="shared" si="470"/>
        <v>507847.908012373</v>
      </c>
      <c r="R702" s="39">
        <f t="shared" si="471"/>
        <v>3337806.20272758</v>
      </c>
      <c r="S702" s="39">
        <f t="shared" si="448"/>
        <v>507857.853478645</v>
      </c>
      <c r="T702" s="39">
        <f t="shared" si="449"/>
        <v>3337795.00302448</v>
      </c>
      <c r="U702" s="39">
        <f t="shared" si="450"/>
        <v>507864.715082966</v>
      </c>
      <c r="V702" s="39">
        <f t="shared" si="451"/>
        <v>3337781.68897044</v>
      </c>
      <c r="AI702" t="str">
        <f t="array" ref="AI702">IFERROR(INDEX($L$2:$L$189,SMALL(IF(ISNUMBER(FIND($AH$2,$C$2:$C$189)),ROW($2:$189)-1,4^8),ROW(A701)))&amp;"","")</f>
        <v/>
      </c>
      <c r="AS702" t="str">
        <f>"-text"&amp;" "&amp;D702&amp;","&amp;E702&amp;" "&amp;"10"&amp;" "&amp;"0"&amp;" "&amp;C702</f>
        <v>-text 507859.445,3337796.0942 10 0 IP379</v>
      </c>
      <c r="AT702" t="str">
        <f t="shared" si="452"/>
        <v>507859.445,3337796.0942</v>
      </c>
      <c r="AV702">
        <f t="shared" si="477"/>
        <v>436.269</v>
      </c>
      <c r="AX702" t="str">
        <f t="shared" si="454"/>
        <v>pl 55069.3586312473,279 55069.3586312473,400 </v>
      </c>
      <c r="AY702" t="str">
        <f t="shared" si="455"/>
        <v>55069.3586312473,432.419</v>
      </c>
      <c r="AZ702" t="str">
        <f t="shared" si="456"/>
        <v>55069.3586312473,435.096</v>
      </c>
      <c r="BA702" t="str">
        <f t="shared" si="457"/>
        <v>55069.3586312473,436.269</v>
      </c>
      <c r="BB702" t="str">
        <f t="shared" si="458"/>
        <v>-text 55068.3586312473,337 3.5 90 432.419 </v>
      </c>
      <c r="BC702" t="str">
        <f t="shared" si="459"/>
        <v>-text 55068.3586312473,320 3.5 90 436.269 </v>
      </c>
      <c r="BD702" t="str">
        <f t="shared" si="460"/>
        <v>-text 55068.3586312473,306 3.5 90 435.096 </v>
      </c>
      <c r="BE702" t="str">
        <f t="shared" si="461"/>
        <v>-text 55068.3586312473,352 3.5 90 ZG110+138.717 </v>
      </c>
      <c r="BF702" t="str">
        <f t="shared" si="462"/>
        <v>-text 55068.3586312473,280 3.5 90 IP379 </v>
      </c>
      <c r="BG702" t="str">
        <f t="shared" si="463"/>
        <v>-TEXT 55070.3586312473,300 3.5 0 R=60</v>
      </c>
      <c r="BH702" t="str">
        <f t="shared" si="464"/>
        <v>-TEXT 55070.3586312473,295 3.5 0 α=28.68° </v>
      </c>
      <c r="BI702" t="str">
        <f t="shared" si="465"/>
        <v>-TEXT 55070.3586312473,290 3.5 0 T=15.34 </v>
      </c>
      <c r="BJ702" t="str">
        <f t="shared" si="466"/>
        <v>-TEXT 55070.3586312473,285 3.5 0 S=30.03 </v>
      </c>
    </row>
    <row r="703" spans="1:62">
      <c r="A703">
        <v>1</v>
      </c>
      <c r="B703">
        <v>702</v>
      </c>
      <c r="C703" t="str">
        <f>Sheet1!C648</f>
        <v>长坡隧进</v>
      </c>
      <c r="D703" s="39">
        <v>507868.9569</v>
      </c>
      <c r="E703" s="39">
        <v>3337770.0944</v>
      </c>
      <c r="G703">
        <f t="shared" si="476"/>
        <v>0</v>
      </c>
      <c r="H703">
        <f t="shared" si="467"/>
        <v>0</v>
      </c>
      <c r="I703">
        <f t="shared" si="468"/>
        <v>0</v>
      </c>
      <c r="J703">
        <f t="shared" si="469"/>
        <v>27.6851194988815</v>
      </c>
      <c r="K703" s="40">
        <f t="shared" si="473"/>
        <v>110166.080735027</v>
      </c>
      <c r="L703" s="40">
        <f t="shared" si="474"/>
        <v>110166.080735027</v>
      </c>
      <c r="M703" s="40">
        <f t="shared" si="475"/>
        <v>110166.080735027</v>
      </c>
      <c r="N703">
        <v>435.046</v>
      </c>
      <c r="O703">
        <v>432.362</v>
      </c>
      <c r="P703">
        <v>0</v>
      </c>
      <c r="Q703" s="39">
        <f t="shared" si="470"/>
        <v>507868.9569</v>
      </c>
      <c r="R703" s="39">
        <f t="shared" si="471"/>
        <v>3337770.0944</v>
      </c>
      <c r="S703" s="39" t="str">
        <f t="shared" si="448"/>
        <v> </v>
      </c>
      <c r="T703" s="39" t="str">
        <f t="shared" si="449"/>
        <v> </v>
      </c>
      <c r="U703" s="39" t="str">
        <f t="shared" si="450"/>
        <v> </v>
      </c>
      <c r="V703" s="39" t="str">
        <f t="shared" si="451"/>
        <v> </v>
      </c>
      <c r="AI703" t="str">
        <f t="array" ref="AI703">IFERROR(INDEX($L$2:$L$189,SMALL(IF(ISNUMBER(FIND($AH$2,$C$2:$C$189)),ROW($2:$189)-1,4^8),ROW(A702)))&amp;"","")</f>
        <v/>
      </c>
      <c r="AT703" t="str">
        <f t="shared" si="452"/>
        <v>507868.9569,3337770.0944</v>
      </c>
      <c r="AV703">
        <f t="shared" si="477"/>
        <v>435.862</v>
      </c>
      <c r="AX703" t="str">
        <f t="shared" si="454"/>
        <v>pl 55083.0403675136,279 55083.0403675136,400 </v>
      </c>
      <c r="AY703" t="str">
        <f t="shared" si="455"/>
        <v>55083.0403675136,432.362</v>
      </c>
      <c r="AZ703" t="str">
        <f t="shared" si="456"/>
        <v>55083.0403675136,435.046</v>
      </c>
      <c r="BA703" t="str">
        <f t="shared" si="457"/>
        <v>55083.0403675136,435.862</v>
      </c>
      <c r="BB703" t="str">
        <f t="shared" si="458"/>
        <v>-text 55082.0403675136,337 3.5 90 432.362 </v>
      </c>
      <c r="BC703" t="str">
        <f t="shared" si="459"/>
        <v>-text 55082.0403675136,320 3.5 90 435.862 </v>
      </c>
      <c r="BD703" t="str">
        <f t="shared" si="460"/>
        <v>-text 55082.0403675136,306 3.5 90 435.046 </v>
      </c>
      <c r="BE703" t="str">
        <f t="shared" si="461"/>
        <v>-text 55082.0403675136,352 3.5 90 ZG110+166.081 </v>
      </c>
      <c r="BF703" t="str">
        <f t="shared" si="462"/>
        <v>-text 55082.0403675136,280 3.5 90 长坡隧进 </v>
      </c>
      <c r="BG703" t="str">
        <f t="shared" si="463"/>
        <v/>
      </c>
      <c r="BH703" t="str">
        <f t="shared" si="464"/>
        <v> </v>
      </c>
      <c r="BI703" t="str">
        <f t="shared" si="465"/>
        <v> </v>
      </c>
      <c r="BJ703" t="str">
        <f t="shared" si="466"/>
        <v> </v>
      </c>
    </row>
    <row r="704" spans="1:62">
      <c r="A704">
        <v>1</v>
      </c>
      <c r="B704">
        <v>703</v>
      </c>
      <c r="C704" t="s">
        <v>660</v>
      </c>
      <c r="D704" s="39">
        <v>507919.8088</v>
      </c>
      <c r="E704" s="39">
        <v>3337631.0952</v>
      </c>
      <c r="F704">
        <v>60</v>
      </c>
      <c r="G704">
        <f t="shared" si="476"/>
        <v>48.894</v>
      </c>
      <c r="H704">
        <f t="shared" si="467"/>
        <v>27.2765751854239</v>
      </c>
      <c r="I704">
        <f t="shared" si="468"/>
        <v>51.2016770682064</v>
      </c>
      <c r="J704">
        <f t="shared" si="469"/>
        <v>148.009098822472</v>
      </c>
      <c r="K704" s="40">
        <f t="shared" si="473"/>
        <v>110286.813258664</v>
      </c>
      <c r="L704" s="40">
        <f t="shared" si="474"/>
        <v>110312.414097198</v>
      </c>
      <c r="M704" s="40">
        <f t="shared" si="475"/>
        <v>110338.014935733</v>
      </c>
      <c r="N704">
        <v>434.992</v>
      </c>
      <c r="O704">
        <v>432.308</v>
      </c>
      <c r="P704">
        <v>0.003</v>
      </c>
      <c r="Q704" s="39">
        <f t="shared" si="470"/>
        <v>507910.437310783</v>
      </c>
      <c r="R704" s="39">
        <f t="shared" si="471"/>
        <v>3337656.71134225</v>
      </c>
      <c r="S704" s="39">
        <f t="shared" si="448"/>
        <v>507924.020479842</v>
      </c>
      <c r="T704" s="39">
        <f t="shared" si="449"/>
        <v>3337635.24006108</v>
      </c>
      <c r="U704" s="39">
        <f t="shared" si="450"/>
        <v>507945.271807916</v>
      </c>
      <c r="V704" s="39">
        <f t="shared" si="451"/>
        <v>3337621.31528273</v>
      </c>
      <c r="AI704" t="str">
        <f t="array" ref="AI704">IFERROR(INDEX($L$2:$L$189,SMALL(IF(ISNUMBER(FIND($AH$2,$C$2:$C$189)),ROW($2:$189)-1,4^8),ROW(A703)))&amp;"","")</f>
        <v/>
      </c>
      <c r="AS704" t="str">
        <f>"-text"&amp;" "&amp;D704&amp;","&amp;E704&amp;" "&amp;"10"&amp;" "&amp;"0"&amp;" "&amp;C704</f>
        <v>-text 507919.8088,3337631.0952 10 0 IP380</v>
      </c>
      <c r="AT704" t="str">
        <f t="shared" si="452"/>
        <v>507919.8088,3337631.0952</v>
      </c>
      <c r="AV704">
        <f t="shared" si="477"/>
        <v>435.808</v>
      </c>
      <c r="AX704" t="str">
        <f t="shared" si="454"/>
        <v>pl 55156.2070485992,279 55156.2070485992,400 </v>
      </c>
      <c r="AY704" t="str">
        <f t="shared" si="455"/>
        <v>55156.2070485992,432.308</v>
      </c>
      <c r="AZ704" t="str">
        <f t="shared" si="456"/>
        <v>55156.2070485992,434.992</v>
      </c>
      <c r="BA704" t="str">
        <f t="shared" si="457"/>
        <v>55156.2070485992,435.808</v>
      </c>
      <c r="BB704" t="str">
        <f t="shared" si="458"/>
        <v>-text 55155.2070485992,337 3.5 90 432.308 </v>
      </c>
      <c r="BC704" t="str">
        <f t="shared" si="459"/>
        <v>-text 55155.2070485992,320 3.5 90 435.808 </v>
      </c>
      <c r="BD704" t="str">
        <f t="shared" si="460"/>
        <v>-text 55155.2070485992,306 3.5 90 434.992 </v>
      </c>
      <c r="BE704" t="str">
        <f t="shared" si="461"/>
        <v>-text 55155.2070485992,352 3.5 90 ZG110+312.414 </v>
      </c>
      <c r="BF704" t="str">
        <f t="shared" si="462"/>
        <v>-text 55155.2070485992,280 3.5 90 IP380 </v>
      </c>
      <c r="BG704" t="str">
        <f t="shared" si="463"/>
        <v>-TEXT 55157.2070485992,300 3.5 0 R=60</v>
      </c>
      <c r="BH704" t="str">
        <f t="shared" si="464"/>
        <v>-TEXT 55157.2070485992,295 3.5 0 α=48.89° </v>
      </c>
      <c r="BI704" t="str">
        <f t="shared" si="465"/>
        <v>-TEXT 55157.2070485992,290 3.5 0 T=27.28 </v>
      </c>
      <c r="BJ704" t="str">
        <f t="shared" si="466"/>
        <v>-TEXT 55157.2070485992,285 3.5 0 S=51.20 </v>
      </c>
    </row>
    <row r="705" spans="1:62">
      <c r="A705">
        <v>1</v>
      </c>
      <c r="B705">
        <v>704</v>
      </c>
      <c r="C705" t="str">
        <f>Sheet1!C650</f>
        <v>长坡隧出</v>
      </c>
      <c r="D705" s="39">
        <v>508016.5339</v>
      </c>
      <c r="E705" s="39">
        <v>3337593.9447</v>
      </c>
      <c r="G705">
        <f t="shared" si="476"/>
        <v>0</v>
      </c>
      <c r="H705">
        <f t="shared" si="467"/>
        <v>0</v>
      </c>
      <c r="I705">
        <f t="shared" si="468"/>
        <v>0</v>
      </c>
      <c r="J705">
        <f t="shared" si="469"/>
        <v>103.614210513112</v>
      </c>
      <c r="K705" s="40">
        <f t="shared" si="473"/>
        <v>110414.35257106</v>
      </c>
      <c r="L705" s="40">
        <f t="shared" si="474"/>
        <v>110414.35257106</v>
      </c>
      <c r="M705" s="40">
        <f t="shared" si="475"/>
        <v>110414.35257106</v>
      </c>
      <c r="N705">
        <v>434.954</v>
      </c>
      <c r="O705">
        <v>432.27</v>
      </c>
      <c r="P705">
        <v>0</v>
      </c>
      <c r="Q705" s="39">
        <f t="shared" si="470"/>
        <v>508016.5339</v>
      </c>
      <c r="R705" s="39">
        <f t="shared" si="471"/>
        <v>3337593.9447</v>
      </c>
      <c r="S705" s="39" t="str">
        <f t="shared" si="448"/>
        <v> </v>
      </c>
      <c r="T705" s="39" t="str">
        <f t="shared" si="449"/>
        <v> </v>
      </c>
      <c r="U705" s="39" t="str">
        <f t="shared" si="450"/>
        <v> </v>
      </c>
      <c r="V705" s="39" t="str">
        <f t="shared" si="451"/>
        <v> </v>
      </c>
      <c r="AI705" t="str">
        <f t="array" ref="AI705">IFERROR(INDEX($L$2:$L$189,SMALL(IF(ISNUMBER(FIND($AH$2,$C$2:$C$189)),ROW($2:$189)-1,4^8),ROW(A704)))&amp;"","")</f>
        <v/>
      </c>
      <c r="AT705" t="str">
        <f t="shared" si="452"/>
        <v>508016.5339,3337593.9447</v>
      </c>
      <c r="AV705">
        <f t="shared" si="477"/>
        <v>435.77</v>
      </c>
      <c r="AX705" t="str">
        <f t="shared" si="454"/>
        <v>pl 55207.1762855301,279 55207.1762855301,400 </v>
      </c>
      <c r="AY705" t="str">
        <f t="shared" si="455"/>
        <v>55207.1762855301,432.27</v>
      </c>
      <c r="AZ705" t="str">
        <f t="shared" si="456"/>
        <v>55207.1762855301,434.954</v>
      </c>
      <c r="BA705" t="str">
        <f t="shared" si="457"/>
        <v>55207.1762855301,435.77</v>
      </c>
      <c r="BB705" t="str">
        <f t="shared" si="458"/>
        <v>-text 55206.1762855301,337 3.5 90 432.270 </v>
      </c>
      <c r="BC705" t="str">
        <f t="shared" si="459"/>
        <v>-text 55206.1762855301,320 3.5 90 435.770 </v>
      </c>
      <c r="BD705" t="str">
        <f t="shared" si="460"/>
        <v>-text 55206.1762855301,306 3.5 90 434.954 </v>
      </c>
      <c r="BE705" t="str">
        <f t="shared" si="461"/>
        <v>-text 55206.1762855301,352 3.5 90 ZG110+414.353 </v>
      </c>
      <c r="BF705" t="str">
        <f t="shared" si="462"/>
        <v>-text 55206.1762855301,280 3.5 90 长坡隧出 </v>
      </c>
      <c r="BG705" t="str">
        <f t="shared" si="463"/>
        <v/>
      </c>
      <c r="BH705" t="str">
        <f t="shared" si="464"/>
        <v> </v>
      </c>
      <c r="BI705" t="str">
        <f t="shared" si="465"/>
        <v> </v>
      </c>
      <c r="BJ705" t="str">
        <f t="shared" si="466"/>
        <v> </v>
      </c>
    </row>
    <row r="706" spans="1:62">
      <c r="A706">
        <v>0</v>
      </c>
      <c r="B706">
        <v>705</v>
      </c>
      <c r="C706" t="s">
        <v>662</v>
      </c>
      <c r="D706" s="39">
        <v>508083.3569</v>
      </c>
      <c r="E706" s="39">
        <v>3337568.2791</v>
      </c>
      <c r="F706">
        <v>40</v>
      </c>
      <c r="G706">
        <f t="shared" si="476"/>
        <v>73.125</v>
      </c>
      <c r="H706">
        <f t="shared" si="467"/>
        <v>29.6660218508814</v>
      </c>
      <c r="I706">
        <f t="shared" si="468"/>
        <v>51.0508806208341</v>
      </c>
      <c r="J706">
        <f t="shared" si="469"/>
        <v>71.5823745929249</v>
      </c>
      <c r="K706" s="40">
        <f t="shared" si="473"/>
        <v>110456.268923802</v>
      </c>
      <c r="L706" s="40">
        <f t="shared" si="474"/>
        <v>110481.794364113</v>
      </c>
      <c r="M706" s="40">
        <f t="shared" si="475"/>
        <v>110507.319804423</v>
      </c>
      <c r="N706">
        <v>434.965</v>
      </c>
      <c r="O706">
        <v>432.288</v>
      </c>
      <c r="P706">
        <v>0.002</v>
      </c>
      <c r="Q706" s="39">
        <f t="shared" si="470"/>
        <v>508055.66331496</v>
      </c>
      <c r="R706" s="39">
        <f t="shared" si="471"/>
        <v>3337578.91574421</v>
      </c>
      <c r="S706" s="39">
        <f t="shared" si="448"/>
        <v>508075.084613239</v>
      </c>
      <c r="T706" s="39">
        <f t="shared" si="449"/>
        <v>3337563.02398895</v>
      </c>
      <c r="U706" s="39">
        <f t="shared" si="450"/>
        <v>508081.217185459</v>
      </c>
      <c r="V706" s="39">
        <f t="shared" si="451"/>
        <v>3337538.69034413</v>
      </c>
      <c r="AI706" t="str">
        <f t="array" ref="AI706">IFERROR(INDEX($L$2:$L$189,SMALL(IF(ISNUMBER(FIND($AH$2,$C$2:$C$189)),ROW($2:$189)-1,4^8),ROW(A705)))&amp;"","")</f>
        <v/>
      </c>
      <c r="AS706" t="str">
        <f>"-text"&amp;" "&amp;D706&amp;","&amp;E706&amp;" "&amp;"10"&amp;" "&amp;"0"&amp;" "&amp;C706</f>
        <v>-text 508083.3569,3337568.2791 10 0 IP381</v>
      </c>
      <c r="AT706" t="str">
        <f t="shared" si="452"/>
        <v>508083.3569,3337568.2791</v>
      </c>
      <c r="AV706">
        <f t="shared" si="477"/>
        <v>436.138</v>
      </c>
      <c r="AX706" t="str">
        <f t="shared" si="454"/>
        <v>pl 55240.8971820563,279 55240.8971820563,400 </v>
      </c>
      <c r="AY706" t="str">
        <f t="shared" si="455"/>
        <v>55240.8971820563,432.288</v>
      </c>
      <c r="AZ706" t="str">
        <f t="shared" si="456"/>
        <v>55240.8971820563,434.965</v>
      </c>
      <c r="BA706" t="str">
        <f t="shared" si="457"/>
        <v>55240.8971820563,436.138</v>
      </c>
      <c r="BB706" t="str">
        <f t="shared" si="458"/>
        <v>-text 55239.8971820563,337 3.5 90 432.288 </v>
      </c>
      <c r="BC706" t="str">
        <f t="shared" si="459"/>
        <v>-text 55239.8971820563,320 3.5 90 436.138 </v>
      </c>
      <c r="BD706" t="str">
        <f t="shared" si="460"/>
        <v>-text 55239.8971820563,306 3.5 90 434.965 </v>
      </c>
      <c r="BE706" t="str">
        <f t="shared" si="461"/>
        <v>-text 55239.8971820563,352 3.5 90 ZG110+481.794 </v>
      </c>
      <c r="BF706" t="str">
        <f t="shared" si="462"/>
        <v>-text 55239.8971820563,280 3.5 90 IP381 </v>
      </c>
      <c r="BG706" t="str">
        <f t="shared" si="463"/>
        <v>-TEXT 55241.8971820563,300 3.5 0 R=40</v>
      </c>
      <c r="BH706" t="str">
        <f t="shared" si="464"/>
        <v>-TEXT 55241.8971820563,295 3.5 0 α=73.13° </v>
      </c>
      <c r="BI706" t="str">
        <f t="shared" si="465"/>
        <v>-TEXT 55241.8971820563,290 3.5 0 T=29.67 </v>
      </c>
      <c r="BJ706" t="str">
        <f t="shared" si="466"/>
        <v>-TEXT 55241.8971820563,285 3.5 0 S=51.05 </v>
      </c>
    </row>
    <row r="707" spans="1:62">
      <c r="A707">
        <v>0</v>
      </c>
      <c r="B707">
        <v>706</v>
      </c>
      <c r="C707" t="s">
        <v>667</v>
      </c>
      <c r="D707" s="39">
        <v>508077.918</v>
      </c>
      <c r="E707" s="39">
        <v>3337493.068</v>
      </c>
      <c r="F707">
        <v>40</v>
      </c>
      <c r="G707">
        <f t="shared" si="476"/>
        <v>62.869</v>
      </c>
      <c r="H707">
        <f t="shared" si="467"/>
        <v>24.4491760470708</v>
      </c>
      <c r="I707">
        <f t="shared" si="468"/>
        <v>43.8908418974526</v>
      </c>
      <c r="J707">
        <f t="shared" si="469"/>
        <v>75.4075009293743</v>
      </c>
      <c r="K707" s="40">
        <f t="shared" si="473"/>
        <v>110528.612107455</v>
      </c>
      <c r="L707" s="40">
        <f t="shared" si="474"/>
        <v>110550.557528403</v>
      </c>
      <c r="M707" s="40">
        <f t="shared" si="475"/>
        <v>110572.502949352</v>
      </c>
      <c r="N707">
        <v>434.95</v>
      </c>
      <c r="O707">
        <v>432.273</v>
      </c>
      <c r="P707">
        <v>0.002</v>
      </c>
      <c r="Q707" s="39">
        <f t="shared" si="470"/>
        <v>508079.681440267</v>
      </c>
      <c r="R707" s="39">
        <f t="shared" si="471"/>
        <v>3337517.45349749</v>
      </c>
      <c r="S707" s="39">
        <f t="shared" si="448"/>
        <v>508084.032069694</v>
      </c>
      <c r="T707" s="39">
        <f t="shared" si="449"/>
        <v>3337496.22351587</v>
      </c>
      <c r="U707" s="39">
        <f t="shared" si="450"/>
        <v>508098.81619914</v>
      </c>
      <c r="V707" s="39">
        <f t="shared" si="451"/>
        <v>3337480.37833956</v>
      </c>
      <c r="AI707" t="str">
        <f t="array" ref="AI707">IFERROR(INDEX($L$2:$L$189,SMALL(IF(ISNUMBER(FIND($AH$2,$C$2:$C$189)),ROW($2:$189)-1,4^8),ROW(A706)))&amp;"","")</f>
        <v/>
      </c>
      <c r="AS707" t="str">
        <f>"-text"&amp;" "&amp;D707&amp;","&amp;E707&amp;" "&amp;"10"&amp;" "&amp;"0"&amp;" "&amp;C707</f>
        <v>-text 508077.918,3337493.068 10 0 IP382</v>
      </c>
      <c r="AT707" t="str">
        <f t="shared" si="452"/>
        <v>508077.918,3337493.068</v>
      </c>
      <c r="AV707">
        <f t="shared" si="477"/>
        <v>436.123</v>
      </c>
      <c r="AX707" t="str">
        <f t="shared" si="454"/>
        <v>pl 55275.2787642016,279 55275.2787642016,400 </v>
      </c>
      <c r="AY707" t="str">
        <f t="shared" si="455"/>
        <v>55275.2787642016,432.273</v>
      </c>
      <c r="AZ707" t="str">
        <f t="shared" si="456"/>
        <v>55275.2787642016,434.95</v>
      </c>
      <c r="BA707" t="str">
        <f t="shared" si="457"/>
        <v>55275.2787642016,436.123</v>
      </c>
      <c r="BB707" t="str">
        <f t="shared" si="458"/>
        <v>-text 55274.2787642016,337 3.5 90 432.273 </v>
      </c>
      <c r="BC707" t="str">
        <f t="shared" si="459"/>
        <v>-text 55274.2787642016,320 3.5 90 436.123 </v>
      </c>
      <c r="BD707" t="str">
        <f t="shared" si="460"/>
        <v>-text 55274.2787642016,306 3.5 90 434.950 </v>
      </c>
      <c r="BE707" t="str">
        <f t="shared" si="461"/>
        <v>-text 55274.2787642016,352 3.5 90 ZG110+550.558 </v>
      </c>
      <c r="BF707" t="str">
        <f t="shared" si="462"/>
        <v>-text 55274.2787642016,280 3.5 90 IP382 </v>
      </c>
      <c r="BG707" t="str">
        <f t="shared" si="463"/>
        <v>-TEXT 55276.2787642016,300 3.5 0 R=40</v>
      </c>
      <c r="BH707" t="str">
        <f t="shared" si="464"/>
        <v>-TEXT 55276.2787642016,295 3.5 0 α=62.87° </v>
      </c>
      <c r="BI707" t="str">
        <f t="shared" si="465"/>
        <v>-TEXT 55276.2787642016,290 3.5 0 T=24.45 </v>
      </c>
      <c r="BJ707" t="str">
        <f t="shared" si="466"/>
        <v>-TEXT 55276.2787642016,285 3.5 0 S=43.89 </v>
      </c>
    </row>
    <row r="708" spans="1:62">
      <c r="A708">
        <v>2</v>
      </c>
      <c r="B708">
        <v>707</v>
      </c>
      <c r="C708" t="str">
        <f>Sheet1!C653</f>
        <v>秦家湾渡槽进</v>
      </c>
      <c r="D708" s="39">
        <v>508167.394</v>
      </c>
      <c r="E708" s="39">
        <v>3337438.737</v>
      </c>
      <c r="G708">
        <f>ROUND(IF((2*SQRT((D707-D708)^2+(E707-E708)^2)*SQRT((D709-D708)^2+(E709-E708)^2))=0,0,180-ACOS(((D707-D708)^2+(E707-E708)^2+(D709-D708)^2+(E709-E708)^2-(D709-D707)^2-(E709-E707)^2)/(2*SQRT((D707-D708)^2+(E707-E708)^2)*SQRT((D709-D708)^2+(E709-E708)^2)))/PI()*180),2)</f>
        <v>0</v>
      </c>
      <c r="H708">
        <f t="shared" si="467"/>
        <v>0</v>
      </c>
      <c r="I708">
        <f t="shared" si="468"/>
        <v>0</v>
      </c>
      <c r="J708">
        <f t="shared" si="469"/>
        <v>104.679568861212</v>
      </c>
      <c r="K708" s="40">
        <f t="shared" si="473"/>
        <v>110652.733342166</v>
      </c>
      <c r="L708" s="40">
        <f t="shared" si="474"/>
        <v>110652.733342166</v>
      </c>
      <c r="M708" s="40">
        <f t="shared" si="475"/>
        <v>110652.733342166</v>
      </c>
      <c r="N708">
        <v>434.846</v>
      </c>
      <c r="O708">
        <v>432.152</v>
      </c>
      <c r="P708">
        <v>0</v>
      </c>
      <c r="Q708" s="39">
        <f t="shared" si="470"/>
        <v>508167.394</v>
      </c>
      <c r="R708" s="39">
        <f t="shared" si="471"/>
        <v>3337438.737</v>
      </c>
      <c r="S708" s="39" t="str">
        <f t="shared" si="448"/>
        <v> </v>
      </c>
      <c r="T708" s="39" t="str">
        <f t="shared" si="449"/>
        <v> </v>
      </c>
      <c r="U708" s="39" t="str">
        <f t="shared" si="450"/>
        <v> </v>
      </c>
      <c r="V708" s="39" t="str">
        <f t="shared" si="451"/>
        <v> </v>
      </c>
      <c r="AI708" t="str">
        <f t="array" ref="AI708">IFERROR(INDEX($L$2:$L$189,SMALL(IF(ISNUMBER(FIND($AH$2,$C$2:$C$189)),ROW($2:$189)-1,4^8),ROW(A707)))&amp;"","")</f>
        <v/>
      </c>
      <c r="AT708" t="str">
        <f t="shared" ref="AT708:AT771" si="478">D708&amp;","&amp;E708</f>
        <v>508167.394,3337438.737</v>
      </c>
      <c r="AV708">
        <f t="shared" si="477"/>
        <v>435.402</v>
      </c>
      <c r="AX708" t="str">
        <f t="shared" ref="AX708:AX771" si="479">"pl "&amp;L708/2&amp;",279 "&amp;L708/2&amp;",400 "</f>
        <v>pl 55326.3666710831,279 55326.3666710831,400 </v>
      </c>
      <c r="AY708" t="str">
        <f t="shared" ref="AY708:AY771" si="480">L708/2&amp;","&amp;O708</f>
        <v>55326.3666710831,432.152</v>
      </c>
      <c r="AZ708" t="str">
        <f t="shared" ref="AZ708:AZ771" si="481">L708/2&amp;","&amp;N708</f>
        <v>55326.3666710831,434.846</v>
      </c>
      <c r="BA708" t="str">
        <f t="shared" ref="BA708:BA771" si="482">L708/2&amp;","&amp;AV708</f>
        <v>55326.3666710831,435.402</v>
      </c>
      <c r="BB708" t="str">
        <f t="shared" ref="BB708:BB771" si="483">"-text "&amp;L708/2-1&amp;",337 3.5 90 "&amp;FIXED(O708,3)&amp;" "</f>
        <v>-text 55325.3666710831,337 3.5 90 432.152 </v>
      </c>
      <c r="BC708" t="str">
        <f t="shared" ref="BC708:BC771" si="484">"-text "&amp;L708/2-1&amp;",320 3.5 90 "&amp;FIXED(AV708,3)&amp;" "</f>
        <v>-text 55325.3666710831,320 3.5 90 435.402 </v>
      </c>
      <c r="BD708" t="str">
        <f t="shared" ref="BD708:BD771" si="485">"-text "&amp;L708/2-1&amp;",306 3.5 90 "&amp;FIXED(N708,3)&amp;" "</f>
        <v>-text 55325.3666710831,306 3.5 90 434.846 </v>
      </c>
      <c r="BE708" t="str">
        <f t="shared" ref="BE708:BE771" si="486">"-text "&amp;L708/2-1&amp;",352 3.5 90 "&amp;"ZG"&amp;TEXT(L708,"0+000.000")&amp;" "</f>
        <v>-text 55325.3666710831,352 3.5 90 ZG110+652.733 </v>
      </c>
      <c r="BF708" t="str">
        <f t="shared" ref="BF708:BF771" si="487">"-text "&amp;L708/2-1&amp;",280 3.5 90 "&amp;C708&amp;" "</f>
        <v>-text 55325.3666710831,280 3.5 90 秦家湾渡槽进 </v>
      </c>
      <c r="BG708" t="str">
        <f t="shared" ref="BG708:BG771" si="488">IF(G708&lt;0.01,"",("-TEXT "&amp;L708/2+1&amp;",300 3.5 0 "&amp;"R="&amp;FIXED(F708,0)))</f>
        <v/>
      </c>
      <c r="BH708" t="str">
        <f t="shared" ref="BH708:BH771" si="489">IF(G708&lt;0.01," ",("-TEXT "&amp;L708/2+1&amp;",295 3.5 0 "&amp;"α="&amp;FIXED(G708,2)&amp;"° "))</f>
        <v> </v>
      </c>
      <c r="BI708" t="str">
        <f t="shared" ref="BI708:BI771" si="490">IF(G708&lt;0.01," ",("-TEXT "&amp;L708/2+1&amp;",290 3.5 0 "&amp;"T="&amp;FIXED(H708,2)&amp;" "))</f>
        <v> </v>
      </c>
      <c r="BJ708" t="str">
        <f t="shared" ref="BJ708:BJ771" si="491">IF(G708&lt;0.01," ",("-TEXT "&amp;L708/2+1&amp;",285 3.5 0 "&amp;"S="&amp;FIXED(I708,2)&amp;" "))</f>
        <v> </v>
      </c>
    </row>
    <row r="709" spans="1:62">
      <c r="A709">
        <v>2</v>
      </c>
      <c r="B709">
        <v>708</v>
      </c>
      <c r="C709" t="s">
        <v>669</v>
      </c>
      <c r="D709" s="39">
        <v>508240.329</v>
      </c>
      <c r="E709" s="39">
        <v>3337394.449</v>
      </c>
      <c r="F709">
        <v>40</v>
      </c>
      <c r="G709">
        <f t="shared" si="476"/>
        <v>33.041</v>
      </c>
      <c r="H709">
        <f t="shared" si="467"/>
        <v>11.8641088924622</v>
      </c>
      <c r="I709">
        <f t="shared" si="468"/>
        <v>23.0669695260579</v>
      </c>
      <c r="J709">
        <f t="shared" si="469"/>
        <v>85.3284311881079</v>
      </c>
      <c r="K709" s="40">
        <f t="shared" si="473"/>
        <v>110726.197664462</v>
      </c>
      <c r="L709" s="40">
        <f t="shared" si="474"/>
        <v>110737.731149225</v>
      </c>
      <c r="M709" s="40">
        <f t="shared" si="475"/>
        <v>110749.264633988</v>
      </c>
      <c r="N709">
        <v>434.806</v>
      </c>
      <c r="O709">
        <v>432.112</v>
      </c>
      <c r="P709">
        <v>0.002</v>
      </c>
      <c r="Q709" s="39">
        <f t="shared" si="470"/>
        <v>508230.188080145</v>
      </c>
      <c r="R709" s="39">
        <f t="shared" si="471"/>
        <v>3337400.60682626</v>
      </c>
      <c r="S709" s="39">
        <f t="shared" si="448"/>
        <v>508240.767425988</v>
      </c>
      <c r="T709" s="39">
        <f t="shared" si="449"/>
        <v>3337396.11463172</v>
      </c>
      <c r="U709" s="39">
        <f t="shared" si="450"/>
        <v>508252.187425653</v>
      </c>
      <c r="V709" s="39">
        <f t="shared" si="451"/>
        <v>3337394.81617959</v>
      </c>
      <c r="AI709" t="str">
        <f t="array" ref="AI709">IFERROR(INDEX($L$2:$L$189,SMALL(IF(ISNUMBER(FIND($AH$2,$C$2:$C$189)),ROW($2:$189)-1,4^8),ROW(A708)))&amp;"","")</f>
        <v/>
      </c>
      <c r="AS709" t="str">
        <f>"-text"&amp;" "&amp;D709&amp;","&amp;E709&amp;" "&amp;"10"&amp;" "&amp;"0"&amp;" "&amp;C709</f>
        <v>-text 508240.329,3337394.449 10 0 IP383</v>
      </c>
      <c r="AT709" t="str">
        <f t="shared" si="478"/>
        <v>508240.329,3337394.449</v>
      </c>
      <c r="AV709">
        <f t="shared" si="477"/>
        <v>435.362</v>
      </c>
      <c r="AX709" t="str">
        <f t="shared" si="479"/>
        <v>pl 55368.8655746124,279 55368.8655746124,400 </v>
      </c>
      <c r="AY709" t="str">
        <f t="shared" si="480"/>
        <v>55368.8655746124,432.112</v>
      </c>
      <c r="AZ709" t="str">
        <f t="shared" si="481"/>
        <v>55368.8655746124,434.806</v>
      </c>
      <c r="BA709" t="str">
        <f t="shared" si="482"/>
        <v>55368.8655746124,435.362</v>
      </c>
      <c r="BB709" t="str">
        <f t="shared" si="483"/>
        <v>-text 55367.8655746124,337 3.5 90 432.112 </v>
      </c>
      <c r="BC709" t="str">
        <f t="shared" si="484"/>
        <v>-text 55367.8655746124,320 3.5 90 435.362 </v>
      </c>
      <c r="BD709" t="str">
        <f t="shared" si="485"/>
        <v>-text 55367.8655746124,306 3.5 90 434.806 </v>
      </c>
      <c r="BE709" t="str">
        <f t="shared" si="486"/>
        <v>-text 55367.8655746124,352 3.5 90 ZG110+737.731 </v>
      </c>
      <c r="BF709" t="str">
        <f t="shared" si="487"/>
        <v>-text 55367.8655746124,280 3.5 90 IP383 </v>
      </c>
      <c r="BG709" t="str">
        <f t="shared" si="488"/>
        <v>-TEXT 55369.8655746124,300 3.5 0 R=40</v>
      </c>
      <c r="BH709" t="str">
        <f t="shared" si="489"/>
        <v>-TEXT 55369.8655746124,295 3.5 0 α=33.04° </v>
      </c>
      <c r="BI709" t="str">
        <f t="shared" si="490"/>
        <v>-TEXT 55369.8655746124,290 3.5 0 T=11.86 </v>
      </c>
      <c r="BJ709" t="str">
        <f t="shared" si="491"/>
        <v>-TEXT 55369.8655746124,285 3.5 0 S=23.07 </v>
      </c>
    </row>
    <row r="710" spans="1:62">
      <c r="A710">
        <v>2</v>
      </c>
      <c r="B710">
        <v>709</v>
      </c>
      <c r="C710" t="s">
        <v>671</v>
      </c>
      <c r="D710" s="39">
        <v>508343.224</v>
      </c>
      <c r="E710" s="39">
        <v>3337397.635</v>
      </c>
      <c r="F710">
        <v>40</v>
      </c>
      <c r="G710">
        <f t="shared" si="476"/>
        <v>35.596</v>
      </c>
      <c r="H710">
        <f t="shared" si="467"/>
        <v>12.841054844265</v>
      </c>
      <c r="I710">
        <f t="shared" si="468"/>
        <v>24.8506960215961</v>
      </c>
      <c r="J710">
        <f t="shared" si="469"/>
        <v>102.944313203743</v>
      </c>
      <c r="K710" s="40">
        <f t="shared" si="473"/>
        <v>110827.503783455</v>
      </c>
      <c r="L710" s="40">
        <f t="shared" si="474"/>
        <v>110839.929131466</v>
      </c>
      <c r="M710" s="40">
        <f t="shared" si="475"/>
        <v>110852.354479476</v>
      </c>
      <c r="N710">
        <v>434.757</v>
      </c>
      <c r="O710">
        <v>432.063</v>
      </c>
      <c r="P710">
        <v>0.002</v>
      </c>
      <c r="Q710" s="39">
        <f t="shared" si="470"/>
        <v>508330.38909638</v>
      </c>
      <c r="R710" s="39">
        <f t="shared" si="471"/>
        <v>3337397.23758513</v>
      </c>
      <c r="S710" s="39">
        <f t="shared" si="448"/>
        <v>508342.668963463</v>
      </c>
      <c r="T710" s="39">
        <f t="shared" si="449"/>
        <v>3337395.70248871</v>
      </c>
      <c r="U710" s="39">
        <f t="shared" si="450"/>
        <v>508353.8918855</v>
      </c>
      <c r="V710" s="39">
        <f t="shared" si="451"/>
        <v>3337390.48734944</v>
      </c>
      <c r="AI710" t="str">
        <f t="array" ref="AI710">IFERROR(INDEX($L$2:$L$189,SMALL(IF(ISNUMBER(FIND($AH$2,$C$2:$C$189)),ROW($2:$189)-1,4^8),ROW(A709)))&amp;"","")</f>
        <v/>
      </c>
      <c r="AS710" t="str">
        <f>"-text"&amp;" "&amp;D710&amp;","&amp;E710&amp;" "&amp;"10"&amp;" "&amp;"0"&amp;" "&amp;C710</f>
        <v>-text 508343.224,3337397.635 10 0 IP384</v>
      </c>
      <c r="AT710" t="str">
        <f t="shared" si="478"/>
        <v>508343.224,3337397.635</v>
      </c>
      <c r="AV710">
        <f t="shared" si="477"/>
        <v>435.313</v>
      </c>
      <c r="AX710" t="str">
        <f t="shared" si="479"/>
        <v>pl 55419.9645657328,279 55419.9645657328,400 </v>
      </c>
      <c r="AY710" t="str">
        <f t="shared" si="480"/>
        <v>55419.9645657328,432.063</v>
      </c>
      <c r="AZ710" t="str">
        <f t="shared" si="481"/>
        <v>55419.9645657328,434.757</v>
      </c>
      <c r="BA710" t="str">
        <f t="shared" si="482"/>
        <v>55419.9645657328,435.313</v>
      </c>
      <c r="BB710" t="str">
        <f t="shared" si="483"/>
        <v>-text 55418.9645657328,337 3.5 90 432.063 </v>
      </c>
      <c r="BC710" t="str">
        <f t="shared" si="484"/>
        <v>-text 55418.9645657328,320 3.5 90 435.313 </v>
      </c>
      <c r="BD710" t="str">
        <f t="shared" si="485"/>
        <v>-text 55418.9645657328,306 3.5 90 434.757 </v>
      </c>
      <c r="BE710" t="str">
        <f t="shared" si="486"/>
        <v>-text 55418.9645657328,352 3.5 90 ZG110+839.929 </v>
      </c>
      <c r="BF710" t="str">
        <f t="shared" si="487"/>
        <v>-text 55418.9645657328,280 3.5 90 IP384 </v>
      </c>
      <c r="BG710" t="str">
        <f t="shared" si="488"/>
        <v>-TEXT 55420.9645657328,300 3.5 0 R=40</v>
      </c>
      <c r="BH710" t="str">
        <f t="shared" si="489"/>
        <v>-TEXT 55420.9645657328,295 3.5 0 α=35.60° </v>
      </c>
      <c r="BI710" t="str">
        <f t="shared" si="490"/>
        <v>-TEXT 55420.9645657328,290 3.5 0 T=12.84 </v>
      </c>
      <c r="BJ710" t="str">
        <f t="shared" si="491"/>
        <v>-TEXT 55420.9645657328,285 3.5 0 S=24.85 </v>
      </c>
    </row>
    <row r="711" spans="1:62">
      <c r="A711">
        <v>2</v>
      </c>
      <c r="B711">
        <v>710</v>
      </c>
      <c r="C711" t="str">
        <f>Sheet1!C656</f>
        <v>秦家湾渡槽出</v>
      </c>
      <c r="D711" s="39">
        <v>508460.572</v>
      </c>
      <c r="E711" s="39">
        <v>3337319.01</v>
      </c>
      <c r="G711">
        <f t="shared" si="476"/>
        <v>0</v>
      </c>
      <c r="H711">
        <f t="shared" si="467"/>
        <v>0</v>
      </c>
      <c r="I711">
        <f t="shared" si="468"/>
        <v>0</v>
      </c>
      <c r="J711">
        <f t="shared" si="469"/>
        <v>141.253119360245</v>
      </c>
      <c r="K711" s="40">
        <f t="shared" si="473"/>
        <v>110980.766543992</v>
      </c>
      <c r="L711" s="40">
        <f t="shared" si="474"/>
        <v>110980.766543992</v>
      </c>
      <c r="M711" s="40">
        <f t="shared" si="475"/>
        <v>110980.766543992</v>
      </c>
      <c r="N711">
        <v>434.692</v>
      </c>
      <c r="O711">
        <v>431.998</v>
      </c>
      <c r="P711">
        <v>0</v>
      </c>
      <c r="Q711" s="39">
        <f t="shared" si="470"/>
        <v>508460.572</v>
      </c>
      <c r="R711" s="39">
        <f t="shared" si="471"/>
        <v>3337319.01</v>
      </c>
      <c r="S711" s="39" t="str">
        <f t="shared" si="448"/>
        <v> </v>
      </c>
      <c r="T711" s="39" t="str">
        <f t="shared" si="449"/>
        <v> </v>
      </c>
      <c r="U711" s="39" t="str">
        <f t="shared" si="450"/>
        <v> </v>
      </c>
      <c r="V711" s="39" t="str">
        <f t="shared" si="451"/>
        <v> </v>
      </c>
      <c r="AI711" t="str">
        <f t="array" ref="AI711">IFERROR(INDEX($L$2:$L$189,SMALL(IF(ISNUMBER(FIND($AH$2,$C$2:$C$189)),ROW($2:$189)-1,4^8),ROW(A710)))&amp;"","")</f>
        <v/>
      </c>
      <c r="AT711" t="str">
        <f t="shared" si="478"/>
        <v>508460.572,3337319.01</v>
      </c>
      <c r="AV711">
        <f t="shared" si="477"/>
        <v>435.248</v>
      </c>
      <c r="AX711" t="str">
        <f t="shared" si="479"/>
        <v>pl 55490.3832719962,279 55490.3832719962,400 </v>
      </c>
      <c r="AY711" t="str">
        <f t="shared" si="480"/>
        <v>55490.3832719962,431.998</v>
      </c>
      <c r="AZ711" t="str">
        <f t="shared" si="481"/>
        <v>55490.3832719962,434.692</v>
      </c>
      <c r="BA711" t="str">
        <f t="shared" si="482"/>
        <v>55490.3832719962,435.248</v>
      </c>
      <c r="BB711" t="str">
        <f t="shared" si="483"/>
        <v>-text 55489.3832719962,337 3.5 90 431.998 </v>
      </c>
      <c r="BC711" t="str">
        <f t="shared" si="484"/>
        <v>-text 55489.3832719962,320 3.5 90 435.248 </v>
      </c>
      <c r="BD711" t="str">
        <f t="shared" si="485"/>
        <v>-text 55489.3832719962,306 3.5 90 434.692 </v>
      </c>
      <c r="BE711" t="str">
        <f t="shared" si="486"/>
        <v>-text 55489.3832719962,352 3.5 90 ZG110+980.767 </v>
      </c>
      <c r="BF711" t="str">
        <f t="shared" si="487"/>
        <v>-text 55489.3832719962,280 3.5 90 秦家湾渡槽出 </v>
      </c>
      <c r="BG711" t="str">
        <f t="shared" si="488"/>
        <v/>
      </c>
      <c r="BH711" t="str">
        <f t="shared" si="489"/>
        <v> </v>
      </c>
      <c r="BI711" t="str">
        <f t="shared" si="490"/>
        <v> </v>
      </c>
      <c r="BJ711" t="str">
        <f t="shared" si="491"/>
        <v> </v>
      </c>
    </row>
    <row r="712" spans="1:62">
      <c r="A712">
        <v>2</v>
      </c>
      <c r="B712">
        <v>711</v>
      </c>
      <c r="C712" t="str">
        <f>Sheet1!C657</f>
        <v>小沟湾渡槽进</v>
      </c>
      <c r="D712" s="39">
        <v>508565.55</v>
      </c>
      <c r="E712" s="39">
        <v>3337248.673</v>
      </c>
      <c r="G712">
        <f t="shared" si="476"/>
        <v>0</v>
      </c>
      <c r="H712">
        <f t="shared" si="467"/>
        <v>0</v>
      </c>
      <c r="I712">
        <f t="shared" si="468"/>
        <v>0</v>
      </c>
      <c r="J712">
        <f t="shared" si="469"/>
        <v>126.363262275774</v>
      </c>
      <c r="K712" s="40">
        <f t="shared" si="473"/>
        <v>111107.129806268</v>
      </c>
      <c r="L712" s="40">
        <f t="shared" si="474"/>
        <v>111107.129806268</v>
      </c>
      <c r="M712" s="40">
        <f t="shared" si="475"/>
        <v>111107.129806268</v>
      </c>
      <c r="N712">
        <v>434.629</v>
      </c>
      <c r="O712">
        <v>431.935</v>
      </c>
      <c r="P712">
        <v>0</v>
      </c>
      <c r="Q712" s="39">
        <f t="shared" si="470"/>
        <v>508565.55</v>
      </c>
      <c r="R712" s="39">
        <f t="shared" si="471"/>
        <v>3337248.673</v>
      </c>
      <c r="S712" s="39" t="str">
        <f t="shared" si="448"/>
        <v> </v>
      </c>
      <c r="T712" s="39" t="str">
        <f t="shared" si="449"/>
        <v> </v>
      </c>
      <c r="U712" s="39" t="str">
        <f t="shared" ref="U712:U775" si="492">IF(G712=0," ",D712+(D713-D712)/J713*H712)</f>
        <v> </v>
      </c>
      <c r="V712" s="39" t="str">
        <f t="shared" ref="V712:V775" si="493">IF(G712=0," ",E712+(E713-E712)/J713*H712)</f>
        <v> </v>
      </c>
      <c r="AI712" t="str">
        <f t="array" ref="AI712">IFERROR(INDEX($L$2:$L$189,SMALL(IF(ISNUMBER(FIND($AH$2,$C$2:$C$189)),ROW($2:$189)-1,4^8),ROW(A711)))&amp;"","")</f>
        <v/>
      </c>
      <c r="AT712" t="str">
        <f t="shared" si="478"/>
        <v>508565.55,3337248.673</v>
      </c>
      <c r="AV712">
        <f t="shared" si="477"/>
        <v>435.185</v>
      </c>
      <c r="AX712" t="str">
        <f t="shared" si="479"/>
        <v>pl 55553.5649031341,279 55553.5649031341,400 </v>
      </c>
      <c r="AY712" t="str">
        <f t="shared" si="480"/>
        <v>55553.5649031341,431.935</v>
      </c>
      <c r="AZ712" t="str">
        <f t="shared" si="481"/>
        <v>55553.5649031341,434.629</v>
      </c>
      <c r="BA712" t="str">
        <f t="shared" si="482"/>
        <v>55553.5649031341,435.185</v>
      </c>
      <c r="BB712" t="str">
        <f t="shared" si="483"/>
        <v>-text 55552.5649031341,337 3.5 90 431.935 </v>
      </c>
      <c r="BC712" t="str">
        <f t="shared" si="484"/>
        <v>-text 55552.5649031341,320 3.5 90 435.185 </v>
      </c>
      <c r="BD712" t="str">
        <f t="shared" si="485"/>
        <v>-text 55552.5649031341,306 3.5 90 434.629 </v>
      </c>
      <c r="BE712" t="str">
        <f t="shared" si="486"/>
        <v>-text 55552.5649031341,352 3.5 90 ZG111+107.130 </v>
      </c>
      <c r="BF712" t="str">
        <f t="shared" si="487"/>
        <v>-text 55552.5649031341,280 3.5 90 小沟湾渡槽进 </v>
      </c>
      <c r="BG712" t="str">
        <f t="shared" si="488"/>
        <v/>
      </c>
      <c r="BH712" t="str">
        <f t="shared" si="489"/>
        <v> </v>
      </c>
      <c r="BI712" t="str">
        <f t="shared" si="490"/>
        <v> </v>
      </c>
      <c r="BJ712" t="str">
        <f t="shared" si="491"/>
        <v> </v>
      </c>
    </row>
    <row r="713" spans="1:62">
      <c r="A713">
        <v>2</v>
      </c>
      <c r="B713">
        <v>712</v>
      </c>
      <c r="C713" t="s">
        <v>672</v>
      </c>
      <c r="D713" s="39">
        <v>508610.942</v>
      </c>
      <c r="E713" s="39">
        <v>3337218.26</v>
      </c>
      <c r="F713">
        <v>40</v>
      </c>
      <c r="G713">
        <f t="shared" si="476"/>
        <v>37.208</v>
      </c>
      <c r="H713">
        <f t="shared" ref="H713:H776" si="494">F713*TAN(PI()/180*G713/2)</f>
        <v>13.4645961287059</v>
      </c>
      <c r="I713">
        <f t="shared" ref="I713:I776" si="495">F713*G713/180*PI()</f>
        <v>25.976084323282</v>
      </c>
      <c r="J713">
        <f t="shared" ref="J713:J776" si="496">SQRT((D713-D712)^2+(E713-E712)^2)</f>
        <v>54.6386697587887</v>
      </c>
      <c r="K713" s="40">
        <f t="shared" si="473"/>
        <v>111148.303879898</v>
      </c>
      <c r="L713" s="40">
        <f t="shared" si="474"/>
        <v>111161.29192206</v>
      </c>
      <c r="M713" s="40">
        <f t="shared" si="475"/>
        <v>111174.279964222</v>
      </c>
      <c r="N713">
        <v>434.603</v>
      </c>
      <c r="O713">
        <v>431.909</v>
      </c>
      <c r="P713">
        <v>0.003</v>
      </c>
      <c r="Q713" s="39">
        <f t="shared" ref="Q713:Q776" si="497">IF(G713=0,D713,D712+(D713-D712)/J713*(J713-H713))</f>
        <v>508599.756058794</v>
      </c>
      <c r="R713" s="39">
        <f t="shared" ref="R713:R776" si="498">IF(G713=0,E713,E712+(E713-E712)/J713*(J713-H713))</f>
        <v>3337225.75466932</v>
      </c>
      <c r="S713" s="39">
        <f t="shared" ref="S713:S776" si="499">IF(G713=0," ",(Q713+U713)/2+(D713-(Q713+U713)/2)/(H713*SIN(G713/360*PI()))*(F713-F713*COS(G713/360*PI())))</f>
        <v>508609.194055698</v>
      </c>
      <c r="T713" s="39">
        <f t="shared" ref="T713:T776" si="500">IF(G713=0," ",(R713+V713)/2+(E713-(R713+V713)/2)/(H713*SIN(G713/360*PI()))*(F713-F713*COS(G713/360*PI())))</f>
        <v>3337216.91518976</v>
      </c>
      <c r="U713" s="39">
        <f t="shared" si="492"/>
        <v>508615.31883767</v>
      </c>
      <c r="V713" s="39">
        <f t="shared" si="493"/>
        <v>3337205.52663277</v>
      </c>
      <c r="AI713" t="str">
        <f t="array" ref="AI713">IFERROR(INDEX($L$2:$L$189,SMALL(IF(ISNUMBER(FIND($AH$2,$C$2:$C$189)),ROW($2:$189)-1,4^8),ROW(A712)))&amp;"","")</f>
        <v/>
      </c>
      <c r="AS713" t="str">
        <f>"-text"&amp;" "&amp;D713&amp;","&amp;E713&amp;" "&amp;"10"&amp;" "&amp;"0"&amp;" "&amp;C713</f>
        <v>-text 508610.942,3337218.26 10 0 IP385</v>
      </c>
      <c r="AT713" t="str">
        <f t="shared" si="478"/>
        <v>508610.942,3337218.26</v>
      </c>
      <c r="AV713">
        <f t="shared" si="477"/>
        <v>435.159</v>
      </c>
      <c r="AX713" t="str">
        <f t="shared" si="479"/>
        <v>pl 55580.64596103,279 55580.64596103,400 </v>
      </c>
      <c r="AY713" t="str">
        <f t="shared" si="480"/>
        <v>55580.64596103,431.909</v>
      </c>
      <c r="AZ713" t="str">
        <f t="shared" si="481"/>
        <v>55580.64596103,434.603</v>
      </c>
      <c r="BA713" t="str">
        <f t="shared" si="482"/>
        <v>55580.64596103,435.159</v>
      </c>
      <c r="BB713" t="str">
        <f t="shared" si="483"/>
        <v>-text 55579.64596103,337 3.5 90 431.909 </v>
      </c>
      <c r="BC713" t="str">
        <f t="shared" si="484"/>
        <v>-text 55579.64596103,320 3.5 90 435.159 </v>
      </c>
      <c r="BD713" t="str">
        <f t="shared" si="485"/>
        <v>-text 55579.64596103,306 3.5 90 434.603 </v>
      </c>
      <c r="BE713" t="str">
        <f t="shared" si="486"/>
        <v>-text 55579.64596103,352 3.5 90 ZG111+161.292 </v>
      </c>
      <c r="BF713" t="str">
        <f t="shared" si="487"/>
        <v>-text 55579.64596103,280 3.5 90 IP385 </v>
      </c>
      <c r="BG713" t="str">
        <f t="shared" si="488"/>
        <v>-TEXT 55581.64596103,300 3.5 0 R=40</v>
      </c>
      <c r="BH713" t="str">
        <f t="shared" si="489"/>
        <v>-TEXT 55581.64596103,295 3.5 0 α=37.21° </v>
      </c>
      <c r="BI713" t="str">
        <f t="shared" si="490"/>
        <v>-TEXT 55581.64596103,290 3.5 0 T=13.46 </v>
      </c>
      <c r="BJ713" t="str">
        <f t="shared" si="491"/>
        <v>-TEXT 55581.64596103,285 3.5 0 S=25.98 </v>
      </c>
    </row>
    <row r="714" spans="1:62">
      <c r="A714">
        <v>2</v>
      </c>
      <c r="B714">
        <v>713</v>
      </c>
      <c r="C714" t="str">
        <f>Sheet1!C659</f>
        <v>小沟湾渡槽出</v>
      </c>
      <c r="D714" s="39">
        <v>508640.709</v>
      </c>
      <c r="E714" s="39">
        <v>3337131.66</v>
      </c>
      <c r="G714">
        <f t="shared" si="476"/>
        <v>0</v>
      </c>
      <c r="H714">
        <f t="shared" si="494"/>
        <v>0</v>
      </c>
      <c r="I714">
        <f t="shared" si="495"/>
        <v>0</v>
      </c>
      <c r="J714">
        <f t="shared" si="496"/>
        <v>91.5731089836696</v>
      </c>
      <c r="K714" s="40">
        <f t="shared" si="473"/>
        <v>111252.388477077</v>
      </c>
      <c r="L714" s="40">
        <f t="shared" si="474"/>
        <v>111252.388477077</v>
      </c>
      <c r="M714" s="40">
        <f t="shared" si="475"/>
        <v>111252.388477077</v>
      </c>
      <c r="N714">
        <v>434.561</v>
      </c>
      <c r="O714">
        <v>431.867</v>
      </c>
      <c r="P714">
        <v>0</v>
      </c>
      <c r="Q714" s="39">
        <f t="shared" si="497"/>
        <v>508640.709</v>
      </c>
      <c r="R714" s="39">
        <f t="shared" si="498"/>
        <v>3337131.66</v>
      </c>
      <c r="S714" s="39" t="str">
        <f t="shared" si="499"/>
        <v> </v>
      </c>
      <c r="T714" s="39" t="str">
        <f t="shared" si="500"/>
        <v> </v>
      </c>
      <c r="U714" s="39" t="str">
        <f t="shared" si="492"/>
        <v> </v>
      </c>
      <c r="V714" s="39" t="str">
        <f t="shared" si="493"/>
        <v> </v>
      </c>
      <c r="AI714" t="str">
        <f t="array" ref="AI714">IFERROR(INDEX($L$2:$L$189,SMALL(IF(ISNUMBER(FIND($AH$2,$C$2:$C$189)),ROW($2:$189)-1,4^8),ROW(A713)))&amp;"","")</f>
        <v/>
      </c>
      <c r="AT714" t="str">
        <f t="shared" si="478"/>
        <v>508640.709,3337131.66</v>
      </c>
      <c r="AV714">
        <f t="shared" si="477"/>
        <v>435.117</v>
      </c>
      <c r="AX714" t="str">
        <f t="shared" si="479"/>
        <v>pl 55626.1942385383,279 55626.1942385383,400 </v>
      </c>
      <c r="AY714" t="str">
        <f t="shared" si="480"/>
        <v>55626.1942385383,431.867</v>
      </c>
      <c r="AZ714" t="str">
        <f t="shared" si="481"/>
        <v>55626.1942385383,434.561</v>
      </c>
      <c r="BA714" t="str">
        <f t="shared" si="482"/>
        <v>55626.1942385383,435.117</v>
      </c>
      <c r="BB714" t="str">
        <f t="shared" si="483"/>
        <v>-text 55625.1942385383,337 3.5 90 431.867 </v>
      </c>
      <c r="BC714" t="str">
        <f t="shared" si="484"/>
        <v>-text 55625.1942385383,320 3.5 90 435.117 </v>
      </c>
      <c r="BD714" t="str">
        <f t="shared" si="485"/>
        <v>-text 55625.1942385383,306 3.5 90 434.561 </v>
      </c>
      <c r="BE714" t="str">
        <f t="shared" si="486"/>
        <v>-text 55625.1942385383,352 3.5 90 ZG111+252.388 </v>
      </c>
      <c r="BF714" t="str">
        <f t="shared" si="487"/>
        <v>-text 55625.1942385383,280 3.5 90 小沟湾渡槽出 </v>
      </c>
      <c r="BG714" t="str">
        <f t="shared" si="488"/>
        <v/>
      </c>
      <c r="BH714" t="str">
        <f t="shared" si="489"/>
        <v> </v>
      </c>
      <c r="BI714" t="str">
        <f t="shared" si="490"/>
        <v> </v>
      </c>
      <c r="BJ714" t="str">
        <f t="shared" si="491"/>
        <v> </v>
      </c>
    </row>
    <row r="715" spans="1:62">
      <c r="A715">
        <v>0</v>
      </c>
      <c r="B715">
        <v>714</v>
      </c>
      <c r="C715" t="s">
        <v>674</v>
      </c>
      <c r="D715" s="39">
        <v>508650.911</v>
      </c>
      <c r="E715" s="39">
        <v>3337101.98</v>
      </c>
      <c r="F715">
        <v>40</v>
      </c>
      <c r="G715">
        <f t="shared" si="476"/>
        <v>20.195</v>
      </c>
      <c r="H715">
        <f t="shared" si="494"/>
        <v>7.12328451350739</v>
      </c>
      <c r="I715">
        <f t="shared" si="495"/>
        <v>14.0987696976102</v>
      </c>
      <c r="J715">
        <f t="shared" si="496"/>
        <v>31.3844420694544</v>
      </c>
      <c r="K715" s="40">
        <f t="shared" si="473"/>
        <v>111276.649634632</v>
      </c>
      <c r="L715" s="40">
        <f t="shared" si="474"/>
        <v>111283.699019481</v>
      </c>
      <c r="M715" s="40">
        <f t="shared" si="475"/>
        <v>111290.74840433</v>
      </c>
      <c r="N715">
        <v>434.6</v>
      </c>
      <c r="O715">
        <v>431.923</v>
      </c>
      <c r="P715">
        <v>0.001</v>
      </c>
      <c r="Q715" s="39">
        <f t="shared" si="497"/>
        <v>508648.595465811</v>
      </c>
      <c r="R715" s="39">
        <f t="shared" si="498"/>
        <v>3337108.71642959</v>
      </c>
      <c r="S715" s="39">
        <f t="shared" si="499"/>
        <v>508650.289223887</v>
      </c>
      <c r="T715" s="39">
        <f t="shared" si="500"/>
        <v>3337101.88294172</v>
      </c>
      <c r="U715" s="39">
        <f t="shared" si="492"/>
        <v>508650.758691325</v>
      </c>
      <c r="V715" s="39">
        <f t="shared" si="493"/>
        <v>3337094.85834399</v>
      </c>
      <c r="AI715" t="str">
        <f t="array" ref="AI715">IFERROR(INDEX($L$2:$L$189,SMALL(IF(ISNUMBER(FIND($AH$2,$C$2:$C$189)),ROW($2:$189)-1,4^8),ROW(A714)))&amp;"","")</f>
        <v/>
      </c>
      <c r="AS715" t="str">
        <f>"-text"&amp;" "&amp;D715&amp;","&amp;E715&amp;" "&amp;"10"&amp;" "&amp;"0"&amp;" "&amp;C715</f>
        <v>-text 508650.911,3337101.98 10 0 IP386</v>
      </c>
      <c r="AT715" t="str">
        <f t="shared" si="478"/>
        <v>508650.911,3337101.98</v>
      </c>
      <c r="AV715">
        <f t="shared" si="477"/>
        <v>435.773</v>
      </c>
      <c r="AX715" t="str">
        <f t="shared" si="479"/>
        <v>pl 55641.8495097406,279 55641.8495097406,400 </v>
      </c>
      <c r="AY715" t="str">
        <f t="shared" si="480"/>
        <v>55641.8495097406,431.923</v>
      </c>
      <c r="AZ715" t="str">
        <f t="shared" si="481"/>
        <v>55641.8495097406,434.6</v>
      </c>
      <c r="BA715" t="str">
        <f t="shared" si="482"/>
        <v>55641.8495097406,435.773</v>
      </c>
      <c r="BB715" t="str">
        <f t="shared" si="483"/>
        <v>-text 55640.8495097406,337 3.5 90 431.923 </v>
      </c>
      <c r="BC715" t="str">
        <f t="shared" si="484"/>
        <v>-text 55640.8495097406,320 3.5 90 435.773 </v>
      </c>
      <c r="BD715" t="str">
        <f t="shared" si="485"/>
        <v>-text 55640.8495097406,306 3.5 90 434.600 </v>
      </c>
      <c r="BE715" t="str">
        <f t="shared" si="486"/>
        <v>-text 55640.8495097406,352 3.5 90 ZG111+283.699 </v>
      </c>
      <c r="BF715" t="str">
        <f t="shared" si="487"/>
        <v>-text 55640.8495097406,280 3.5 90 IP386 </v>
      </c>
      <c r="BG715" t="str">
        <f t="shared" si="488"/>
        <v>-TEXT 55642.8495097406,300 3.5 0 R=40</v>
      </c>
      <c r="BH715" t="str">
        <f t="shared" si="489"/>
        <v>-TEXT 55642.8495097406,295 3.5 0 α=20.20° </v>
      </c>
      <c r="BI715" t="str">
        <f t="shared" si="490"/>
        <v>-TEXT 55642.8495097406,290 3.5 0 T=7.12 </v>
      </c>
      <c r="BJ715" t="str">
        <f t="shared" si="491"/>
        <v>-TEXT 55642.8495097406,285 3.5 0 S=14.10 </v>
      </c>
    </row>
    <row r="716" spans="1:62">
      <c r="A716">
        <v>0</v>
      </c>
      <c r="B716">
        <v>715</v>
      </c>
      <c r="C716" t="s">
        <v>675</v>
      </c>
      <c r="D716" s="39">
        <v>508649.171</v>
      </c>
      <c r="E716" s="39">
        <v>3337020.621</v>
      </c>
      <c r="F716">
        <v>40</v>
      </c>
      <c r="G716">
        <f t="shared" si="476"/>
        <v>35.832</v>
      </c>
      <c r="H716">
        <f t="shared" si="494"/>
        <v>12.9319844966856</v>
      </c>
      <c r="I716">
        <f t="shared" si="495"/>
        <v>25.0154551029843</v>
      </c>
      <c r="J716">
        <f t="shared" si="496"/>
        <v>81.3776042964405</v>
      </c>
      <c r="K716" s="40">
        <f t="shared" si="473"/>
        <v>111352.070739616</v>
      </c>
      <c r="L716" s="40">
        <f t="shared" si="474"/>
        <v>111364.578467168</v>
      </c>
      <c r="M716" s="40">
        <f t="shared" si="475"/>
        <v>111377.086194719</v>
      </c>
      <c r="N716">
        <v>434.584</v>
      </c>
      <c r="O716">
        <v>431.907</v>
      </c>
      <c r="P716">
        <v>0.001</v>
      </c>
      <c r="Q716" s="39">
        <f t="shared" si="497"/>
        <v>508649.44750916</v>
      </c>
      <c r="R716" s="39">
        <f t="shared" si="498"/>
        <v>3337033.55002803</v>
      </c>
      <c r="S716" s="39">
        <f t="shared" si="499"/>
        <v>508651.123629022</v>
      </c>
      <c r="T716" s="39">
        <f t="shared" si="500"/>
        <v>3337021.20647795</v>
      </c>
      <c r="U716" s="39">
        <f t="shared" si="492"/>
        <v>508656.51563525</v>
      </c>
      <c r="V716" s="39">
        <f t="shared" si="493"/>
        <v>3337009.9771024</v>
      </c>
      <c r="AI716" t="str">
        <f t="array" ref="AI716">IFERROR(INDEX($L$2:$L$189,SMALL(IF(ISNUMBER(FIND($AH$2,$C$2:$C$189)),ROW($2:$189)-1,4^8),ROW(A715)))&amp;"","")</f>
        <v/>
      </c>
      <c r="AS716" t="str">
        <f>"-text"&amp;" "&amp;D716&amp;","&amp;E716&amp;" "&amp;"10"&amp;" "&amp;"0"&amp;" "&amp;C716</f>
        <v>-text 508649.171,3337020.621 10 0 IP387</v>
      </c>
      <c r="AT716" t="str">
        <f t="shared" si="478"/>
        <v>508649.171,3337020.621</v>
      </c>
      <c r="AV716">
        <f t="shared" si="477"/>
        <v>435.757</v>
      </c>
      <c r="AX716" t="str">
        <f t="shared" si="479"/>
        <v>pl 55682.2892335839,279 55682.2892335839,400 </v>
      </c>
      <c r="AY716" t="str">
        <f t="shared" si="480"/>
        <v>55682.2892335839,431.907</v>
      </c>
      <c r="AZ716" t="str">
        <f t="shared" si="481"/>
        <v>55682.2892335839,434.584</v>
      </c>
      <c r="BA716" t="str">
        <f t="shared" si="482"/>
        <v>55682.2892335839,435.757</v>
      </c>
      <c r="BB716" t="str">
        <f t="shared" si="483"/>
        <v>-text 55681.2892335839,337 3.5 90 431.907 </v>
      </c>
      <c r="BC716" t="str">
        <f t="shared" si="484"/>
        <v>-text 55681.2892335839,320 3.5 90 435.757 </v>
      </c>
      <c r="BD716" t="str">
        <f t="shared" si="485"/>
        <v>-text 55681.2892335839,306 3.5 90 434.584 </v>
      </c>
      <c r="BE716" t="str">
        <f t="shared" si="486"/>
        <v>-text 55681.2892335839,352 3.5 90 ZG111+364.578 </v>
      </c>
      <c r="BF716" t="str">
        <f t="shared" si="487"/>
        <v>-text 55681.2892335839,280 3.5 90 IP387 </v>
      </c>
      <c r="BG716" t="str">
        <f t="shared" si="488"/>
        <v>-TEXT 55683.2892335839,300 3.5 0 R=40</v>
      </c>
      <c r="BH716" t="str">
        <f t="shared" si="489"/>
        <v>-TEXT 55683.2892335839,295 3.5 0 α=35.83° </v>
      </c>
      <c r="BI716" t="str">
        <f t="shared" si="490"/>
        <v>-TEXT 55683.2892335839,290 3.5 0 T=12.93 </v>
      </c>
      <c r="BJ716" t="str">
        <f t="shared" si="491"/>
        <v>-TEXT 55683.2892335839,285 3.5 0 S=25.02 </v>
      </c>
    </row>
    <row r="717" spans="1:62">
      <c r="A717">
        <v>2</v>
      </c>
      <c r="B717">
        <v>716</v>
      </c>
      <c r="C717" t="str">
        <f>Sheet1!C662</f>
        <v>宝堂寺渡槽进</v>
      </c>
      <c r="D717" s="39">
        <v>508665.945</v>
      </c>
      <c r="E717" s="39">
        <v>3336996.312</v>
      </c>
      <c r="G717">
        <f t="shared" si="476"/>
        <v>0</v>
      </c>
      <c r="H717">
        <f t="shared" si="494"/>
        <v>0</v>
      </c>
      <c r="I717">
        <f t="shared" si="495"/>
        <v>0</v>
      </c>
      <c r="J717">
        <f t="shared" si="496"/>
        <v>29.5346331786242</v>
      </c>
      <c r="K717" s="40">
        <f t="shared" si="473"/>
        <v>111393.688843401</v>
      </c>
      <c r="L717" s="40">
        <f t="shared" si="474"/>
        <v>111393.688843401</v>
      </c>
      <c r="M717" s="40">
        <f t="shared" si="475"/>
        <v>111393.688843401</v>
      </c>
      <c r="N717">
        <v>434.494</v>
      </c>
      <c r="O717">
        <v>431.8</v>
      </c>
      <c r="P717">
        <v>0</v>
      </c>
      <c r="Q717" s="39">
        <f t="shared" si="497"/>
        <v>508665.945</v>
      </c>
      <c r="R717" s="39">
        <f t="shared" si="498"/>
        <v>3336996.312</v>
      </c>
      <c r="S717" s="39" t="str">
        <f t="shared" si="499"/>
        <v> </v>
      </c>
      <c r="T717" s="39" t="str">
        <f t="shared" si="500"/>
        <v> </v>
      </c>
      <c r="U717" s="39" t="str">
        <f t="shared" si="492"/>
        <v> </v>
      </c>
      <c r="V717" s="39" t="str">
        <f t="shared" si="493"/>
        <v> </v>
      </c>
      <c r="AI717" t="str">
        <f t="array" ref="AI717">IFERROR(INDEX($L$2:$L$189,SMALL(IF(ISNUMBER(FIND($AH$2,$C$2:$C$189)),ROW($2:$189)-1,4^8),ROW(A716)))&amp;"","")</f>
        <v/>
      </c>
      <c r="AT717" t="str">
        <f t="shared" si="478"/>
        <v>508665.945,3336996.312</v>
      </c>
      <c r="AV717">
        <f t="shared" si="477"/>
        <v>435.05</v>
      </c>
      <c r="AX717" t="str">
        <f t="shared" si="479"/>
        <v>pl 55696.8444217006,279 55696.8444217006,400 </v>
      </c>
      <c r="AY717" t="str">
        <f t="shared" si="480"/>
        <v>55696.8444217006,431.8</v>
      </c>
      <c r="AZ717" t="str">
        <f t="shared" si="481"/>
        <v>55696.8444217006,434.494</v>
      </c>
      <c r="BA717" t="str">
        <f t="shared" si="482"/>
        <v>55696.8444217006,435.05</v>
      </c>
      <c r="BB717" t="str">
        <f t="shared" si="483"/>
        <v>-text 55695.8444217006,337 3.5 90 431.800 </v>
      </c>
      <c r="BC717" t="str">
        <f t="shared" si="484"/>
        <v>-text 55695.8444217006,320 3.5 90 435.050 </v>
      </c>
      <c r="BD717" t="str">
        <f t="shared" si="485"/>
        <v>-text 55695.8444217006,306 3.5 90 434.494 </v>
      </c>
      <c r="BE717" t="str">
        <f t="shared" si="486"/>
        <v>-text 55695.8444217006,352 3.5 90 ZG111+393.689 </v>
      </c>
      <c r="BF717" t="str">
        <f t="shared" si="487"/>
        <v>-text 55695.8444217006,280 3.5 90 宝堂寺渡槽进 </v>
      </c>
      <c r="BG717" t="str">
        <f t="shared" si="488"/>
        <v/>
      </c>
      <c r="BH717" t="str">
        <f t="shared" si="489"/>
        <v> </v>
      </c>
      <c r="BI717" t="str">
        <f t="shared" si="490"/>
        <v> </v>
      </c>
      <c r="BJ717" t="str">
        <f t="shared" si="491"/>
        <v> </v>
      </c>
    </row>
    <row r="718" spans="1:62">
      <c r="A718">
        <v>2</v>
      </c>
      <c r="B718">
        <v>717</v>
      </c>
      <c r="C718" t="str">
        <f>Sheet1!C663</f>
        <v>宝堂寺渡槽出</v>
      </c>
      <c r="D718" s="39">
        <v>508840.4731</v>
      </c>
      <c r="E718" s="39">
        <v>3336743.3888</v>
      </c>
      <c r="G718">
        <f t="shared" si="476"/>
        <v>0</v>
      </c>
      <c r="H718">
        <f t="shared" si="494"/>
        <v>0</v>
      </c>
      <c r="I718">
        <f t="shared" si="495"/>
        <v>0</v>
      </c>
      <c r="J718">
        <f t="shared" si="496"/>
        <v>307.29497683478</v>
      </c>
      <c r="K718" s="40">
        <f t="shared" si="473"/>
        <v>111700.983820236</v>
      </c>
      <c r="L718" s="40">
        <f t="shared" si="474"/>
        <v>111700.983820236</v>
      </c>
      <c r="M718" s="40">
        <f t="shared" si="475"/>
        <v>111700.983820236</v>
      </c>
      <c r="N718">
        <v>434.354</v>
      </c>
      <c r="O718">
        <v>431.66</v>
      </c>
      <c r="P718">
        <v>0</v>
      </c>
      <c r="Q718" s="39">
        <f t="shared" si="497"/>
        <v>508840.4731</v>
      </c>
      <c r="R718" s="39">
        <f t="shared" si="498"/>
        <v>3336743.3888</v>
      </c>
      <c r="S718" s="39" t="str">
        <f t="shared" si="499"/>
        <v> </v>
      </c>
      <c r="T718" s="39" t="str">
        <f t="shared" si="500"/>
        <v> </v>
      </c>
      <c r="U718" s="39" t="str">
        <f t="shared" si="492"/>
        <v> </v>
      </c>
      <c r="V718" s="39" t="str">
        <f t="shared" si="493"/>
        <v> </v>
      </c>
      <c r="AI718" t="str">
        <f t="array" ref="AI718">IFERROR(INDEX($L$2:$L$189,SMALL(IF(ISNUMBER(FIND($AH$2,$C$2:$C$189)),ROW($2:$189)-1,4^8),ROW(A717)))&amp;"","")</f>
        <v/>
      </c>
      <c r="AT718" t="str">
        <f t="shared" si="478"/>
        <v>508840.4731,3336743.3888</v>
      </c>
      <c r="AV718">
        <f t="shared" si="477"/>
        <v>434.91</v>
      </c>
      <c r="AX718" t="str">
        <f t="shared" si="479"/>
        <v>pl 55850.491910118,279 55850.491910118,400 </v>
      </c>
      <c r="AY718" t="str">
        <f t="shared" si="480"/>
        <v>55850.491910118,431.66</v>
      </c>
      <c r="AZ718" t="str">
        <f t="shared" si="481"/>
        <v>55850.491910118,434.354</v>
      </c>
      <c r="BA718" t="str">
        <f t="shared" si="482"/>
        <v>55850.491910118,434.91</v>
      </c>
      <c r="BB718" t="str">
        <f t="shared" si="483"/>
        <v>-text 55849.491910118,337 3.5 90 431.660 </v>
      </c>
      <c r="BC718" t="str">
        <f t="shared" si="484"/>
        <v>-text 55849.491910118,320 3.5 90 434.910 </v>
      </c>
      <c r="BD718" t="str">
        <f t="shared" si="485"/>
        <v>-text 55849.491910118,306 3.5 90 434.354 </v>
      </c>
      <c r="BE718" t="str">
        <f t="shared" si="486"/>
        <v>-text 55849.491910118,352 3.5 90 ZG111+700.984 </v>
      </c>
      <c r="BF718" t="str">
        <f t="shared" si="487"/>
        <v>-text 55849.491910118,280 3.5 90 宝堂寺渡槽出 </v>
      </c>
      <c r="BG718" t="str">
        <f t="shared" si="488"/>
        <v/>
      </c>
      <c r="BH718" t="str">
        <f t="shared" si="489"/>
        <v> </v>
      </c>
      <c r="BI718" t="str">
        <f t="shared" si="490"/>
        <v> </v>
      </c>
      <c r="BJ718" t="str">
        <f t="shared" si="491"/>
        <v> </v>
      </c>
    </row>
    <row r="719" spans="1:62">
      <c r="A719">
        <v>0</v>
      </c>
      <c r="B719">
        <v>718</v>
      </c>
      <c r="C719" t="s">
        <v>678</v>
      </c>
      <c r="D719" s="39">
        <v>508878.144</v>
      </c>
      <c r="E719" s="39">
        <v>3336688.7966</v>
      </c>
      <c r="F719">
        <v>60</v>
      </c>
      <c r="G719">
        <f t="shared" si="476"/>
        <v>36.983</v>
      </c>
      <c r="H719">
        <f t="shared" si="494"/>
        <v>20.0658219592842</v>
      </c>
      <c r="I719">
        <f t="shared" si="495"/>
        <v>38.7285070359038</v>
      </c>
      <c r="J719">
        <f t="shared" si="496"/>
        <v>66.3280107317417</v>
      </c>
      <c r="K719" s="40">
        <f t="shared" si="473"/>
        <v>111747.246009009</v>
      </c>
      <c r="L719" s="40">
        <f t="shared" si="474"/>
        <v>111766.610262526</v>
      </c>
      <c r="M719" s="40">
        <f t="shared" si="475"/>
        <v>111785.974516044</v>
      </c>
      <c r="N719">
        <v>434.387</v>
      </c>
      <c r="O719">
        <v>431.71</v>
      </c>
      <c r="P719">
        <v>0.001</v>
      </c>
      <c r="Q719" s="39">
        <f t="shared" si="497"/>
        <v>508866.747644763</v>
      </c>
      <c r="R719" s="39">
        <f t="shared" si="498"/>
        <v>3336705.31205634</v>
      </c>
      <c r="S719" s="39">
        <f t="shared" si="499"/>
        <v>508880.105254117</v>
      </c>
      <c r="T719" s="39">
        <f t="shared" si="500"/>
        <v>3336691.40861011</v>
      </c>
      <c r="U719" s="39">
        <f t="shared" si="492"/>
        <v>508897.182855421</v>
      </c>
      <c r="V719" s="39">
        <f t="shared" si="493"/>
        <v>3336682.45947169</v>
      </c>
      <c r="AI719" t="str">
        <f t="array" ref="AI719">IFERROR(INDEX($L$2:$L$189,SMALL(IF(ISNUMBER(FIND($AH$2,$C$2:$C$189)),ROW($2:$189)-1,4^8),ROW(A718)))&amp;"","")</f>
        <v/>
      </c>
      <c r="AS719" t="str">
        <f>"-text"&amp;" "&amp;D719&amp;","&amp;E719&amp;" "&amp;"10"&amp;" "&amp;"0"&amp;" "&amp;C719</f>
        <v>-text 508878.144,3336688.7966 10 0 IP388</v>
      </c>
      <c r="AT719" t="str">
        <f t="shared" si="478"/>
        <v>508878.144,3336688.7966</v>
      </c>
      <c r="AV719">
        <f t="shared" si="477"/>
        <v>435.56</v>
      </c>
      <c r="AX719" t="str">
        <f t="shared" si="479"/>
        <v>pl 55883.3051312632,279 55883.3051312632,400 </v>
      </c>
      <c r="AY719" t="str">
        <f t="shared" si="480"/>
        <v>55883.3051312632,431.71</v>
      </c>
      <c r="AZ719" t="str">
        <f t="shared" si="481"/>
        <v>55883.3051312632,434.387</v>
      </c>
      <c r="BA719" t="str">
        <f t="shared" si="482"/>
        <v>55883.3051312632,435.56</v>
      </c>
      <c r="BB719" t="str">
        <f t="shared" si="483"/>
        <v>-text 55882.3051312632,337 3.5 90 431.710 </v>
      </c>
      <c r="BC719" t="str">
        <f t="shared" si="484"/>
        <v>-text 55882.3051312632,320 3.5 90 435.560 </v>
      </c>
      <c r="BD719" t="str">
        <f t="shared" si="485"/>
        <v>-text 55882.3051312632,306 3.5 90 434.387 </v>
      </c>
      <c r="BE719" t="str">
        <f t="shared" si="486"/>
        <v>-text 55882.3051312632,352 3.5 90 ZG111+766.610 </v>
      </c>
      <c r="BF719" t="str">
        <f t="shared" si="487"/>
        <v>-text 55882.3051312632,280 3.5 90 IP388 </v>
      </c>
      <c r="BG719" t="str">
        <f t="shared" si="488"/>
        <v>-TEXT 55884.3051312632,300 3.5 0 R=60</v>
      </c>
      <c r="BH719" t="str">
        <f t="shared" si="489"/>
        <v>-TEXT 55884.3051312632,295 3.5 0 α=36.98° </v>
      </c>
      <c r="BI719" t="str">
        <f t="shared" si="490"/>
        <v>-TEXT 55884.3051312632,290 3.5 0 T=20.07 </v>
      </c>
      <c r="BJ719" t="str">
        <f t="shared" si="491"/>
        <v>-TEXT 55884.3051312632,285 3.5 0 S=38.73 </v>
      </c>
    </row>
    <row r="720" spans="1:62">
      <c r="A720">
        <v>0</v>
      </c>
      <c r="B720">
        <v>719</v>
      </c>
      <c r="C720" t="s">
        <v>680</v>
      </c>
      <c r="D720" s="39">
        <v>508968.2425</v>
      </c>
      <c r="E720" s="39">
        <v>3336658.8071</v>
      </c>
      <c r="F720">
        <v>60</v>
      </c>
      <c r="G720">
        <f t="shared" si="476"/>
        <v>21.177</v>
      </c>
      <c r="H720">
        <f t="shared" si="494"/>
        <v>11.216230712455</v>
      </c>
      <c r="I720">
        <f t="shared" si="495"/>
        <v>22.1765025416903</v>
      </c>
      <c r="J720">
        <f t="shared" si="496"/>
        <v>94.9584636170596</v>
      </c>
      <c r="K720" s="40">
        <f t="shared" si="473"/>
        <v>111849.65092699</v>
      </c>
      <c r="L720" s="40">
        <f t="shared" si="474"/>
        <v>111860.739178261</v>
      </c>
      <c r="M720" s="40">
        <f t="shared" si="475"/>
        <v>111871.827429531</v>
      </c>
      <c r="N720">
        <v>434.368</v>
      </c>
      <c r="O720">
        <v>431.691</v>
      </c>
      <c r="P720">
        <v>0.001</v>
      </c>
      <c r="Q720" s="39">
        <f t="shared" si="497"/>
        <v>508957.600314729</v>
      </c>
      <c r="R720" s="39">
        <f t="shared" si="498"/>
        <v>3336662.34937668</v>
      </c>
      <c r="S720" s="39">
        <f t="shared" si="499"/>
        <v>508967.738641163</v>
      </c>
      <c r="T720" s="39">
        <f t="shared" si="500"/>
        <v>3336657.89805624</v>
      </c>
      <c r="U720" s="39">
        <f t="shared" si="492"/>
        <v>508976.886409086</v>
      </c>
      <c r="V720" s="39">
        <f t="shared" si="493"/>
        <v>3336651.65960624</v>
      </c>
      <c r="AI720" t="str">
        <f t="array" ref="AI720">IFERROR(INDEX($L$2:$L$189,SMALL(IF(ISNUMBER(FIND($AH$2,$C$2:$C$189)),ROW($2:$189)-1,4^8),ROW(A719)))&amp;"","")</f>
        <v/>
      </c>
      <c r="AS720" t="str">
        <f>"-text"&amp;" "&amp;D720&amp;","&amp;E720&amp;" "&amp;"10"&amp;" "&amp;"0"&amp;" "&amp;C720</f>
        <v>-text 508968.2425,3336658.8071 10 0 IP389</v>
      </c>
      <c r="AT720" t="str">
        <f t="shared" si="478"/>
        <v>508968.2425,3336658.8071</v>
      </c>
      <c r="AV720">
        <f t="shared" si="477"/>
        <v>435.541</v>
      </c>
      <c r="AX720" t="str">
        <f t="shared" si="479"/>
        <v>pl 55930.3695891303,279 55930.3695891303,400 </v>
      </c>
      <c r="AY720" t="str">
        <f t="shared" si="480"/>
        <v>55930.3695891303,431.691</v>
      </c>
      <c r="AZ720" t="str">
        <f t="shared" si="481"/>
        <v>55930.3695891303,434.368</v>
      </c>
      <c r="BA720" t="str">
        <f t="shared" si="482"/>
        <v>55930.3695891303,435.541</v>
      </c>
      <c r="BB720" t="str">
        <f t="shared" si="483"/>
        <v>-text 55929.3695891303,337 3.5 90 431.691 </v>
      </c>
      <c r="BC720" t="str">
        <f t="shared" si="484"/>
        <v>-text 55929.3695891303,320 3.5 90 435.541 </v>
      </c>
      <c r="BD720" t="str">
        <f t="shared" si="485"/>
        <v>-text 55929.3695891303,306 3.5 90 434.368 </v>
      </c>
      <c r="BE720" t="str">
        <f t="shared" si="486"/>
        <v>-text 55929.3695891303,352 3.5 90 ZG111+860.739 </v>
      </c>
      <c r="BF720" t="str">
        <f t="shared" si="487"/>
        <v>-text 55929.3695891303,280 3.5 90 IP389 </v>
      </c>
      <c r="BG720" t="str">
        <f t="shared" si="488"/>
        <v>-TEXT 55931.3695891303,300 3.5 0 R=60</v>
      </c>
      <c r="BH720" t="str">
        <f t="shared" si="489"/>
        <v>-TEXT 55931.3695891303,295 3.5 0 α=21.18° </v>
      </c>
      <c r="BI720" t="str">
        <f t="shared" si="490"/>
        <v>-TEXT 55931.3695891303,290 3.5 0 T=11.22 </v>
      </c>
      <c r="BJ720" t="str">
        <f t="shared" si="491"/>
        <v>-TEXT 55931.3695891303,285 3.5 0 S=22.18 </v>
      </c>
    </row>
    <row r="721" spans="1:62">
      <c r="A721">
        <v>0</v>
      </c>
      <c r="B721">
        <v>720</v>
      </c>
      <c r="C721" t="s">
        <v>681</v>
      </c>
      <c r="D721" s="39">
        <v>509027.1047</v>
      </c>
      <c r="E721" s="39">
        <v>3336610.135</v>
      </c>
      <c r="F721">
        <v>60</v>
      </c>
      <c r="G721">
        <f t="shared" si="476"/>
        <v>41.07</v>
      </c>
      <c r="H721">
        <f t="shared" si="494"/>
        <v>22.4748657940574</v>
      </c>
      <c r="I721">
        <f t="shared" si="495"/>
        <v>43.0084034276443</v>
      </c>
      <c r="J721">
        <f t="shared" si="496"/>
        <v>76.3788708168819</v>
      </c>
      <c r="K721" s="40">
        <f t="shared" si="473"/>
        <v>111914.515203842</v>
      </c>
      <c r="L721" s="40">
        <f t="shared" si="474"/>
        <v>111936.019405556</v>
      </c>
      <c r="M721" s="40">
        <f t="shared" si="475"/>
        <v>111957.523607269</v>
      </c>
      <c r="N721">
        <v>434.353</v>
      </c>
      <c r="O721">
        <v>431.676</v>
      </c>
      <c r="P721">
        <v>0.001</v>
      </c>
      <c r="Q721" s="39">
        <f t="shared" si="497"/>
        <v>509009.784202444</v>
      </c>
      <c r="R721" s="39">
        <f t="shared" si="498"/>
        <v>3336624.45700953</v>
      </c>
      <c r="S721" s="39">
        <f t="shared" si="499"/>
        <v>509023.574589419</v>
      </c>
      <c r="T721" s="39">
        <f t="shared" si="500"/>
        <v>3336608.10688816</v>
      </c>
      <c r="U721" s="39">
        <f t="shared" si="492"/>
        <v>509030.753375206</v>
      </c>
      <c r="V721" s="39">
        <f t="shared" si="493"/>
        <v>3336587.95828334</v>
      </c>
      <c r="AI721" t="str">
        <f t="array" ref="AI721">IFERROR(INDEX($L$2:$L$189,SMALL(IF(ISNUMBER(FIND($AH$2,$C$2:$C$189)),ROW($2:$189)-1,4^8),ROW(A720)))&amp;"","")</f>
        <v/>
      </c>
      <c r="AS721" t="str">
        <f>"-text"&amp;" "&amp;D721&amp;","&amp;E721&amp;" "&amp;"10"&amp;" "&amp;"0"&amp;" "&amp;C721</f>
        <v>-text 509027.1047,3336610.135 10 0 IP390</v>
      </c>
      <c r="AT721" t="str">
        <f t="shared" si="478"/>
        <v>509027.1047,3336610.135</v>
      </c>
      <c r="AV721">
        <f t="shared" si="477"/>
        <v>435.526</v>
      </c>
      <c r="AX721" t="str">
        <f t="shared" si="479"/>
        <v>pl 55968.0097027778,279 55968.0097027778,400 </v>
      </c>
      <c r="AY721" t="str">
        <f t="shared" si="480"/>
        <v>55968.0097027778,431.676</v>
      </c>
      <c r="AZ721" t="str">
        <f t="shared" si="481"/>
        <v>55968.0097027778,434.353</v>
      </c>
      <c r="BA721" t="str">
        <f t="shared" si="482"/>
        <v>55968.0097027778,435.526</v>
      </c>
      <c r="BB721" t="str">
        <f t="shared" si="483"/>
        <v>-text 55967.0097027778,337 3.5 90 431.676 </v>
      </c>
      <c r="BC721" t="str">
        <f t="shared" si="484"/>
        <v>-text 55967.0097027778,320 3.5 90 435.526 </v>
      </c>
      <c r="BD721" t="str">
        <f t="shared" si="485"/>
        <v>-text 55967.0097027778,306 3.5 90 434.353 </v>
      </c>
      <c r="BE721" t="str">
        <f t="shared" si="486"/>
        <v>-text 55967.0097027778,352 3.5 90 ZG111+936.019 </v>
      </c>
      <c r="BF721" t="str">
        <f t="shared" si="487"/>
        <v>-text 55967.0097027778,280 3.5 90 IP390 </v>
      </c>
      <c r="BG721" t="str">
        <f t="shared" si="488"/>
        <v>-TEXT 55969.0097027778,300 3.5 0 R=60</v>
      </c>
      <c r="BH721" t="str">
        <f t="shared" si="489"/>
        <v>-TEXT 55969.0097027778,295 3.5 0 α=41.07° </v>
      </c>
      <c r="BI721" t="str">
        <f t="shared" si="490"/>
        <v>-TEXT 55969.0097027778,290 3.5 0 T=22.47 </v>
      </c>
      <c r="BJ721" t="str">
        <f t="shared" si="491"/>
        <v>-TEXT 55969.0097027778,285 3.5 0 S=43.01 </v>
      </c>
    </row>
    <row r="722" spans="1:62">
      <c r="A722">
        <v>1</v>
      </c>
      <c r="B722">
        <v>721</v>
      </c>
      <c r="C722" t="str">
        <f>Sheet1!C667</f>
        <v>窑厂湾隧进</v>
      </c>
      <c r="D722" s="39">
        <v>509039.5863</v>
      </c>
      <c r="E722" s="39">
        <v>3336534.2716</v>
      </c>
      <c r="G722">
        <f t="shared" si="476"/>
        <v>0</v>
      </c>
      <c r="H722">
        <f t="shared" si="494"/>
        <v>0</v>
      </c>
      <c r="I722">
        <f t="shared" si="495"/>
        <v>0</v>
      </c>
      <c r="J722">
        <f t="shared" si="496"/>
        <v>76.8833258780583</v>
      </c>
      <c r="K722" s="40">
        <f t="shared" si="473"/>
        <v>112011.932067353</v>
      </c>
      <c r="L722" s="40">
        <f t="shared" si="474"/>
        <v>112011.932067353</v>
      </c>
      <c r="M722" s="40">
        <f t="shared" si="475"/>
        <v>112011.932067353</v>
      </c>
      <c r="N722">
        <v>434.293</v>
      </c>
      <c r="O722">
        <v>431.609</v>
      </c>
      <c r="P722">
        <v>0</v>
      </c>
      <c r="Q722" s="39">
        <f t="shared" si="497"/>
        <v>509039.5863</v>
      </c>
      <c r="R722" s="39">
        <f t="shared" si="498"/>
        <v>3336534.2716</v>
      </c>
      <c r="S722" s="39" t="str">
        <f t="shared" si="499"/>
        <v> </v>
      </c>
      <c r="T722" s="39" t="str">
        <f t="shared" si="500"/>
        <v> </v>
      </c>
      <c r="U722" s="39" t="str">
        <f t="shared" si="492"/>
        <v> </v>
      </c>
      <c r="V722" s="39" t="str">
        <f t="shared" si="493"/>
        <v> </v>
      </c>
      <c r="AI722" t="str">
        <f t="array" ref="AI722">IFERROR(INDEX($L$2:$L$189,SMALL(IF(ISNUMBER(FIND($AH$2,$C$2:$C$189)),ROW($2:$189)-1,4^8),ROW(A721)))&amp;"","")</f>
        <v/>
      </c>
      <c r="AT722" t="str">
        <f t="shared" si="478"/>
        <v>509039.5863,3336534.2716</v>
      </c>
      <c r="AV722">
        <f t="shared" si="477"/>
        <v>435.109</v>
      </c>
      <c r="AX722" t="str">
        <f t="shared" si="479"/>
        <v>pl 56005.9660336767,279 56005.9660336767,400 </v>
      </c>
      <c r="AY722" t="str">
        <f t="shared" si="480"/>
        <v>56005.9660336767,431.609</v>
      </c>
      <c r="AZ722" t="str">
        <f t="shared" si="481"/>
        <v>56005.9660336767,434.293</v>
      </c>
      <c r="BA722" t="str">
        <f t="shared" si="482"/>
        <v>56005.9660336767,435.109</v>
      </c>
      <c r="BB722" t="str">
        <f t="shared" si="483"/>
        <v>-text 56004.9660336767,337 3.5 90 431.609 </v>
      </c>
      <c r="BC722" t="str">
        <f t="shared" si="484"/>
        <v>-text 56004.9660336767,320 3.5 90 435.109 </v>
      </c>
      <c r="BD722" t="str">
        <f t="shared" si="485"/>
        <v>-text 56004.9660336767,306 3.5 90 434.293 </v>
      </c>
      <c r="BE722" t="str">
        <f t="shared" si="486"/>
        <v>-text 56004.9660336767,352 3.5 90 ZG112+011.932 </v>
      </c>
      <c r="BF722" t="str">
        <f t="shared" si="487"/>
        <v>-text 56004.9660336767,280 3.5 90 窑厂湾隧进 </v>
      </c>
      <c r="BG722" t="str">
        <f t="shared" si="488"/>
        <v/>
      </c>
      <c r="BH722" t="str">
        <f t="shared" si="489"/>
        <v> </v>
      </c>
      <c r="BI722" t="str">
        <f t="shared" si="490"/>
        <v> </v>
      </c>
      <c r="BJ722" t="str">
        <f t="shared" si="491"/>
        <v> </v>
      </c>
    </row>
    <row r="723" spans="1:62">
      <c r="A723">
        <v>1</v>
      </c>
      <c r="B723">
        <v>722</v>
      </c>
      <c r="C723" t="s">
        <v>684</v>
      </c>
      <c r="D723" s="39">
        <v>509060.3975</v>
      </c>
      <c r="E723" s="39">
        <v>3336407.7802</v>
      </c>
      <c r="F723">
        <v>60</v>
      </c>
      <c r="G723">
        <f t="shared" si="476"/>
        <v>43.319</v>
      </c>
      <c r="H723">
        <f t="shared" si="494"/>
        <v>23.8277858337736</v>
      </c>
      <c r="I723">
        <f t="shared" si="495"/>
        <v>45.3635507202854</v>
      </c>
      <c r="J723">
        <f t="shared" si="496"/>
        <v>128.191966672814</v>
      </c>
      <c r="K723" s="40">
        <f t="shared" si="473"/>
        <v>112116.296248193</v>
      </c>
      <c r="L723" s="40">
        <f t="shared" si="474"/>
        <v>112138.978023553</v>
      </c>
      <c r="M723" s="40">
        <f t="shared" si="475"/>
        <v>112161.659798913</v>
      </c>
      <c r="N723">
        <v>434.246</v>
      </c>
      <c r="O723">
        <v>431.562</v>
      </c>
      <c r="P723">
        <v>0.003</v>
      </c>
      <c r="Q723" s="39">
        <f t="shared" si="497"/>
        <v>509056.529201312</v>
      </c>
      <c r="R723" s="39">
        <f t="shared" si="498"/>
        <v>3336431.29189162</v>
      </c>
      <c r="S723" s="39">
        <f t="shared" si="499"/>
        <v>509064.304523131</v>
      </c>
      <c r="T723" s="39">
        <f t="shared" si="500"/>
        <v>3336410.12798514</v>
      </c>
      <c r="U723" s="39">
        <f t="shared" si="492"/>
        <v>509079.342170302</v>
      </c>
      <c r="V723" s="39">
        <f t="shared" si="493"/>
        <v>3336393.32811209</v>
      </c>
      <c r="AI723" t="str">
        <f t="array" ref="AI723">IFERROR(INDEX($L$2:$L$189,SMALL(IF(ISNUMBER(FIND($AH$2,$C$2:$C$189)),ROW($2:$189)-1,4^8),ROW(A722)))&amp;"","")</f>
        <v/>
      </c>
      <c r="AS723" t="str">
        <f>"-text"&amp;" "&amp;D723&amp;","&amp;E723&amp;" "&amp;"10"&amp;" "&amp;"0"&amp;" "&amp;C723</f>
        <v>-text 509060.3975,3336407.7802 10 0 IP391</v>
      </c>
      <c r="AT723" t="str">
        <f t="shared" si="478"/>
        <v>509060.3975,3336407.7802</v>
      </c>
      <c r="AV723">
        <f t="shared" si="477"/>
        <v>435.062</v>
      </c>
      <c r="AX723" t="str">
        <f t="shared" si="479"/>
        <v>pl 56069.4890117763,279 56069.4890117763,400 </v>
      </c>
      <c r="AY723" t="str">
        <f t="shared" si="480"/>
        <v>56069.4890117763,431.562</v>
      </c>
      <c r="AZ723" t="str">
        <f t="shared" si="481"/>
        <v>56069.4890117763,434.246</v>
      </c>
      <c r="BA723" t="str">
        <f t="shared" si="482"/>
        <v>56069.4890117763,435.062</v>
      </c>
      <c r="BB723" t="str">
        <f t="shared" si="483"/>
        <v>-text 56068.4890117763,337 3.5 90 431.562 </v>
      </c>
      <c r="BC723" t="str">
        <f t="shared" si="484"/>
        <v>-text 56068.4890117763,320 3.5 90 435.062 </v>
      </c>
      <c r="BD723" t="str">
        <f t="shared" si="485"/>
        <v>-text 56068.4890117763,306 3.5 90 434.246 </v>
      </c>
      <c r="BE723" t="str">
        <f t="shared" si="486"/>
        <v>-text 56068.4890117763,352 3.5 90 ZG112+138.978 </v>
      </c>
      <c r="BF723" t="str">
        <f t="shared" si="487"/>
        <v>-text 56068.4890117763,280 3.5 90 IP391 </v>
      </c>
      <c r="BG723" t="str">
        <f t="shared" si="488"/>
        <v>-TEXT 56070.4890117763,300 3.5 0 R=60</v>
      </c>
      <c r="BH723" t="str">
        <f t="shared" si="489"/>
        <v>-TEXT 56070.4890117763,295 3.5 0 α=43.32° </v>
      </c>
      <c r="BI723" t="str">
        <f t="shared" si="490"/>
        <v>-TEXT 56070.4890117763,290 3.5 0 T=23.83 </v>
      </c>
      <c r="BJ723" t="str">
        <f t="shared" si="491"/>
        <v>-TEXT 56070.4890117763,285 3.5 0 S=45.36 </v>
      </c>
    </row>
    <row r="724" spans="1:62">
      <c r="A724">
        <v>1</v>
      </c>
      <c r="B724">
        <v>723</v>
      </c>
      <c r="C724" t="s">
        <v>685</v>
      </c>
      <c r="D724" s="39">
        <v>509146.2059</v>
      </c>
      <c r="E724" s="39">
        <v>3336342.3206</v>
      </c>
      <c r="F724">
        <v>60</v>
      </c>
      <c r="G724">
        <f t="shared" si="476"/>
        <v>30.127</v>
      </c>
      <c r="H724">
        <f t="shared" si="494"/>
        <v>16.1482440638478</v>
      </c>
      <c r="I724">
        <f t="shared" si="495"/>
        <v>31.5489206248999</v>
      </c>
      <c r="J724">
        <f t="shared" si="496"/>
        <v>107.926089258708</v>
      </c>
      <c r="K724" s="40">
        <f t="shared" si="473"/>
        <v>112229.609858274</v>
      </c>
      <c r="L724" s="40">
        <f t="shared" si="474"/>
        <v>112245.384318586</v>
      </c>
      <c r="M724" s="40">
        <f t="shared" si="475"/>
        <v>112261.158778899</v>
      </c>
      <c r="N724">
        <v>434.206</v>
      </c>
      <c r="O724">
        <v>431.522</v>
      </c>
      <c r="P724">
        <v>0.002</v>
      </c>
      <c r="Q724" s="39">
        <f t="shared" si="497"/>
        <v>509133.366974811</v>
      </c>
      <c r="R724" s="39">
        <f t="shared" si="498"/>
        <v>3336352.11487314</v>
      </c>
      <c r="S724" s="39">
        <f t="shared" si="499"/>
        <v>509147.015201779</v>
      </c>
      <c r="T724" s="39">
        <f t="shared" si="500"/>
        <v>3336344.29635263</v>
      </c>
      <c r="U724" s="39">
        <f t="shared" si="492"/>
        <v>509162.226414479</v>
      </c>
      <c r="V724" s="39">
        <f t="shared" si="493"/>
        <v>3336340.29355729</v>
      </c>
      <c r="AI724" t="str">
        <f t="array" ref="AI724">IFERROR(INDEX($L$2:$L$189,SMALL(IF(ISNUMBER(FIND($AH$2,$C$2:$C$189)),ROW($2:$189)-1,4^8),ROW(A723)))&amp;"","")</f>
        <v/>
      </c>
      <c r="AS724" t="str">
        <f>"-text"&amp;" "&amp;D724&amp;","&amp;E724&amp;" "&amp;"10"&amp;" "&amp;"0"&amp;" "&amp;C724</f>
        <v>-text 509146.2059,3336342.3206 10 0 IP392</v>
      </c>
      <c r="AT724" t="str">
        <f t="shared" si="478"/>
        <v>509146.2059,3336342.3206</v>
      </c>
      <c r="AV724">
        <f t="shared" si="477"/>
        <v>435.022</v>
      </c>
      <c r="AX724" t="str">
        <f t="shared" si="479"/>
        <v>pl 56122.6921592932,279 56122.6921592932,400 </v>
      </c>
      <c r="AY724" t="str">
        <f t="shared" si="480"/>
        <v>56122.6921592932,431.522</v>
      </c>
      <c r="AZ724" t="str">
        <f t="shared" si="481"/>
        <v>56122.6921592932,434.206</v>
      </c>
      <c r="BA724" t="str">
        <f t="shared" si="482"/>
        <v>56122.6921592932,435.022</v>
      </c>
      <c r="BB724" t="str">
        <f t="shared" si="483"/>
        <v>-text 56121.6921592932,337 3.5 90 431.522 </v>
      </c>
      <c r="BC724" t="str">
        <f t="shared" si="484"/>
        <v>-text 56121.6921592932,320 3.5 90 435.022 </v>
      </c>
      <c r="BD724" t="str">
        <f t="shared" si="485"/>
        <v>-text 56121.6921592932,306 3.5 90 434.206 </v>
      </c>
      <c r="BE724" t="str">
        <f t="shared" si="486"/>
        <v>-text 56121.6921592932,352 3.5 90 ZG112+245.384 </v>
      </c>
      <c r="BF724" t="str">
        <f t="shared" si="487"/>
        <v>-text 56121.6921592932,280 3.5 90 IP392 </v>
      </c>
      <c r="BG724" t="str">
        <f t="shared" si="488"/>
        <v>-TEXT 56123.6921592932,300 3.5 0 R=60</v>
      </c>
      <c r="BH724" t="str">
        <f t="shared" si="489"/>
        <v>-TEXT 56123.6921592932,295 3.5 0 α=30.13° </v>
      </c>
      <c r="BI724" t="str">
        <f t="shared" si="490"/>
        <v>-TEXT 56123.6921592932,290 3.5 0 T=16.15 </v>
      </c>
      <c r="BJ724" t="str">
        <f t="shared" si="491"/>
        <v>-TEXT 56123.6921592932,285 3.5 0 S=31.55 </v>
      </c>
    </row>
    <row r="725" spans="1:62">
      <c r="A725">
        <v>1</v>
      </c>
      <c r="B725">
        <v>724</v>
      </c>
      <c r="C725" t="s">
        <v>686</v>
      </c>
      <c r="D725" s="39">
        <v>509422.6318</v>
      </c>
      <c r="E725" s="39">
        <v>3336307.345</v>
      </c>
      <c r="F725">
        <v>60</v>
      </c>
      <c r="G725">
        <f t="shared" si="476"/>
        <v>52.77</v>
      </c>
      <c r="H725">
        <f t="shared" si="494"/>
        <v>29.7646825266546</v>
      </c>
      <c r="I725">
        <f t="shared" si="495"/>
        <v>55.2606147766445</v>
      </c>
      <c r="J725">
        <f t="shared" si="496"/>
        <v>278.629809579225</v>
      </c>
      <c r="K725" s="40">
        <f t="shared" si="473"/>
        <v>112493.875661888</v>
      </c>
      <c r="L725" s="40">
        <f t="shared" si="474"/>
        <v>112521.505969276</v>
      </c>
      <c r="M725" s="40">
        <f t="shared" si="475"/>
        <v>112549.136276664</v>
      </c>
      <c r="N725">
        <v>434.105</v>
      </c>
      <c r="O725">
        <v>431.421</v>
      </c>
      <c r="P725">
        <v>0.003</v>
      </c>
      <c r="Q725" s="39">
        <f t="shared" si="497"/>
        <v>509393.102550534</v>
      </c>
      <c r="R725" s="39">
        <f t="shared" si="498"/>
        <v>3336311.08127514</v>
      </c>
      <c r="S725" s="39">
        <f t="shared" si="499"/>
        <v>509418.771075571</v>
      </c>
      <c r="T725" s="39">
        <f t="shared" si="500"/>
        <v>3336301.53332792</v>
      </c>
      <c r="U725" s="39">
        <f t="shared" si="492"/>
        <v>509437.522509481</v>
      </c>
      <c r="V725" s="39">
        <f t="shared" si="493"/>
        <v>3336281.572862</v>
      </c>
      <c r="AI725" t="str">
        <f t="array" ref="AI725">IFERROR(INDEX($L$2:$L$189,SMALL(IF(ISNUMBER(FIND($AH$2,$C$2:$C$189)),ROW($2:$189)-1,4^8),ROW(A724)))&amp;"","")</f>
        <v/>
      </c>
      <c r="AS725" t="str">
        <f>"-text"&amp;" "&amp;D725&amp;","&amp;E725&amp;" "&amp;"10"&amp;" "&amp;"0"&amp;" "&amp;C725</f>
        <v>-text 509422.6318,3336307.345 10 0 IP393</v>
      </c>
      <c r="AT725" t="str">
        <f t="shared" si="478"/>
        <v>509422.6318,3336307.345</v>
      </c>
      <c r="AV725">
        <f t="shared" si="477"/>
        <v>434.921</v>
      </c>
      <c r="AX725" t="str">
        <f t="shared" si="479"/>
        <v>pl 56260.7529846379,279 56260.7529846379,400 </v>
      </c>
      <c r="AY725" t="str">
        <f t="shared" si="480"/>
        <v>56260.7529846379,431.421</v>
      </c>
      <c r="AZ725" t="str">
        <f t="shared" si="481"/>
        <v>56260.7529846379,434.105</v>
      </c>
      <c r="BA725" t="str">
        <f t="shared" si="482"/>
        <v>56260.7529846379,434.921</v>
      </c>
      <c r="BB725" t="str">
        <f t="shared" si="483"/>
        <v>-text 56259.7529846379,337 3.5 90 431.421 </v>
      </c>
      <c r="BC725" t="str">
        <f t="shared" si="484"/>
        <v>-text 56259.7529846379,320 3.5 90 434.921 </v>
      </c>
      <c r="BD725" t="str">
        <f t="shared" si="485"/>
        <v>-text 56259.7529846379,306 3.5 90 434.105 </v>
      </c>
      <c r="BE725" t="str">
        <f t="shared" si="486"/>
        <v>-text 56259.7529846379,352 3.5 90 ZG112+521.506 </v>
      </c>
      <c r="BF725" t="str">
        <f t="shared" si="487"/>
        <v>-text 56259.7529846379,280 3.5 90 IP393 </v>
      </c>
      <c r="BG725" t="str">
        <f t="shared" si="488"/>
        <v>-TEXT 56261.7529846379,300 3.5 0 R=60</v>
      </c>
      <c r="BH725" t="str">
        <f t="shared" si="489"/>
        <v>-TEXT 56261.7529846379,295 3.5 0 α=52.77° </v>
      </c>
      <c r="BI725" t="str">
        <f t="shared" si="490"/>
        <v>-TEXT 56261.7529846379,290 3.5 0 T=29.76 </v>
      </c>
      <c r="BJ725" t="str">
        <f t="shared" si="491"/>
        <v>-TEXT 56261.7529846379,285 3.5 0 S=55.26 </v>
      </c>
    </row>
    <row r="726" spans="1:62">
      <c r="A726">
        <v>1</v>
      </c>
      <c r="B726">
        <v>725</v>
      </c>
      <c r="C726" t="s">
        <v>688</v>
      </c>
      <c r="D726" s="39">
        <v>509507.4379</v>
      </c>
      <c r="E726" s="39">
        <v>3336160.5666</v>
      </c>
      <c r="F726">
        <v>60</v>
      </c>
      <c r="G726">
        <f t="shared" si="476"/>
        <v>16.059</v>
      </c>
      <c r="H726">
        <f t="shared" si="494"/>
        <v>8.46395486919187</v>
      </c>
      <c r="I726">
        <f t="shared" si="495"/>
        <v>16.8169454746662</v>
      </c>
      <c r="J726">
        <f t="shared" si="496"/>
        <v>169.516882061439</v>
      </c>
      <c r="K726" s="40">
        <f t="shared" si="473"/>
        <v>112680.42452133</v>
      </c>
      <c r="L726" s="40">
        <f t="shared" si="474"/>
        <v>112688.832994067</v>
      </c>
      <c r="M726" s="40">
        <f t="shared" si="475"/>
        <v>112697.241466804</v>
      </c>
      <c r="N726">
        <v>434.043</v>
      </c>
      <c r="O726">
        <v>431.359</v>
      </c>
      <c r="P726">
        <v>0.001</v>
      </c>
      <c r="Q726" s="39">
        <f t="shared" si="497"/>
        <v>509503.20354296</v>
      </c>
      <c r="R726" s="39">
        <f t="shared" si="498"/>
        <v>3336167.89522555</v>
      </c>
      <c r="S726" s="39">
        <f t="shared" si="499"/>
        <v>509507.905707191</v>
      </c>
      <c r="T726" s="39">
        <f t="shared" si="500"/>
        <v>3336160.93272367</v>
      </c>
      <c r="U726" s="39">
        <f t="shared" si="492"/>
        <v>509513.534313304</v>
      </c>
      <c r="V726" s="39">
        <f t="shared" si="493"/>
        <v>3336154.69529036</v>
      </c>
      <c r="AI726" t="str">
        <f t="array" ref="AI726">IFERROR(INDEX($L$2:$L$189,SMALL(IF(ISNUMBER(FIND($AH$2,$C$2:$C$189)),ROW($2:$189)-1,4^8),ROW(A725)))&amp;"","")</f>
        <v/>
      </c>
      <c r="AS726" t="str">
        <f>"-text"&amp;" "&amp;D726&amp;","&amp;E726&amp;" "&amp;"10"&amp;" "&amp;"0"&amp;" "&amp;C726</f>
        <v>-text 509507.4379,3336160.5666 10 0 IP394</v>
      </c>
      <c r="AT726" t="str">
        <f t="shared" si="478"/>
        <v>509507.4379,3336160.5666</v>
      </c>
      <c r="AV726">
        <f t="shared" si="477"/>
        <v>434.859</v>
      </c>
      <c r="AX726" t="str">
        <f t="shared" si="479"/>
        <v>pl 56344.4164970335,279 56344.4164970335,400 </v>
      </c>
      <c r="AY726" t="str">
        <f t="shared" si="480"/>
        <v>56344.4164970335,431.359</v>
      </c>
      <c r="AZ726" t="str">
        <f t="shared" si="481"/>
        <v>56344.4164970335,434.043</v>
      </c>
      <c r="BA726" t="str">
        <f t="shared" si="482"/>
        <v>56344.4164970335,434.859</v>
      </c>
      <c r="BB726" t="str">
        <f t="shared" si="483"/>
        <v>-text 56343.4164970335,337 3.5 90 431.359 </v>
      </c>
      <c r="BC726" t="str">
        <f t="shared" si="484"/>
        <v>-text 56343.4164970335,320 3.5 90 434.859 </v>
      </c>
      <c r="BD726" t="str">
        <f t="shared" si="485"/>
        <v>-text 56343.4164970335,306 3.5 90 434.043 </v>
      </c>
      <c r="BE726" t="str">
        <f t="shared" si="486"/>
        <v>-text 56343.4164970335,352 3.5 90 ZG112+688.833 </v>
      </c>
      <c r="BF726" t="str">
        <f t="shared" si="487"/>
        <v>-text 56343.4164970335,280 3.5 90 IP394 </v>
      </c>
      <c r="BG726" t="str">
        <f t="shared" si="488"/>
        <v>-TEXT 56345.4164970335,300 3.5 0 R=60</v>
      </c>
      <c r="BH726" t="str">
        <f t="shared" si="489"/>
        <v>-TEXT 56345.4164970335,295 3.5 0 α=16.06° </v>
      </c>
      <c r="BI726" t="str">
        <f t="shared" si="490"/>
        <v>-TEXT 56345.4164970335,290 3.5 0 T=8.46 </v>
      </c>
      <c r="BJ726" t="str">
        <f t="shared" si="491"/>
        <v>-TEXT 56345.4164970335,285 3.5 0 S=16.82 </v>
      </c>
    </row>
    <row r="727" spans="1:62">
      <c r="A727">
        <v>1</v>
      </c>
      <c r="B727">
        <v>726</v>
      </c>
      <c r="C727" s="42" t="str">
        <f>Sheet1!C672</f>
        <v>窑厂湾隧出</v>
      </c>
      <c r="D727" s="43">
        <v>509574.6761</v>
      </c>
      <c r="E727" s="43">
        <v>3336095.8111</v>
      </c>
      <c r="G727">
        <f t="shared" ref="G727:G758" si="501">ROUND(IF((2*SQRT((D726-D727)^2+(E726-E727)^2)*SQRT((D728-D727)^2+(E728-E727)^2))=0,0,180-ACOS(((D726-D727)^2+(E726-E727)^2+(D728-D727)^2+(E728-E727)^2-(D728-D726)^2-(E728-E726)^2)/(2*SQRT((D726-D727)^2+(E726-E727)^2)*SQRT((D728-D727)^2+(E728-E727)^2)))/PI()*180),3)</f>
        <v>0</v>
      </c>
      <c r="H727">
        <f t="shared" si="494"/>
        <v>0</v>
      </c>
      <c r="I727">
        <f t="shared" si="495"/>
        <v>0</v>
      </c>
      <c r="J727">
        <f t="shared" si="496"/>
        <v>93.3501490062079</v>
      </c>
      <c r="K727" s="40">
        <f t="shared" si="473"/>
        <v>112782.127660941</v>
      </c>
      <c r="L727" s="40">
        <f t="shared" si="474"/>
        <v>112782.127660941</v>
      </c>
      <c r="M727" s="40">
        <f t="shared" si="475"/>
        <v>112782.127660941</v>
      </c>
      <c r="N727">
        <v>434.009</v>
      </c>
      <c r="O727">
        <v>431.325</v>
      </c>
      <c r="P727">
        <v>0</v>
      </c>
      <c r="Q727" s="39">
        <f t="shared" si="497"/>
        <v>509574.6761</v>
      </c>
      <c r="R727" s="39">
        <f t="shared" si="498"/>
        <v>3336095.8111</v>
      </c>
      <c r="S727" s="39" t="str">
        <f t="shared" si="499"/>
        <v> </v>
      </c>
      <c r="T727" s="39" t="str">
        <f t="shared" si="500"/>
        <v> </v>
      </c>
      <c r="U727" s="39" t="str">
        <f t="shared" si="492"/>
        <v> </v>
      </c>
      <c r="V727" s="39" t="str">
        <f t="shared" si="493"/>
        <v> </v>
      </c>
      <c r="AI727" t="str">
        <f t="array" ref="AI727">IFERROR(INDEX($L$2:$L$189,SMALL(IF(ISNUMBER(FIND($AH$2,$C$2:$C$189)),ROW($2:$189)-1,4^8),ROW(A726)))&amp;"","")</f>
        <v/>
      </c>
      <c r="AT727" t="str">
        <f t="shared" si="478"/>
        <v>509574.6761,3336095.8111</v>
      </c>
      <c r="AV727">
        <f t="shared" si="477"/>
        <v>434.825</v>
      </c>
      <c r="AX727" t="str">
        <f t="shared" si="479"/>
        <v>pl 56391.0638304707,279 56391.0638304707,400 </v>
      </c>
      <c r="AY727" t="str">
        <f t="shared" si="480"/>
        <v>56391.0638304707,431.325</v>
      </c>
      <c r="AZ727" t="str">
        <f t="shared" si="481"/>
        <v>56391.0638304707,434.009</v>
      </c>
      <c r="BA727" t="str">
        <f t="shared" si="482"/>
        <v>56391.0638304707,434.825</v>
      </c>
      <c r="BB727" t="str">
        <f t="shared" si="483"/>
        <v>-text 56390.0638304707,337 3.5 90 431.325 </v>
      </c>
      <c r="BC727" t="str">
        <f t="shared" si="484"/>
        <v>-text 56390.0638304707,320 3.5 90 434.825 </v>
      </c>
      <c r="BD727" t="str">
        <f t="shared" si="485"/>
        <v>-text 56390.0638304707,306 3.5 90 434.009 </v>
      </c>
      <c r="BE727" t="str">
        <f t="shared" si="486"/>
        <v>-text 56390.0638304707,352 3.5 90 ZG112+782.128 </v>
      </c>
      <c r="BF727" t="str">
        <f t="shared" si="487"/>
        <v>-text 56390.0638304707,280 3.5 90 窑厂湾隧出 </v>
      </c>
      <c r="BG727" t="str">
        <f t="shared" si="488"/>
        <v/>
      </c>
      <c r="BH727" t="str">
        <f t="shared" si="489"/>
        <v> </v>
      </c>
      <c r="BI727" t="str">
        <f t="shared" si="490"/>
        <v> </v>
      </c>
      <c r="BJ727" t="str">
        <f t="shared" si="491"/>
        <v> </v>
      </c>
    </row>
    <row r="728" spans="1:62">
      <c r="A728">
        <v>1</v>
      </c>
      <c r="B728">
        <v>727</v>
      </c>
      <c r="C728" s="42" t="str">
        <f>Sheet1!C673</f>
        <v>小袁家沟暗渠进</v>
      </c>
      <c r="D728" s="43">
        <v>509574.6761</v>
      </c>
      <c r="E728" s="43">
        <v>3336095.8111</v>
      </c>
      <c r="G728">
        <f t="shared" si="501"/>
        <v>0</v>
      </c>
      <c r="H728">
        <f t="shared" si="494"/>
        <v>0</v>
      </c>
      <c r="I728">
        <f t="shared" si="495"/>
        <v>0</v>
      </c>
      <c r="J728">
        <f t="shared" si="496"/>
        <v>0</v>
      </c>
      <c r="K728" s="40">
        <f t="shared" si="473"/>
        <v>112782.127660941</v>
      </c>
      <c r="L728" s="40">
        <f t="shared" si="474"/>
        <v>112782.127660941</v>
      </c>
      <c r="M728" s="40">
        <f t="shared" si="475"/>
        <v>112782.127660941</v>
      </c>
      <c r="N728">
        <v>434.009</v>
      </c>
      <c r="O728">
        <v>431.325</v>
      </c>
      <c r="P728">
        <v>0</v>
      </c>
      <c r="Q728" s="39">
        <f t="shared" si="497"/>
        <v>509574.6761</v>
      </c>
      <c r="R728" s="39">
        <f t="shared" si="498"/>
        <v>3336095.8111</v>
      </c>
      <c r="S728" s="39" t="str">
        <f t="shared" si="499"/>
        <v> </v>
      </c>
      <c r="T728" s="39" t="str">
        <f t="shared" si="500"/>
        <v> </v>
      </c>
      <c r="U728" s="39" t="str">
        <f t="shared" si="492"/>
        <v> </v>
      </c>
      <c r="V728" s="39" t="str">
        <f t="shared" si="493"/>
        <v> </v>
      </c>
      <c r="AI728" t="str">
        <f t="array" ref="AI728">IFERROR(INDEX($L$2:$L$189,SMALL(IF(ISNUMBER(FIND($AH$2,$C$2:$C$189)),ROW($2:$189)-1,4^8),ROW(A727)))&amp;"","")</f>
        <v/>
      </c>
      <c r="AT728" t="str">
        <f t="shared" si="478"/>
        <v>509574.6761,3336095.8111</v>
      </c>
      <c r="AV728">
        <f t="shared" si="477"/>
        <v>434.825</v>
      </c>
      <c r="AX728" t="str">
        <f t="shared" si="479"/>
        <v>pl 56391.0638304707,279 56391.0638304707,400 </v>
      </c>
      <c r="AY728" t="str">
        <f t="shared" si="480"/>
        <v>56391.0638304707,431.325</v>
      </c>
      <c r="AZ728" t="str">
        <f t="shared" si="481"/>
        <v>56391.0638304707,434.009</v>
      </c>
      <c r="BA728" t="str">
        <f t="shared" si="482"/>
        <v>56391.0638304707,434.825</v>
      </c>
      <c r="BB728" t="str">
        <f t="shared" si="483"/>
        <v>-text 56390.0638304707,337 3.5 90 431.325 </v>
      </c>
      <c r="BC728" t="str">
        <f t="shared" si="484"/>
        <v>-text 56390.0638304707,320 3.5 90 434.825 </v>
      </c>
      <c r="BD728" t="str">
        <f t="shared" si="485"/>
        <v>-text 56390.0638304707,306 3.5 90 434.009 </v>
      </c>
      <c r="BE728" t="str">
        <f t="shared" si="486"/>
        <v>-text 56390.0638304707,352 3.5 90 ZG112+782.128 </v>
      </c>
      <c r="BF728" t="str">
        <f t="shared" si="487"/>
        <v>-text 56390.0638304707,280 3.5 90 小袁家沟暗渠进 </v>
      </c>
      <c r="BG728" t="str">
        <f t="shared" si="488"/>
        <v/>
      </c>
      <c r="BH728" t="str">
        <f t="shared" si="489"/>
        <v> </v>
      </c>
      <c r="BI728" t="str">
        <f t="shared" si="490"/>
        <v> </v>
      </c>
      <c r="BJ728" t="str">
        <f t="shared" si="491"/>
        <v> </v>
      </c>
    </row>
    <row r="729" spans="1:62">
      <c r="A729">
        <v>1</v>
      </c>
      <c r="B729">
        <v>728</v>
      </c>
      <c r="C729" t="str">
        <f>Sheet1!C674</f>
        <v>小袁家沟暗渠出</v>
      </c>
      <c r="D729" s="39">
        <v>509581.7371</v>
      </c>
      <c r="E729" s="39">
        <v>3336089.0108</v>
      </c>
      <c r="G729">
        <f t="shared" si="501"/>
        <v>0</v>
      </c>
      <c r="H729">
        <f t="shared" si="494"/>
        <v>0</v>
      </c>
      <c r="I729">
        <f t="shared" si="495"/>
        <v>0</v>
      </c>
      <c r="J729">
        <f t="shared" si="496"/>
        <v>9.80315260994339</v>
      </c>
      <c r="K729" s="40">
        <f t="shared" si="473"/>
        <v>112791.930813551</v>
      </c>
      <c r="L729" s="40">
        <f t="shared" si="474"/>
        <v>112791.930813551</v>
      </c>
      <c r="M729" s="40">
        <f t="shared" si="475"/>
        <v>112791.930813551</v>
      </c>
      <c r="N729">
        <v>434.006</v>
      </c>
      <c r="O729">
        <v>431.322</v>
      </c>
      <c r="P729">
        <v>0</v>
      </c>
      <c r="Q729" s="39">
        <f t="shared" si="497"/>
        <v>509581.7371</v>
      </c>
      <c r="R729" s="39">
        <f t="shared" si="498"/>
        <v>3336089.0108</v>
      </c>
      <c r="S729" s="39" t="str">
        <f t="shared" si="499"/>
        <v> </v>
      </c>
      <c r="T729" s="39" t="str">
        <f t="shared" si="500"/>
        <v> </v>
      </c>
      <c r="U729" s="39" t="str">
        <f t="shared" si="492"/>
        <v> </v>
      </c>
      <c r="V729" s="39" t="str">
        <f t="shared" si="493"/>
        <v> </v>
      </c>
      <c r="AI729" t="str">
        <f t="array" ref="AI729">IFERROR(INDEX($L$2:$L$189,SMALL(IF(ISNUMBER(FIND($AH$2,$C$2:$C$189)),ROW($2:$189)-1,4^8),ROW(A728)))&amp;"","")</f>
        <v/>
      </c>
      <c r="AT729" t="str">
        <f t="shared" si="478"/>
        <v>509581.7371,3336089.0108</v>
      </c>
      <c r="AV729">
        <f t="shared" si="477"/>
        <v>434.822</v>
      </c>
      <c r="AX729" t="str">
        <f t="shared" si="479"/>
        <v>pl 56395.9654067757,279 56395.9654067757,400 </v>
      </c>
      <c r="AY729" t="str">
        <f t="shared" si="480"/>
        <v>56395.9654067757,431.322</v>
      </c>
      <c r="AZ729" t="str">
        <f t="shared" si="481"/>
        <v>56395.9654067757,434.006</v>
      </c>
      <c r="BA729" t="str">
        <f t="shared" si="482"/>
        <v>56395.9654067757,434.822</v>
      </c>
      <c r="BB729" t="str">
        <f t="shared" si="483"/>
        <v>-text 56394.9654067757,337 3.5 90 431.322 </v>
      </c>
      <c r="BC729" t="str">
        <f t="shared" si="484"/>
        <v>-text 56394.9654067757,320 3.5 90 434.822 </v>
      </c>
      <c r="BD729" t="str">
        <f t="shared" si="485"/>
        <v>-text 56394.9654067757,306 3.5 90 434.006 </v>
      </c>
      <c r="BE729" t="str">
        <f t="shared" si="486"/>
        <v>-text 56394.9654067757,352 3.5 90 ZG112+791.931 </v>
      </c>
      <c r="BF729" t="str">
        <f t="shared" si="487"/>
        <v>-text 56394.9654067757,280 3.5 90 小袁家沟暗渠出 </v>
      </c>
      <c r="BG729" t="str">
        <f t="shared" si="488"/>
        <v/>
      </c>
      <c r="BH729" t="str">
        <f t="shared" si="489"/>
        <v> </v>
      </c>
      <c r="BI729" t="str">
        <f t="shared" si="490"/>
        <v> </v>
      </c>
      <c r="BJ729" t="str">
        <f t="shared" si="491"/>
        <v> </v>
      </c>
    </row>
    <row r="730" spans="1:62">
      <c r="A730">
        <v>0</v>
      </c>
      <c r="B730">
        <v>729</v>
      </c>
      <c r="C730" t="s">
        <v>689</v>
      </c>
      <c r="D730" s="39">
        <v>509614.1168</v>
      </c>
      <c r="E730" s="39">
        <v>3336057.8267</v>
      </c>
      <c r="F730">
        <v>60</v>
      </c>
      <c r="G730">
        <f t="shared" si="501"/>
        <v>23.536</v>
      </c>
      <c r="H730">
        <f t="shared" si="494"/>
        <v>12.4996842990963</v>
      </c>
      <c r="I730">
        <f t="shared" si="495"/>
        <v>24.6468415649631</v>
      </c>
      <c r="J730">
        <f t="shared" si="496"/>
        <v>44.9543442270271</v>
      </c>
      <c r="K730" s="40">
        <f t="shared" si="473"/>
        <v>112824.385473479</v>
      </c>
      <c r="L730" s="40">
        <f t="shared" si="474"/>
        <v>112836.708894262</v>
      </c>
      <c r="M730" s="40">
        <f t="shared" si="475"/>
        <v>112849.032315044</v>
      </c>
      <c r="N730">
        <v>434.022</v>
      </c>
      <c r="O730">
        <v>431.345</v>
      </c>
      <c r="P730">
        <v>0.001</v>
      </c>
      <c r="Q730" s="39">
        <f t="shared" si="497"/>
        <v>509605.11353158</v>
      </c>
      <c r="R730" s="39">
        <f t="shared" si="498"/>
        <v>3336066.49752841</v>
      </c>
      <c r="S730" s="39">
        <f t="shared" si="499"/>
        <v>509613.052744181</v>
      </c>
      <c r="T730" s="39">
        <f t="shared" si="500"/>
        <v>3336057.10059146</v>
      </c>
      <c r="U730" s="39">
        <f t="shared" si="492"/>
        <v>509618.908574969</v>
      </c>
      <c r="V730" s="39">
        <f t="shared" si="493"/>
        <v>3336046.28196093</v>
      </c>
      <c r="AI730" t="str">
        <f t="array" ref="AI730">IFERROR(INDEX($L$2:$L$189,SMALL(IF(ISNUMBER(FIND($AH$2,$C$2:$C$189)),ROW($2:$189)-1,4^8),ROW(A729)))&amp;"","")</f>
        <v/>
      </c>
      <c r="AS730" t="str">
        <f>"-text"&amp;" "&amp;D730&amp;","&amp;E730&amp;" "&amp;"10"&amp;" "&amp;"0"&amp;" "&amp;C730</f>
        <v>-text 509614.1168,3336057.8267 10 0 IP395</v>
      </c>
      <c r="AT730" t="str">
        <f t="shared" si="478"/>
        <v>509614.1168,3336057.8267</v>
      </c>
      <c r="AV730">
        <f t="shared" si="477"/>
        <v>435.195</v>
      </c>
      <c r="AX730" t="str">
        <f t="shared" si="479"/>
        <v>pl 56418.3544471309,279 56418.3544471309,400 </v>
      </c>
      <c r="AY730" t="str">
        <f t="shared" si="480"/>
        <v>56418.3544471309,431.345</v>
      </c>
      <c r="AZ730" t="str">
        <f t="shared" si="481"/>
        <v>56418.3544471309,434.022</v>
      </c>
      <c r="BA730" t="str">
        <f t="shared" si="482"/>
        <v>56418.3544471309,435.195</v>
      </c>
      <c r="BB730" t="str">
        <f t="shared" si="483"/>
        <v>-text 56417.3544471309,337 3.5 90 431.345 </v>
      </c>
      <c r="BC730" t="str">
        <f t="shared" si="484"/>
        <v>-text 56417.3544471309,320 3.5 90 435.195 </v>
      </c>
      <c r="BD730" t="str">
        <f t="shared" si="485"/>
        <v>-text 56417.3544471309,306 3.5 90 434.022 </v>
      </c>
      <c r="BE730" t="str">
        <f t="shared" si="486"/>
        <v>-text 56417.3544471309,352 3.5 90 ZG112+836.709 </v>
      </c>
      <c r="BF730" t="str">
        <f t="shared" si="487"/>
        <v>-text 56417.3544471309,280 3.5 90 IP395 </v>
      </c>
      <c r="BG730" t="str">
        <f t="shared" si="488"/>
        <v>-TEXT 56419.3544471309,300 3.5 0 R=60</v>
      </c>
      <c r="BH730" t="str">
        <f t="shared" si="489"/>
        <v>-TEXT 56419.3544471309,295 3.5 0 α=23.54° </v>
      </c>
      <c r="BI730" t="str">
        <f t="shared" si="490"/>
        <v>-TEXT 56419.3544471309,290 3.5 0 T=12.50 </v>
      </c>
      <c r="BJ730" t="str">
        <f t="shared" si="491"/>
        <v>-TEXT 56419.3544471309,285 3.5 0 S=24.65 </v>
      </c>
    </row>
    <row r="731" spans="1:62">
      <c r="A731">
        <v>0</v>
      </c>
      <c r="B731">
        <v>730</v>
      </c>
      <c r="C731" t="s">
        <v>690</v>
      </c>
      <c r="D731" s="39">
        <v>509652.7383</v>
      </c>
      <c r="E731" s="39">
        <v>3335964.7766</v>
      </c>
      <c r="F731">
        <v>60</v>
      </c>
      <c r="G731">
        <f t="shared" si="501"/>
        <v>11.049</v>
      </c>
      <c r="H731">
        <f t="shared" si="494"/>
        <v>5.80323817447008</v>
      </c>
      <c r="I731">
        <f t="shared" si="495"/>
        <v>11.5704857431712</v>
      </c>
      <c r="J731">
        <f t="shared" si="496"/>
        <v>100.746917433145</v>
      </c>
      <c r="K731" s="40">
        <f t="shared" si="473"/>
        <v>112931.476310004</v>
      </c>
      <c r="L731" s="40">
        <f t="shared" si="474"/>
        <v>112937.261552875</v>
      </c>
      <c r="M731" s="40">
        <f t="shared" si="475"/>
        <v>112943.046795747</v>
      </c>
      <c r="N731">
        <v>434.002</v>
      </c>
      <c r="O731">
        <v>431.325</v>
      </c>
      <c r="P731">
        <v>0</v>
      </c>
      <c r="Q731" s="39">
        <f t="shared" si="497"/>
        <v>509650.513618899</v>
      </c>
      <c r="R731" s="39">
        <f t="shared" si="498"/>
        <v>3335970.13648501</v>
      </c>
      <c r="S731" s="39">
        <f t="shared" si="499"/>
        <v>509652.470574478</v>
      </c>
      <c r="T731" s="39">
        <f t="shared" si="500"/>
        <v>3335964.69466056</v>
      </c>
      <c r="U731" s="39">
        <f t="shared" si="492"/>
        <v>509653.894566116</v>
      </c>
      <c r="V731" s="39">
        <f t="shared" si="493"/>
        <v>3335959.08971843</v>
      </c>
      <c r="AI731" t="str">
        <f t="array" ref="AI731">IFERROR(INDEX($L$2:$L$189,SMALL(IF(ISNUMBER(FIND($AH$2,$C$2:$C$189)),ROW($2:$189)-1,4^8),ROW(A730)))&amp;"","")</f>
        <v/>
      </c>
      <c r="AS731" t="str">
        <f>"-text"&amp;" "&amp;D731&amp;","&amp;E731&amp;" "&amp;"10"&amp;" "&amp;"0"&amp;" "&amp;C731</f>
        <v>-text 509652.7383,3335964.7766 10 0 IP396</v>
      </c>
      <c r="AT731" t="str">
        <f t="shared" si="478"/>
        <v>509652.7383,3335964.7766</v>
      </c>
      <c r="AV731">
        <f t="shared" si="477"/>
        <v>435.175</v>
      </c>
      <c r="AX731" t="str">
        <f t="shared" si="479"/>
        <v>pl 56468.6307764377,279 56468.6307764377,400 </v>
      </c>
      <c r="AY731" t="str">
        <f t="shared" si="480"/>
        <v>56468.6307764377,431.325</v>
      </c>
      <c r="AZ731" t="str">
        <f t="shared" si="481"/>
        <v>56468.6307764377,434.002</v>
      </c>
      <c r="BA731" t="str">
        <f t="shared" si="482"/>
        <v>56468.6307764377,435.175</v>
      </c>
      <c r="BB731" t="str">
        <f t="shared" si="483"/>
        <v>-text 56467.6307764377,337 3.5 90 431.325 </v>
      </c>
      <c r="BC731" t="str">
        <f t="shared" si="484"/>
        <v>-text 56467.6307764377,320 3.5 90 435.175 </v>
      </c>
      <c r="BD731" t="str">
        <f t="shared" si="485"/>
        <v>-text 56467.6307764377,306 3.5 90 434.002 </v>
      </c>
      <c r="BE731" t="str">
        <f t="shared" si="486"/>
        <v>-text 56467.6307764377,352 3.5 90 ZG112+937.262 </v>
      </c>
      <c r="BF731" t="str">
        <f t="shared" si="487"/>
        <v>-text 56467.6307764377,280 3.5 90 IP396 </v>
      </c>
      <c r="BG731" t="str">
        <f t="shared" si="488"/>
        <v>-TEXT 56469.6307764377,300 3.5 0 R=60</v>
      </c>
      <c r="BH731" t="str">
        <f t="shared" si="489"/>
        <v>-TEXT 56469.6307764377,295 3.5 0 α=11.05° </v>
      </c>
      <c r="BI731" t="str">
        <f t="shared" si="490"/>
        <v>-TEXT 56469.6307764377,290 3.5 0 T=5.80 </v>
      </c>
      <c r="BJ731" t="str">
        <f t="shared" si="491"/>
        <v>-TEXT 56469.6307764377,285 3.5 0 S=11.57 </v>
      </c>
    </row>
    <row r="732" spans="1:62">
      <c r="A732">
        <v>2</v>
      </c>
      <c r="B732">
        <v>731</v>
      </c>
      <c r="C732" t="str">
        <f>Sheet1!C677</f>
        <v>小袁家沟渡槽进</v>
      </c>
      <c r="D732" s="39">
        <v>509665.6514</v>
      </c>
      <c r="E732" s="39">
        <v>3335901.2659</v>
      </c>
      <c r="G732">
        <f t="shared" si="501"/>
        <v>0</v>
      </c>
      <c r="H732">
        <f t="shared" si="494"/>
        <v>0</v>
      </c>
      <c r="I732">
        <f t="shared" si="495"/>
        <v>0</v>
      </c>
      <c r="J732">
        <f t="shared" si="496"/>
        <v>64.8101625217577</v>
      </c>
      <c r="K732" s="40">
        <f t="shared" si="473"/>
        <v>113002.053720094</v>
      </c>
      <c r="L732" s="40">
        <f t="shared" si="474"/>
        <v>113002.053720094</v>
      </c>
      <c r="M732" s="40">
        <f t="shared" si="475"/>
        <v>113002.053720094</v>
      </c>
      <c r="N732">
        <v>433.905</v>
      </c>
      <c r="O732">
        <v>431.211</v>
      </c>
      <c r="P732">
        <v>0</v>
      </c>
      <c r="Q732" s="39">
        <f t="shared" si="497"/>
        <v>509665.6514</v>
      </c>
      <c r="R732" s="39">
        <f t="shared" si="498"/>
        <v>3335901.2659</v>
      </c>
      <c r="S732" s="39" t="str">
        <f t="shared" si="499"/>
        <v> </v>
      </c>
      <c r="T732" s="39" t="str">
        <f t="shared" si="500"/>
        <v> </v>
      </c>
      <c r="U732" s="39" t="str">
        <f t="shared" si="492"/>
        <v> </v>
      </c>
      <c r="V732" s="39" t="str">
        <f t="shared" si="493"/>
        <v> </v>
      </c>
      <c r="AI732" t="str">
        <f t="array" ref="AI732">IFERROR(INDEX($L$2:$L$189,SMALL(IF(ISNUMBER(FIND($AH$2,$C$2:$C$189)),ROW($2:$189)-1,4^8),ROW(A731)))&amp;"","")</f>
        <v/>
      </c>
      <c r="AT732" t="str">
        <f t="shared" si="478"/>
        <v>509665.6514,3335901.2659</v>
      </c>
      <c r="AV732">
        <f t="shared" si="477"/>
        <v>434.461</v>
      </c>
      <c r="AX732" t="str">
        <f t="shared" si="479"/>
        <v>pl 56501.0268600471,279 56501.0268600471,400 </v>
      </c>
      <c r="AY732" t="str">
        <f t="shared" si="480"/>
        <v>56501.0268600471,431.211</v>
      </c>
      <c r="AZ732" t="str">
        <f t="shared" si="481"/>
        <v>56501.0268600471,433.905</v>
      </c>
      <c r="BA732" t="str">
        <f t="shared" si="482"/>
        <v>56501.0268600471,434.461</v>
      </c>
      <c r="BB732" t="str">
        <f t="shared" si="483"/>
        <v>-text 56500.0268600471,337 3.5 90 431.211 </v>
      </c>
      <c r="BC732" t="str">
        <f t="shared" si="484"/>
        <v>-text 56500.0268600471,320 3.5 90 434.461 </v>
      </c>
      <c r="BD732" t="str">
        <f t="shared" si="485"/>
        <v>-text 56500.0268600471,306 3.5 90 433.905 </v>
      </c>
      <c r="BE732" t="str">
        <f t="shared" si="486"/>
        <v>-text 56500.0268600471,352 3.5 90 ZG113+002.054 </v>
      </c>
      <c r="BF732" t="str">
        <f t="shared" si="487"/>
        <v>-text 56500.0268600471,280 3.5 90 小袁家沟渡槽进 </v>
      </c>
      <c r="BG732" t="str">
        <f t="shared" si="488"/>
        <v/>
      </c>
      <c r="BH732" t="str">
        <f t="shared" si="489"/>
        <v> </v>
      </c>
      <c r="BI732" t="str">
        <f t="shared" si="490"/>
        <v> </v>
      </c>
      <c r="BJ732" t="str">
        <f t="shared" si="491"/>
        <v> </v>
      </c>
    </row>
    <row r="733" spans="1:62">
      <c r="A733">
        <v>2</v>
      </c>
      <c r="B733">
        <v>732</v>
      </c>
      <c r="C733" t="s">
        <v>691</v>
      </c>
      <c r="D733" s="39">
        <v>509679.7971</v>
      </c>
      <c r="E733" s="39">
        <v>3335831.6934</v>
      </c>
      <c r="F733">
        <v>60</v>
      </c>
      <c r="G733">
        <f t="shared" si="501"/>
        <v>45.342</v>
      </c>
      <c r="H733">
        <f t="shared" si="494"/>
        <v>25.0628685112478</v>
      </c>
      <c r="I733">
        <f t="shared" si="495"/>
        <v>47.4820313663561</v>
      </c>
      <c r="J733">
        <f t="shared" si="496"/>
        <v>70.9960110478777</v>
      </c>
      <c r="K733" s="40">
        <f t="shared" si="473"/>
        <v>113047.986862631</v>
      </c>
      <c r="L733" s="40">
        <f t="shared" si="474"/>
        <v>113071.727878314</v>
      </c>
      <c r="M733" s="40">
        <f t="shared" si="475"/>
        <v>113095.468893997</v>
      </c>
      <c r="N733">
        <v>433.872</v>
      </c>
      <c r="O733">
        <v>431.178</v>
      </c>
      <c r="P733">
        <v>0.004</v>
      </c>
      <c r="Q733" s="39">
        <f t="shared" si="497"/>
        <v>509674.80341354</v>
      </c>
      <c r="R733" s="39">
        <f t="shared" si="498"/>
        <v>3335856.25374351</v>
      </c>
      <c r="S733" s="39">
        <f t="shared" si="499"/>
        <v>509683.95429373</v>
      </c>
      <c r="T733" s="39">
        <f t="shared" si="500"/>
        <v>3335834.51479088</v>
      </c>
      <c r="U733" s="39">
        <f t="shared" si="492"/>
        <v>509700.777136066</v>
      </c>
      <c r="V733" s="39">
        <f t="shared" si="493"/>
        <v>3335817.98262086</v>
      </c>
      <c r="AI733" t="str">
        <f t="array" ref="AI733">IFERROR(INDEX($L$2:$L$189,SMALL(IF(ISNUMBER(FIND($AH$2,$C$2:$C$189)),ROW($2:$189)-1,4^8),ROW(A732)))&amp;"","")</f>
        <v/>
      </c>
      <c r="AS733" t="str">
        <f>"-text"&amp;" "&amp;D733&amp;","&amp;E733&amp;" "&amp;"10"&amp;" "&amp;"0"&amp;" "&amp;C733</f>
        <v>-text 509679.7971,3335831.6934 10 0 IP397</v>
      </c>
      <c r="AT733" t="str">
        <f t="shared" si="478"/>
        <v>509679.7971,3335831.6934</v>
      </c>
      <c r="AV733">
        <f t="shared" si="477"/>
        <v>434.428</v>
      </c>
      <c r="AX733" t="str">
        <f t="shared" si="479"/>
        <v>pl 56535.863939157,279 56535.863939157,400 </v>
      </c>
      <c r="AY733" t="str">
        <f t="shared" si="480"/>
        <v>56535.863939157,431.178</v>
      </c>
      <c r="AZ733" t="str">
        <f t="shared" si="481"/>
        <v>56535.863939157,433.872</v>
      </c>
      <c r="BA733" t="str">
        <f t="shared" si="482"/>
        <v>56535.863939157,434.428</v>
      </c>
      <c r="BB733" t="str">
        <f t="shared" si="483"/>
        <v>-text 56534.863939157,337 3.5 90 431.178 </v>
      </c>
      <c r="BC733" t="str">
        <f t="shared" si="484"/>
        <v>-text 56534.863939157,320 3.5 90 434.428 </v>
      </c>
      <c r="BD733" t="str">
        <f t="shared" si="485"/>
        <v>-text 56534.863939157,306 3.5 90 433.872 </v>
      </c>
      <c r="BE733" t="str">
        <f t="shared" si="486"/>
        <v>-text 56534.863939157,352 3.5 90 ZG113+071.728 </v>
      </c>
      <c r="BF733" t="str">
        <f t="shared" si="487"/>
        <v>-text 56534.863939157,280 3.5 90 IP397 </v>
      </c>
      <c r="BG733" t="str">
        <f t="shared" si="488"/>
        <v>-TEXT 56536.863939157,300 3.5 0 R=60</v>
      </c>
      <c r="BH733" t="str">
        <f t="shared" si="489"/>
        <v>-TEXT 56536.863939157,295 3.5 0 α=45.34° </v>
      </c>
      <c r="BI733" t="str">
        <f t="shared" si="490"/>
        <v>-TEXT 56536.863939157,290 3.5 0 T=25.06 </v>
      </c>
      <c r="BJ733" t="str">
        <f t="shared" si="491"/>
        <v>-TEXT 56536.863939157,285 3.5 0 S=47.48 </v>
      </c>
    </row>
    <row r="734" spans="1:62">
      <c r="A734">
        <v>2</v>
      </c>
      <c r="B734">
        <v>733</v>
      </c>
      <c r="C734" t="str">
        <f>Sheet1!C679</f>
        <v>小袁家沟渡槽出</v>
      </c>
      <c r="D734" s="39">
        <v>509860.2072</v>
      </c>
      <c r="E734" s="39">
        <v>3335713.7926</v>
      </c>
      <c r="G734">
        <f t="shared" si="501"/>
        <v>0</v>
      </c>
      <c r="H734">
        <f t="shared" si="494"/>
        <v>0</v>
      </c>
      <c r="I734">
        <f t="shared" si="495"/>
        <v>0</v>
      </c>
      <c r="J734">
        <f t="shared" si="496"/>
        <v>215.51891523191</v>
      </c>
      <c r="K734" s="40">
        <f t="shared" si="473"/>
        <v>113285.924940718</v>
      </c>
      <c r="L734" s="40">
        <f t="shared" si="474"/>
        <v>113285.924940718</v>
      </c>
      <c r="M734" s="40">
        <f t="shared" si="475"/>
        <v>113285.924940718</v>
      </c>
      <c r="N734">
        <v>433.772</v>
      </c>
      <c r="O734">
        <v>431.078</v>
      </c>
      <c r="P734">
        <v>0</v>
      </c>
      <c r="Q734" s="39">
        <f t="shared" si="497"/>
        <v>509860.2072</v>
      </c>
      <c r="R734" s="39">
        <f t="shared" si="498"/>
        <v>3335713.7926</v>
      </c>
      <c r="S734" s="39" t="str">
        <f t="shared" si="499"/>
        <v> </v>
      </c>
      <c r="T734" s="39" t="str">
        <f t="shared" si="500"/>
        <v> </v>
      </c>
      <c r="U734" s="39" t="str">
        <f t="shared" si="492"/>
        <v> </v>
      </c>
      <c r="V734" s="39" t="str">
        <f t="shared" si="493"/>
        <v> </v>
      </c>
      <c r="AI734" t="str">
        <f t="array" ref="AI734">IFERROR(INDEX($L$2:$L$189,SMALL(IF(ISNUMBER(FIND($AH$2,$C$2:$C$189)),ROW($2:$189)-1,4^8),ROW(A733)))&amp;"","")</f>
        <v/>
      </c>
      <c r="AT734" t="str">
        <f t="shared" si="478"/>
        <v>509860.2072,3335713.7926</v>
      </c>
      <c r="AV734">
        <f t="shared" si="477"/>
        <v>434.328</v>
      </c>
      <c r="AX734" t="str">
        <f t="shared" si="479"/>
        <v>pl 56642.962470359,279 56642.962470359,400 </v>
      </c>
      <c r="AY734" t="str">
        <f t="shared" si="480"/>
        <v>56642.962470359,431.078</v>
      </c>
      <c r="AZ734" t="str">
        <f t="shared" si="481"/>
        <v>56642.962470359,433.772</v>
      </c>
      <c r="BA734" t="str">
        <f t="shared" si="482"/>
        <v>56642.962470359,434.328</v>
      </c>
      <c r="BB734" t="str">
        <f t="shared" si="483"/>
        <v>-text 56641.962470359,337 3.5 90 431.078 </v>
      </c>
      <c r="BC734" t="str">
        <f t="shared" si="484"/>
        <v>-text 56641.962470359,320 3.5 90 434.328 </v>
      </c>
      <c r="BD734" t="str">
        <f t="shared" si="485"/>
        <v>-text 56641.962470359,306 3.5 90 433.772 </v>
      </c>
      <c r="BE734" t="str">
        <f t="shared" si="486"/>
        <v>-text 56641.962470359,352 3.5 90 ZG113+285.925 </v>
      </c>
      <c r="BF734" t="str">
        <f t="shared" si="487"/>
        <v>-text 56641.962470359,280 3.5 90 小袁家沟渡槽出 </v>
      </c>
      <c r="BG734" t="str">
        <f t="shared" si="488"/>
        <v/>
      </c>
      <c r="BH734" t="str">
        <f t="shared" si="489"/>
        <v> </v>
      </c>
      <c r="BI734" t="str">
        <f t="shared" si="490"/>
        <v> </v>
      </c>
      <c r="BJ734" t="str">
        <f t="shared" si="491"/>
        <v> </v>
      </c>
    </row>
    <row r="735" spans="1:62">
      <c r="A735">
        <v>1</v>
      </c>
      <c r="B735">
        <v>734</v>
      </c>
      <c r="C735" t="str">
        <f>Sheet1!C680</f>
        <v>七星桥隧进</v>
      </c>
      <c r="D735" s="39">
        <v>509900.039</v>
      </c>
      <c r="E735" s="39">
        <v>3335687.7619</v>
      </c>
      <c r="G735">
        <f t="shared" si="501"/>
        <v>0</v>
      </c>
      <c r="H735">
        <f t="shared" si="494"/>
        <v>0</v>
      </c>
      <c r="I735">
        <f t="shared" si="495"/>
        <v>0</v>
      </c>
      <c r="J735">
        <f t="shared" si="496"/>
        <v>47.5832915394573</v>
      </c>
      <c r="K735" s="40">
        <f t="shared" si="473"/>
        <v>113333.508232257</v>
      </c>
      <c r="L735" s="40">
        <f t="shared" si="474"/>
        <v>113333.508232257</v>
      </c>
      <c r="M735" s="40">
        <f t="shared" si="475"/>
        <v>113333.508232257</v>
      </c>
      <c r="N735">
        <v>433.764</v>
      </c>
      <c r="O735">
        <v>431.08</v>
      </c>
      <c r="P735">
        <v>0</v>
      </c>
      <c r="Q735" s="39">
        <f t="shared" si="497"/>
        <v>509900.039</v>
      </c>
      <c r="R735" s="39">
        <f t="shared" si="498"/>
        <v>3335687.7619</v>
      </c>
      <c r="S735" s="39" t="str">
        <f t="shared" si="499"/>
        <v> </v>
      </c>
      <c r="T735" s="39" t="str">
        <f t="shared" si="500"/>
        <v> </v>
      </c>
      <c r="U735" s="39" t="str">
        <f t="shared" si="492"/>
        <v> </v>
      </c>
      <c r="V735" s="39" t="str">
        <f t="shared" si="493"/>
        <v> </v>
      </c>
      <c r="AI735" t="str">
        <f t="array" ref="AI735">IFERROR(INDEX($L$2:$L$189,SMALL(IF(ISNUMBER(FIND($AH$2,$C$2:$C$189)),ROW($2:$189)-1,4^8),ROW(A734)))&amp;"","")</f>
        <v/>
      </c>
      <c r="AT735" t="str">
        <f t="shared" si="478"/>
        <v>509900.039,3335687.7619</v>
      </c>
      <c r="AV735">
        <f t="shared" si="477"/>
        <v>434.58</v>
      </c>
      <c r="AX735" t="str">
        <f t="shared" si="479"/>
        <v>pl 56666.7541161287,279 56666.7541161287,400 </v>
      </c>
      <c r="AY735" t="str">
        <f t="shared" si="480"/>
        <v>56666.7541161287,431.08</v>
      </c>
      <c r="AZ735" t="str">
        <f t="shared" si="481"/>
        <v>56666.7541161287,433.764</v>
      </c>
      <c r="BA735" t="str">
        <f t="shared" si="482"/>
        <v>56666.7541161287,434.58</v>
      </c>
      <c r="BB735" t="str">
        <f t="shared" si="483"/>
        <v>-text 56665.7541161287,337 3.5 90 431.080 </v>
      </c>
      <c r="BC735" t="str">
        <f t="shared" si="484"/>
        <v>-text 56665.7541161287,320 3.5 90 434.580 </v>
      </c>
      <c r="BD735" t="str">
        <f t="shared" si="485"/>
        <v>-text 56665.7541161287,306 3.5 90 433.764 </v>
      </c>
      <c r="BE735" t="str">
        <f t="shared" si="486"/>
        <v>-text 56665.7541161287,352 3.5 90 ZG113+333.508 </v>
      </c>
      <c r="BF735" t="str">
        <f t="shared" si="487"/>
        <v>-text 56665.7541161287,280 3.5 90 七星桥隧进 </v>
      </c>
      <c r="BG735" t="str">
        <f t="shared" si="488"/>
        <v/>
      </c>
      <c r="BH735" t="str">
        <f t="shared" si="489"/>
        <v> </v>
      </c>
      <c r="BI735" t="str">
        <f t="shared" si="490"/>
        <v> </v>
      </c>
      <c r="BJ735" t="str">
        <f t="shared" si="491"/>
        <v> </v>
      </c>
    </row>
    <row r="736" spans="1:62">
      <c r="A736">
        <v>1</v>
      </c>
      <c r="B736">
        <v>735</v>
      </c>
      <c r="C736" t="s">
        <v>695</v>
      </c>
      <c r="D736" s="39">
        <v>509949.3597</v>
      </c>
      <c r="E736" s="39">
        <v>3335655.53</v>
      </c>
      <c r="F736">
        <v>60</v>
      </c>
      <c r="G736">
        <f t="shared" si="501"/>
        <v>36.207</v>
      </c>
      <c r="H736">
        <f t="shared" si="494"/>
        <v>19.6150797271107</v>
      </c>
      <c r="I736">
        <f t="shared" si="495"/>
        <v>37.9158817361752</v>
      </c>
      <c r="J736">
        <f t="shared" si="496"/>
        <v>58.9188155524115</v>
      </c>
      <c r="K736" s="40">
        <f t="shared" si="473"/>
        <v>113372.811968083</v>
      </c>
      <c r="L736" s="40">
        <f t="shared" si="474"/>
        <v>113391.769908951</v>
      </c>
      <c r="M736" s="40">
        <f t="shared" si="475"/>
        <v>113410.727849819</v>
      </c>
      <c r="N736">
        <v>433.742</v>
      </c>
      <c r="O736">
        <v>431.058</v>
      </c>
      <c r="P736">
        <v>0.002</v>
      </c>
      <c r="Q736" s="39">
        <f t="shared" si="497"/>
        <v>509932.939996827</v>
      </c>
      <c r="R736" s="39">
        <f t="shared" si="498"/>
        <v>3335666.26054986</v>
      </c>
      <c r="S736" s="39">
        <f t="shared" si="499"/>
        <v>509950.171733564</v>
      </c>
      <c r="T736" s="39">
        <f t="shared" si="500"/>
        <v>3335658.54755689</v>
      </c>
      <c r="U736" s="39">
        <f t="shared" si="492"/>
        <v>509968.947140832</v>
      </c>
      <c r="V736" s="39">
        <f t="shared" si="493"/>
        <v>3335656.57091995</v>
      </c>
      <c r="AI736" t="str">
        <f t="array" ref="AI736">IFERROR(INDEX($L$2:$L$189,SMALL(IF(ISNUMBER(FIND($AH$2,$C$2:$C$189)),ROW($2:$189)-1,4^8),ROW(A735)))&amp;"","")</f>
        <v/>
      </c>
      <c r="AS736" t="str">
        <f>"-text"&amp;" "&amp;D736&amp;","&amp;E736&amp;" "&amp;"10"&amp;" "&amp;"0"&amp;" "&amp;C736</f>
        <v>-text 509949.3597,3335655.53 10 0 IP398</v>
      </c>
      <c r="AT736" t="str">
        <f t="shared" si="478"/>
        <v>509949.3597,3335655.53</v>
      </c>
      <c r="AV736">
        <f t="shared" si="477"/>
        <v>434.558</v>
      </c>
      <c r="AX736" t="str">
        <f t="shared" si="479"/>
        <v>pl 56695.8849544754,279 56695.8849544754,400 </v>
      </c>
      <c r="AY736" t="str">
        <f t="shared" si="480"/>
        <v>56695.8849544754,431.058</v>
      </c>
      <c r="AZ736" t="str">
        <f t="shared" si="481"/>
        <v>56695.8849544754,433.742</v>
      </c>
      <c r="BA736" t="str">
        <f t="shared" si="482"/>
        <v>56695.8849544754,434.558</v>
      </c>
      <c r="BB736" t="str">
        <f t="shared" si="483"/>
        <v>-text 56694.8849544754,337 3.5 90 431.058 </v>
      </c>
      <c r="BC736" t="str">
        <f t="shared" si="484"/>
        <v>-text 56694.8849544754,320 3.5 90 434.558 </v>
      </c>
      <c r="BD736" t="str">
        <f t="shared" si="485"/>
        <v>-text 56694.8849544754,306 3.5 90 433.742 </v>
      </c>
      <c r="BE736" t="str">
        <f t="shared" si="486"/>
        <v>-text 56694.8849544754,352 3.5 90 ZG113+391.770 </v>
      </c>
      <c r="BF736" t="str">
        <f t="shared" si="487"/>
        <v>-text 56694.8849544754,280 3.5 90 IP398 </v>
      </c>
      <c r="BG736" t="str">
        <f t="shared" si="488"/>
        <v>-TEXT 56696.8849544754,300 3.5 0 R=60</v>
      </c>
      <c r="BH736" t="str">
        <f t="shared" si="489"/>
        <v>-TEXT 56696.8849544754,295 3.5 0 α=36.21° </v>
      </c>
      <c r="BI736" t="str">
        <f t="shared" si="490"/>
        <v>-TEXT 56696.8849544754,290 3.5 0 T=19.62 </v>
      </c>
      <c r="BJ736" t="str">
        <f t="shared" si="491"/>
        <v>-TEXT 56696.8849544754,285 3.5 0 S=37.92 </v>
      </c>
    </row>
    <row r="737" spans="1:62">
      <c r="A737">
        <v>1</v>
      </c>
      <c r="B737">
        <v>736</v>
      </c>
      <c r="C737" t="s">
        <v>696</v>
      </c>
      <c r="D737" s="39">
        <v>510214.6441</v>
      </c>
      <c r="E737" s="39">
        <v>3335669.6278</v>
      </c>
      <c r="F737">
        <v>60</v>
      </c>
      <c r="G737">
        <f t="shared" si="501"/>
        <v>23.291</v>
      </c>
      <c r="H737">
        <f t="shared" si="494"/>
        <v>12.3658944858316</v>
      </c>
      <c r="I737">
        <f t="shared" si="495"/>
        <v>24.39027816492</v>
      </c>
      <c r="J737">
        <f t="shared" si="496"/>
        <v>265.658730043274</v>
      </c>
      <c r="K737" s="40">
        <f t="shared" si="473"/>
        <v>113644.405605649</v>
      </c>
      <c r="L737" s="40">
        <f t="shared" si="474"/>
        <v>113656.600744732</v>
      </c>
      <c r="M737" s="40">
        <f t="shared" si="475"/>
        <v>113668.795883814</v>
      </c>
      <c r="N737">
        <v>433.646</v>
      </c>
      <c r="O737">
        <v>430.962</v>
      </c>
      <c r="P737">
        <v>0.001</v>
      </c>
      <c r="Q737" s="39">
        <f t="shared" si="497"/>
        <v>510202.295629846</v>
      </c>
      <c r="R737" s="39">
        <f t="shared" si="498"/>
        <v>3335668.97157497</v>
      </c>
      <c r="S737" s="39">
        <f t="shared" si="499"/>
        <v>510214.455459615</v>
      </c>
      <c r="T737" s="39">
        <f t="shared" si="500"/>
        <v>3335668.38096674</v>
      </c>
      <c r="U737" s="39">
        <f t="shared" si="492"/>
        <v>510226.24577484</v>
      </c>
      <c r="V737" s="39">
        <f t="shared" si="493"/>
        <v>3335665.34802345</v>
      </c>
      <c r="AI737" t="str">
        <f t="array" ref="AI737">IFERROR(INDEX($L$2:$L$189,SMALL(IF(ISNUMBER(FIND($AH$2,$C$2:$C$189)),ROW($2:$189)-1,4^8),ROW(A736)))&amp;"","")</f>
        <v/>
      </c>
      <c r="AS737" t="str">
        <f>"-text"&amp;" "&amp;D737&amp;","&amp;E737&amp;" "&amp;"10"&amp;" "&amp;"0"&amp;" "&amp;C737</f>
        <v>-text 510214.6441,3335669.6278 10 0 IP399</v>
      </c>
      <c r="AT737" t="str">
        <f t="shared" si="478"/>
        <v>510214.6441,3335669.6278</v>
      </c>
      <c r="AV737">
        <f t="shared" si="477"/>
        <v>434.462</v>
      </c>
      <c r="AX737" t="str">
        <f t="shared" si="479"/>
        <v>pl 56828.3003723658,279 56828.3003723658,400 </v>
      </c>
      <c r="AY737" t="str">
        <f t="shared" si="480"/>
        <v>56828.3003723658,430.962</v>
      </c>
      <c r="AZ737" t="str">
        <f t="shared" si="481"/>
        <v>56828.3003723658,433.646</v>
      </c>
      <c r="BA737" t="str">
        <f t="shared" si="482"/>
        <v>56828.3003723658,434.462</v>
      </c>
      <c r="BB737" t="str">
        <f t="shared" si="483"/>
        <v>-text 56827.3003723658,337 3.5 90 430.962 </v>
      </c>
      <c r="BC737" t="str">
        <f t="shared" si="484"/>
        <v>-text 56827.3003723658,320 3.5 90 434.462 </v>
      </c>
      <c r="BD737" t="str">
        <f t="shared" si="485"/>
        <v>-text 56827.3003723658,306 3.5 90 433.646 </v>
      </c>
      <c r="BE737" t="str">
        <f t="shared" si="486"/>
        <v>-text 56827.3003723658,352 3.5 90 ZG113+656.601 </v>
      </c>
      <c r="BF737" t="str">
        <f t="shared" si="487"/>
        <v>-text 56827.3003723658,280 3.5 90 IP399 </v>
      </c>
      <c r="BG737" t="str">
        <f t="shared" si="488"/>
        <v>-TEXT 56829.3003723658,300 3.5 0 R=60</v>
      </c>
      <c r="BH737" t="str">
        <f t="shared" si="489"/>
        <v>-TEXT 56829.3003723658,295 3.5 0 α=23.29° </v>
      </c>
      <c r="BI737" t="str">
        <f t="shared" si="490"/>
        <v>-TEXT 56829.3003723658,290 3.5 0 T=12.37 </v>
      </c>
      <c r="BJ737" t="str">
        <f t="shared" si="491"/>
        <v>-TEXT 56829.3003723658,285 3.5 0 S=24.39 </v>
      </c>
    </row>
    <row r="738" spans="1:62">
      <c r="A738">
        <v>1</v>
      </c>
      <c r="B738">
        <v>737</v>
      </c>
      <c r="C738" t="str">
        <f>Sheet1!C683</f>
        <v>七星桥隧出</v>
      </c>
      <c r="D738" s="39">
        <v>510337.6749</v>
      </c>
      <c r="E738" s="39">
        <v>3335624.2426</v>
      </c>
      <c r="G738">
        <f t="shared" si="501"/>
        <v>0</v>
      </c>
      <c r="H738">
        <f t="shared" si="494"/>
        <v>0</v>
      </c>
      <c r="I738">
        <f t="shared" si="495"/>
        <v>0</v>
      </c>
      <c r="J738">
        <f t="shared" si="496"/>
        <v>131.135022506091</v>
      </c>
      <c r="K738" s="40">
        <f t="shared" si="473"/>
        <v>113787.565011834</v>
      </c>
      <c r="L738" s="40">
        <f t="shared" si="474"/>
        <v>113787.565011834</v>
      </c>
      <c r="M738" s="40">
        <f t="shared" si="475"/>
        <v>113787.565011834</v>
      </c>
      <c r="N738">
        <v>433.599</v>
      </c>
      <c r="O738">
        <v>430.915</v>
      </c>
      <c r="P738">
        <v>0</v>
      </c>
      <c r="Q738" s="39">
        <f t="shared" si="497"/>
        <v>510337.6749</v>
      </c>
      <c r="R738" s="39">
        <f t="shared" si="498"/>
        <v>3335624.2426</v>
      </c>
      <c r="S738" s="39" t="str">
        <f t="shared" si="499"/>
        <v> </v>
      </c>
      <c r="T738" s="39" t="str">
        <f t="shared" si="500"/>
        <v> </v>
      </c>
      <c r="U738" s="39" t="str">
        <f t="shared" si="492"/>
        <v> </v>
      </c>
      <c r="V738" s="39" t="str">
        <f t="shared" si="493"/>
        <v> </v>
      </c>
      <c r="AI738" t="str">
        <f t="array" ref="AI738">IFERROR(INDEX($L$2:$L$189,SMALL(IF(ISNUMBER(FIND($AH$2,$C$2:$C$189)),ROW($2:$189)-1,4^8),ROW(A737)))&amp;"","")</f>
        <v/>
      </c>
      <c r="AT738" t="str">
        <f t="shared" si="478"/>
        <v>510337.6749,3335624.2426</v>
      </c>
      <c r="AV738">
        <f t="shared" si="477"/>
        <v>434.415</v>
      </c>
      <c r="AX738" t="str">
        <f t="shared" si="479"/>
        <v>pl 56893.7825059172,279 56893.7825059172,400 </v>
      </c>
      <c r="AY738" t="str">
        <f t="shared" si="480"/>
        <v>56893.7825059172,430.915</v>
      </c>
      <c r="AZ738" t="str">
        <f t="shared" si="481"/>
        <v>56893.7825059172,433.599</v>
      </c>
      <c r="BA738" t="str">
        <f t="shared" si="482"/>
        <v>56893.7825059172,434.415</v>
      </c>
      <c r="BB738" t="str">
        <f t="shared" si="483"/>
        <v>-text 56892.7825059172,337 3.5 90 430.915 </v>
      </c>
      <c r="BC738" t="str">
        <f t="shared" si="484"/>
        <v>-text 56892.7825059172,320 3.5 90 434.415 </v>
      </c>
      <c r="BD738" t="str">
        <f t="shared" si="485"/>
        <v>-text 56892.7825059172,306 3.5 90 433.599 </v>
      </c>
      <c r="BE738" t="str">
        <f t="shared" si="486"/>
        <v>-text 56892.7825059172,352 3.5 90 ZG113+787.565 </v>
      </c>
      <c r="BF738" t="str">
        <f t="shared" si="487"/>
        <v>-text 56892.7825059172,280 3.5 90 七星桥隧出 </v>
      </c>
      <c r="BG738" t="str">
        <f t="shared" si="488"/>
        <v/>
      </c>
      <c r="BH738" t="str">
        <f t="shared" si="489"/>
        <v> </v>
      </c>
      <c r="BI738" t="str">
        <f t="shared" si="490"/>
        <v> </v>
      </c>
      <c r="BJ738" t="str">
        <f t="shared" si="491"/>
        <v> </v>
      </c>
    </row>
    <row r="739" spans="1:62">
      <c r="A739">
        <v>0</v>
      </c>
      <c r="B739">
        <v>738</v>
      </c>
      <c r="C739" t="s">
        <v>698</v>
      </c>
      <c r="D739" s="39">
        <v>510394.5184</v>
      </c>
      <c r="E739" s="39">
        <v>3335603.2735</v>
      </c>
      <c r="F739">
        <v>60</v>
      </c>
      <c r="G739">
        <f t="shared" si="501"/>
        <v>66.362</v>
      </c>
      <c r="H739">
        <f t="shared" si="494"/>
        <v>39.2344891318822</v>
      </c>
      <c r="I739">
        <f t="shared" si="495"/>
        <v>69.4941238925086</v>
      </c>
      <c r="J739">
        <f t="shared" si="496"/>
        <v>60.5878424030478</v>
      </c>
      <c r="K739" s="40">
        <f t="shared" si="473"/>
        <v>113808.918365106</v>
      </c>
      <c r="L739" s="40">
        <f t="shared" si="474"/>
        <v>113843.665427052</v>
      </c>
      <c r="M739" s="40">
        <f t="shared" si="475"/>
        <v>113878.412488998</v>
      </c>
      <c r="N739">
        <v>433.612</v>
      </c>
      <c r="O739">
        <v>430.935</v>
      </c>
      <c r="P739">
        <v>0.002</v>
      </c>
      <c r="Q739" s="39">
        <f t="shared" si="497"/>
        <v>510357.708611196</v>
      </c>
      <c r="R739" s="39">
        <f t="shared" si="498"/>
        <v>3335616.85232858</v>
      </c>
      <c r="S739" s="39">
        <f t="shared" si="499"/>
        <v>510385.130503085</v>
      </c>
      <c r="T739" s="39">
        <f t="shared" si="500"/>
        <v>3335596.30894325</v>
      </c>
      <c r="U739" s="39">
        <f t="shared" si="492"/>
        <v>510396.838072318</v>
      </c>
      <c r="V739" s="39">
        <f t="shared" si="493"/>
        <v>3335564.10764424</v>
      </c>
      <c r="AI739" t="str">
        <f t="array" ref="AI739">IFERROR(INDEX($L$2:$L$189,SMALL(IF(ISNUMBER(FIND($AH$2,$C$2:$C$189)),ROW($2:$189)-1,4^8),ROW(A738)))&amp;"","")</f>
        <v/>
      </c>
      <c r="AS739" t="str">
        <f>"-text"&amp;" "&amp;D739&amp;","&amp;E739&amp;" "&amp;"10"&amp;" "&amp;"0"&amp;" "&amp;C739</f>
        <v>-text 510394.5184,3335603.2735 10 0 IP400</v>
      </c>
      <c r="AT739" t="str">
        <f t="shared" si="478"/>
        <v>510394.5184,3335603.2735</v>
      </c>
      <c r="AV739">
        <f t="shared" si="477"/>
        <v>434.785</v>
      </c>
      <c r="AX739" t="str">
        <f t="shared" si="479"/>
        <v>pl 56921.8327135259,279 56921.8327135259,400 </v>
      </c>
      <c r="AY739" t="str">
        <f t="shared" si="480"/>
        <v>56921.8327135259,430.935</v>
      </c>
      <c r="AZ739" t="str">
        <f t="shared" si="481"/>
        <v>56921.8327135259,433.612</v>
      </c>
      <c r="BA739" t="str">
        <f t="shared" si="482"/>
        <v>56921.8327135259,434.785</v>
      </c>
      <c r="BB739" t="str">
        <f t="shared" si="483"/>
        <v>-text 56920.8327135259,337 3.5 90 430.935 </v>
      </c>
      <c r="BC739" t="str">
        <f t="shared" si="484"/>
        <v>-text 56920.8327135259,320 3.5 90 434.785 </v>
      </c>
      <c r="BD739" t="str">
        <f t="shared" si="485"/>
        <v>-text 56920.8327135259,306 3.5 90 433.612 </v>
      </c>
      <c r="BE739" t="str">
        <f t="shared" si="486"/>
        <v>-text 56920.8327135259,352 3.5 90 ZG113+843.665 </v>
      </c>
      <c r="BF739" t="str">
        <f t="shared" si="487"/>
        <v>-text 56920.8327135259,280 3.5 90 IP400 </v>
      </c>
      <c r="BG739" t="str">
        <f t="shared" si="488"/>
        <v>-TEXT 56922.8327135259,300 3.5 0 R=60</v>
      </c>
      <c r="BH739" t="str">
        <f t="shared" si="489"/>
        <v>-TEXT 56922.8327135259,295 3.5 0 α=66.36° </v>
      </c>
      <c r="BI739" t="str">
        <f t="shared" si="490"/>
        <v>-TEXT 56922.8327135259,290 3.5 0 T=39.23 </v>
      </c>
      <c r="BJ739" t="str">
        <f t="shared" si="491"/>
        <v>-TEXT 56922.8327135259,285 3.5 0 S=69.49 </v>
      </c>
    </row>
    <row r="740" spans="1:62">
      <c r="A740">
        <v>0</v>
      </c>
      <c r="B740">
        <v>739</v>
      </c>
      <c r="C740" t="s">
        <v>701</v>
      </c>
      <c r="D740" s="39">
        <v>510400.8666</v>
      </c>
      <c r="E740" s="39">
        <v>3335496.0891</v>
      </c>
      <c r="F740">
        <v>40</v>
      </c>
      <c r="G740">
        <f t="shared" si="501"/>
        <v>53.024</v>
      </c>
      <c r="H740">
        <f t="shared" si="494"/>
        <v>19.9537255243508</v>
      </c>
      <c r="I740">
        <f t="shared" si="495"/>
        <v>37.0177353030989</v>
      </c>
      <c r="J740">
        <f t="shared" si="496"/>
        <v>107.37222753874</v>
      </c>
      <c r="K740" s="40">
        <f t="shared" si="473"/>
        <v>113926.596501881</v>
      </c>
      <c r="L740" s="40">
        <f t="shared" si="474"/>
        <v>113945.105369532</v>
      </c>
      <c r="M740" s="40">
        <f t="shared" si="475"/>
        <v>113963.614237184</v>
      </c>
      <c r="N740">
        <v>433.591</v>
      </c>
      <c r="O740">
        <v>430.914</v>
      </c>
      <c r="P740">
        <v>0.002</v>
      </c>
      <c r="Q740" s="39">
        <f t="shared" si="497"/>
        <v>510399.686869978</v>
      </c>
      <c r="R740" s="39">
        <f t="shared" si="498"/>
        <v>3335516.00792023</v>
      </c>
      <c r="S740" s="39">
        <f t="shared" si="499"/>
        <v>510404.94157008</v>
      </c>
      <c r="T740" s="39">
        <f t="shared" si="500"/>
        <v>3335498.43247462</v>
      </c>
      <c r="U740" s="39">
        <f t="shared" si="492"/>
        <v>510417.489169892</v>
      </c>
      <c r="V740" s="39">
        <f t="shared" si="493"/>
        <v>3335485.05092386</v>
      </c>
      <c r="AI740" t="str">
        <f t="array" ref="AI740">IFERROR(INDEX($L$2:$L$189,SMALL(IF(ISNUMBER(FIND($AH$2,$C$2:$C$189)),ROW($2:$189)-1,4^8),ROW(A739)))&amp;"","")</f>
        <v/>
      </c>
      <c r="AS740" t="str">
        <f>"-text"&amp;" "&amp;D740&amp;","&amp;E740&amp;" "&amp;"10"&amp;" "&amp;"0"&amp;" "&amp;C740</f>
        <v>-text 510400.8666,3335496.0891 10 0 IP401</v>
      </c>
      <c r="AT740" t="str">
        <f t="shared" si="478"/>
        <v>510400.8666,3335496.0891</v>
      </c>
      <c r="AV740">
        <f t="shared" si="477"/>
        <v>434.764</v>
      </c>
      <c r="AX740" t="str">
        <f t="shared" si="479"/>
        <v>pl 56972.5526847661,279 56972.5526847661,400 </v>
      </c>
      <c r="AY740" t="str">
        <f t="shared" si="480"/>
        <v>56972.5526847661,430.914</v>
      </c>
      <c r="AZ740" t="str">
        <f t="shared" si="481"/>
        <v>56972.5526847661,433.591</v>
      </c>
      <c r="BA740" t="str">
        <f t="shared" si="482"/>
        <v>56972.5526847661,434.764</v>
      </c>
      <c r="BB740" t="str">
        <f t="shared" si="483"/>
        <v>-text 56971.5526847661,337 3.5 90 430.914 </v>
      </c>
      <c r="BC740" t="str">
        <f t="shared" si="484"/>
        <v>-text 56971.5526847661,320 3.5 90 434.764 </v>
      </c>
      <c r="BD740" t="str">
        <f t="shared" si="485"/>
        <v>-text 56971.5526847661,306 3.5 90 433.591 </v>
      </c>
      <c r="BE740" t="str">
        <f t="shared" si="486"/>
        <v>-text 56971.5526847661,352 3.5 90 ZG113+945.105 </v>
      </c>
      <c r="BF740" t="str">
        <f t="shared" si="487"/>
        <v>-text 56971.5526847661,280 3.5 90 IP401 </v>
      </c>
      <c r="BG740" t="str">
        <f t="shared" si="488"/>
        <v>-TEXT 56973.5526847661,300 3.5 0 R=40</v>
      </c>
      <c r="BH740" t="str">
        <f t="shared" si="489"/>
        <v>-TEXT 56973.5526847661,295 3.5 0 α=53.02° </v>
      </c>
      <c r="BI740" t="str">
        <f t="shared" si="490"/>
        <v>-TEXT 56973.5526847661,290 3.5 0 T=19.95 </v>
      </c>
      <c r="BJ740" t="str">
        <f t="shared" si="491"/>
        <v>-TEXT 56973.5526847661,285 3.5 0 S=37.02 </v>
      </c>
    </row>
    <row r="741" spans="1:62">
      <c r="A741">
        <v>2</v>
      </c>
      <c r="B741">
        <v>740</v>
      </c>
      <c r="C741" t="str">
        <f>Sheet1!C686</f>
        <v>店子沟渡槽进</v>
      </c>
      <c r="D741" s="39">
        <v>510427.1855</v>
      </c>
      <c r="E741" s="39">
        <v>3335478.6121</v>
      </c>
      <c r="G741">
        <f t="shared" si="501"/>
        <v>0</v>
      </c>
      <c r="H741">
        <f t="shared" si="494"/>
        <v>0</v>
      </c>
      <c r="I741">
        <f t="shared" si="495"/>
        <v>0</v>
      </c>
      <c r="J741">
        <f t="shared" si="496"/>
        <v>31.5931958847015</v>
      </c>
      <c r="K741" s="40">
        <f t="shared" si="473"/>
        <v>113975.253707544</v>
      </c>
      <c r="L741" s="40">
        <f t="shared" si="474"/>
        <v>113975.253707544</v>
      </c>
      <c r="M741" s="40">
        <f t="shared" si="475"/>
        <v>113975.253707544</v>
      </c>
      <c r="N741">
        <v>433.5</v>
      </c>
      <c r="O741">
        <v>430.806</v>
      </c>
      <c r="P741">
        <v>0</v>
      </c>
      <c r="Q741" s="39">
        <f t="shared" si="497"/>
        <v>510427.1855</v>
      </c>
      <c r="R741" s="39">
        <f t="shared" si="498"/>
        <v>3335478.6121</v>
      </c>
      <c r="S741" s="39" t="str">
        <f t="shared" si="499"/>
        <v> </v>
      </c>
      <c r="T741" s="39" t="str">
        <f t="shared" si="500"/>
        <v> </v>
      </c>
      <c r="U741" s="39" t="str">
        <f t="shared" si="492"/>
        <v> </v>
      </c>
      <c r="V741" s="39" t="str">
        <f t="shared" si="493"/>
        <v> </v>
      </c>
      <c r="AI741" t="str">
        <f t="array" ref="AI741">IFERROR(INDEX($L$2:$L$189,SMALL(IF(ISNUMBER(FIND($AH$2,$C$2:$C$189)),ROW($2:$189)-1,4^8),ROW(A740)))&amp;"","")</f>
        <v/>
      </c>
      <c r="AT741" t="str">
        <f t="shared" si="478"/>
        <v>510427.1855,3335478.6121</v>
      </c>
      <c r="AV741">
        <f t="shared" si="477"/>
        <v>434.056</v>
      </c>
      <c r="AX741" t="str">
        <f t="shared" si="479"/>
        <v>pl 56987.626853772,279 56987.626853772,400 </v>
      </c>
      <c r="AY741" t="str">
        <f t="shared" si="480"/>
        <v>56987.626853772,430.806</v>
      </c>
      <c r="AZ741" t="str">
        <f t="shared" si="481"/>
        <v>56987.626853772,433.5</v>
      </c>
      <c r="BA741" t="str">
        <f t="shared" si="482"/>
        <v>56987.626853772,434.056</v>
      </c>
      <c r="BB741" t="str">
        <f t="shared" si="483"/>
        <v>-text 56986.626853772,337 3.5 90 430.806 </v>
      </c>
      <c r="BC741" t="str">
        <f t="shared" si="484"/>
        <v>-text 56986.626853772,320 3.5 90 434.056 </v>
      </c>
      <c r="BD741" t="str">
        <f t="shared" si="485"/>
        <v>-text 56986.626853772,306 3.5 90 433.500 </v>
      </c>
      <c r="BE741" t="str">
        <f t="shared" si="486"/>
        <v>-text 56986.626853772,352 3.5 90 ZG113+975.254 </v>
      </c>
      <c r="BF741" t="str">
        <f t="shared" si="487"/>
        <v>-text 56986.626853772,280 3.5 90 店子沟渡槽进 </v>
      </c>
      <c r="BG741" t="str">
        <f t="shared" si="488"/>
        <v/>
      </c>
      <c r="BH741" t="str">
        <f t="shared" si="489"/>
        <v> </v>
      </c>
      <c r="BI741" t="str">
        <f t="shared" si="490"/>
        <v> </v>
      </c>
      <c r="BJ741" t="str">
        <f t="shared" si="491"/>
        <v> </v>
      </c>
    </row>
    <row r="742" spans="1:62">
      <c r="A742">
        <v>2</v>
      </c>
      <c r="B742">
        <v>741</v>
      </c>
      <c r="C742" t="s">
        <v>702</v>
      </c>
      <c r="D742" s="39">
        <v>510503.6409</v>
      </c>
      <c r="E742" s="39">
        <v>3335427.8419</v>
      </c>
      <c r="F742">
        <v>60</v>
      </c>
      <c r="G742">
        <f t="shared" si="501"/>
        <v>20.963</v>
      </c>
      <c r="H742">
        <f t="shared" si="494"/>
        <v>11.1003052608628</v>
      </c>
      <c r="I742">
        <f t="shared" si="495"/>
        <v>21.9524022657343</v>
      </c>
      <c r="J742">
        <f t="shared" si="496"/>
        <v>91.7771289440413</v>
      </c>
      <c r="K742" s="40">
        <f t="shared" si="473"/>
        <v>114055.930531227</v>
      </c>
      <c r="L742" s="40">
        <f t="shared" si="474"/>
        <v>114066.90673236</v>
      </c>
      <c r="M742" s="40">
        <f t="shared" si="475"/>
        <v>114077.882933493</v>
      </c>
      <c r="N742">
        <v>433.457</v>
      </c>
      <c r="O742">
        <v>430.763</v>
      </c>
      <c r="P742">
        <v>0.002</v>
      </c>
      <c r="Q742" s="39">
        <f t="shared" si="497"/>
        <v>510494.393734736</v>
      </c>
      <c r="R742" s="39">
        <f t="shared" si="498"/>
        <v>3335433.98247908</v>
      </c>
      <c r="S742" s="39">
        <f t="shared" si="499"/>
        <v>510504.040441498</v>
      </c>
      <c r="T742" s="39">
        <f t="shared" si="500"/>
        <v>3335428.77840295</v>
      </c>
      <c r="U742" s="39">
        <f t="shared" si="492"/>
        <v>510514.472897517</v>
      </c>
      <c r="V742" s="39">
        <f t="shared" si="493"/>
        <v>3335425.41607917</v>
      </c>
      <c r="AI742" t="str">
        <f t="array" ref="AI742">IFERROR(INDEX($L$2:$L$189,SMALL(IF(ISNUMBER(FIND($AH$2,$C$2:$C$189)),ROW($2:$189)-1,4^8),ROW(A741)))&amp;"","")</f>
        <v/>
      </c>
      <c r="AS742" t="str">
        <f>"-text"&amp;" "&amp;D742&amp;","&amp;E742&amp;" "&amp;"10"&amp;" "&amp;"0"&amp;" "&amp;C742</f>
        <v>-text 510503.6409,3335427.8419 10 0 IP402</v>
      </c>
      <c r="AT742" t="str">
        <f t="shared" si="478"/>
        <v>510503.6409,3335427.8419</v>
      </c>
      <c r="AV742">
        <f t="shared" si="477"/>
        <v>434.013</v>
      </c>
      <c r="AX742" t="str">
        <f t="shared" si="479"/>
        <v>pl 57033.45336618,279 57033.45336618,400 </v>
      </c>
      <c r="AY742" t="str">
        <f t="shared" si="480"/>
        <v>57033.45336618,430.763</v>
      </c>
      <c r="AZ742" t="str">
        <f t="shared" si="481"/>
        <v>57033.45336618,433.457</v>
      </c>
      <c r="BA742" t="str">
        <f t="shared" si="482"/>
        <v>57033.45336618,434.013</v>
      </c>
      <c r="BB742" t="str">
        <f t="shared" si="483"/>
        <v>-text 57032.45336618,337 3.5 90 430.763 </v>
      </c>
      <c r="BC742" t="str">
        <f t="shared" si="484"/>
        <v>-text 57032.45336618,320 3.5 90 434.013 </v>
      </c>
      <c r="BD742" t="str">
        <f t="shared" si="485"/>
        <v>-text 57032.45336618,306 3.5 90 433.457 </v>
      </c>
      <c r="BE742" t="str">
        <f t="shared" si="486"/>
        <v>-text 57032.45336618,352 3.5 90 ZG114+066.907 </v>
      </c>
      <c r="BF742" t="str">
        <f t="shared" si="487"/>
        <v>-text 57032.45336618,280 3.5 90 IP402 </v>
      </c>
      <c r="BG742" t="str">
        <f t="shared" si="488"/>
        <v>-TEXT 57034.45336618,300 3.5 0 R=60</v>
      </c>
      <c r="BH742" t="str">
        <f t="shared" si="489"/>
        <v>-TEXT 57034.45336618,295 3.5 0 α=20.96° </v>
      </c>
      <c r="BI742" t="str">
        <f t="shared" si="490"/>
        <v>-TEXT 57034.45336618,290 3.5 0 T=11.10 </v>
      </c>
      <c r="BJ742" t="str">
        <f t="shared" si="491"/>
        <v>-TEXT 57034.45336618,285 3.5 0 S=21.95 </v>
      </c>
    </row>
    <row r="743" spans="1:62">
      <c r="A743">
        <v>2</v>
      </c>
      <c r="B743">
        <v>742</v>
      </c>
      <c r="C743" t="str">
        <f>Sheet1!C688</f>
        <v>店子沟渡槽出</v>
      </c>
      <c r="D743" s="39">
        <v>510535.791</v>
      </c>
      <c r="E743" s="39">
        <v>3335420.6419</v>
      </c>
      <c r="G743">
        <f t="shared" si="501"/>
        <v>0</v>
      </c>
      <c r="H743">
        <f t="shared" si="494"/>
        <v>0</v>
      </c>
      <c r="I743">
        <f t="shared" si="495"/>
        <v>0</v>
      </c>
      <c r="J743">
        <f t="shared" si="496"/>
        <v>32.9464554999135</v>
      </c>
      <c r="K743" s="40">
        <f t="shared" si="473"/>
        <v>114099.729083732</v>
      </c>
      <c r="L743" s="40">
        <f t="shared" si="474"/>
        <v>114099.729083732</v>
      </c>
      <c r="M743" s="40">
        <f t="shared" si="475"/>
        <v>114099.729083732</v>
      </c>
      <c r="N743">
        <v>433.441</v>
      </c>
      <c r="O743">
        <v>430.747</v>
      </c>
      <c r="P743">
        <v>0</v>
      </c>
      <c r="Q743" s="39">
        <f t="shared" si="497"/>
        <v>510535.791</v>
      </c>
      <c r="R743" s="39">
        <f t="shared" si="498"/>
        <v>3335420.6419</v>
      </c>
      <c r="S743" s="39" t="str">
        <f t="shared" si="499"/>
        <v> </v>
      </c>
      <c r="T743" s="39" t="str">
        <f t="shared" si="500"/>
        <v> </v>
      </c>
      <c r="U743" s="39" t="str">
        <f t="shared" si="492"/>
        <v> </v>
      </c>
      <c r="V743" s="39" t="str">
        <f t="shared" si="493"/>
        <v> </v>
      </c>
      <c r="AI743" t="str">
        <f t="array" ref="AI743">IFERROR(INDEX($L$2:$L$189,SMALL(IF(ISNUMBER(FIND($AH$2,$C$2:$C$189)),ROW($2:$189)-1,4^8),ROW(A742)))&amp;"","")</f>
        <v/>
      </c>
      <c r="AT743" t="str">
        <f t="shared" si="478"/>
        <v>510535.791,3335420.6419</v>
      </c>
      <c r="AV743">
        <f t="shared" si="477"/>
        <v>433.997</v>
      </c>
      <c r="AX743" t="str">
        <f t="shared" si="479"/>
        <v>pl 57049.864541866,279 57049.864541866,400 </v>
      </c>
      <c r="AY743" t="str">
        <f t="shared" si="480"/>
        <v>57049.864541866,430.747</v>
      </c>
      <c r="AZ743" t="str">
        <f t="shared" si="481"/>
        <v>57049.864541866,433.441</v>
      </c>
      <c r="BA743" t="str">
        <f t="shared" si="482"/>
        <v>57049.864541866,433.997</v>
      </c>
      <c r="BB743" t="str">
        <f t="shared" si="483"/>
        <v>-text 57048.864541866,337 3.5 90 430.747 </v>
      </c>
      <c r="BC743" t="str">
        <f t="shared" si="484"/>
        <v>-text 57048.864541866,320 3.5 90 433.997 </v>
      </c>
      <c r="BD743" t="str">
        <f t="shared" si="485"/>
        <v>-text 57048.864541866,306 3.5 90 433.441 </v>
      </c>
      <c r="BE743" t="str">
        <f t="shared" si="486"/>
        <v>-text 57048.864541866,352 3.5 90 ZG114+099.729 </v>
      </c>
      <c r="BF743" t="str">
        <f t="shared" si="487"/>
        <v>-text 57048.864541866,280 3.5 90 店子沟渡槽出 </v>
      </c>
      <c r="BG743" t="str">
        <f t="shared" si="488"/>
        <v/>
      </c>
      <c r="BH743" t="str">
        <f t="shared" si="489"/>
        <v> </v>
      </c>
      <c r="BI743" t="str">
        <f t="shared" si="490"/>
        <v> </v>
      </c>
      <c r="BJ743" t="str">
        <f t="shared" si="491"/>
        <v> </v>
      </c>
    </row>
    <row r="744" spans="1:62">
      <c r="A744">
        <v>1</v>
      </c>
      <c r="B744">
        <v>743</v>
      </c>
      <c r="C744" t="str">
        <f>Sheet1!C689</f>
        <v>瓦厂湾隧进</v>
      </c>
      <c r="D744" s="39">
        <v>510556.9834</v>
      </c>
      <c r="E744" s="39">
        <v>3335415.8959</v>
      </c>
      <c r="G744">
        <f t="shared" si="501"/>
        <v>0</v>
      </c>
      <c r="H744">
        <f t="shared" si="494"/>
        <v>0</v>
      </c>
      <c r="I744">
        <f t="shared" si="495"/>
        <v>0</v>
      </c>
      <c r="J744">
        <f t="shared" si="496"/>
        <v>21.7173279609305</v>
      </c>
      <c r="K744" s="40">
        <f t="shared" si="473"/>
        <v>114121.446411693</v>
      </c>
      <c r="L744" s="40">
        <f t="shared" si="474"/>
        <v>114121.446411693</v>
      </c>
      <c r="M744" s="40">
        <f t="shared" si="475"/>
        <v>114121.446411693</v>
      </c>
      <c r="N744">
        <v>433.438</v>
      </c>
      <c r="O744">
        <v>430.754</v>
      </c>
      <c r="P744">
        <v>0</v>
      </c>
      <c r="Q744" s="39">
        <f t="shared" si="497"/>
        <v>510556.9834</v>
      </c>
      <c r="R744" s="39">
        <f t="shared" si="498"/>
        <v>3335415.8959</v>
      </c>
      <c r="S744" s="39" t="str">
        <f t="shared" si="499"/>
        <v> </v>
      </c>
      <c r="T744" s="39" t="str">
        <f t="shared" si="500"/>
        <v> </v>
      </c>
      <c r="U744" s="39" t="str">
        <f t="shared" si="492"/>
        <v> </v>
      </c>
      <c r="V744" s="39" t="str">
        <f t="shared" si="493"/>
        <v> </v>
      </c>
      <c r="AI744" t="str">
        <f t="array" ref="AI744">IFERROR(INDEX($L$2:$L$189,SMALL(IF(ISNUMBER(FIND($AH$2,$C$2:$C$189)),ROW($2:$189)-1,4^8),ROW(A743)))&amp;"","")</f>
        <v/>
      </c>
      <c r="AT744" t="str">
        <f t="shared" si="478"/>
        <v>510556.9834,3335415.8959</v>
      </c>
      <c r="AV744">
        <f t="shared" si="477"/>
        <v>434.254</v>
      </c>
      <c r="AX744" t="str">
        <f t="shared" si="479"/>
        <v>pl 57060.7232058465,279 57060.7232058465,400 </v>
      </c>
      <c r="AY744" t="str">
        <f t="shared" si="480"/>
        <v>57060.7232058465,430.754</v>
      </c>
      <c r="AZ744" t="str">
        <f t="shared" si="481"/>
        <v>57060.7232058465,433.438</v>
      </c>
      <c r="BA744" t="str">
        <f t="shared" si="482"/>
        <v>57060.7232058465,434.254</v>
      </c>
      <c r="BB744" t="str">
        <f t="shared" si="483"/>
        <v>-text 57059.7232058465,337 3.5 90 430.754 </v>
      </c>
      <c r="BC744" t="str">
        <f t="shared" si="484"/>
        <v>-text 57059.7232058465,320 3.5 90 434.254 </v>
      </c>
      <c r="BD744" t="str">
        <f t="shared" si="485"/>
        <v>-text 57059.7232058465,306 3.5 90 433.438 </v>
      </c>
      <c r="BE744" t="str">
        <f t="shared" si="486"/>
        <v>-text 57059.7232058465,352 3.5 90 ZG114+121.446 </v>
      </c>
      <c r="BF744" t="str">
        <f t="shared" si="487"/>
        <v>-text 57059.7232058465,280 3.5 90 瓦厂湾隧进 </v>
      </c>
      <c r="BG744" t="str">
        <f t="shared" si="488"/>
        <v/>
      </c>
      <c r="BH744" t="str">
        <f t="shared" si="489"/>
        <v> </v>
      </c>
      <c r="BI744" t="str">
        <f t="shared" si="490"/>
        <v> </v>
      </c>
      <c r="BJ744" t="str">
        <f t="shared" si="491"/>
        <v> </v>
      </c>
    </row>
    <row r="745" spans="1:62">
      <c r="A745">
        <v>1</v>
      </c>
      <c r="B745">
        <v>744</v>
      </c>
      <c r="C745" t="s">
        <v>704</v>
      </c>
      <c r="D745" s="39">
        <v>510725.6691</v>
      </c>
      <c r="E745" s="39">
        <v>3335378.1187</v>
      </c>
      <c r="F745">
        <v>60</v>
      </c>
      <c r="G745">
        <f t="shared" si="501"/>
        <v>9.853</v>
      </c>
      <c r="H745">
        <f t="shared" si="494"/>
        <v>5.17177031116291</v>
      </c>
      <c r="I745">
        <f t="shared" si="495"/>
        <v>10.3180374719401</v>
      </c>
      <c r="J745">
        <f t="shared" si="496"/>
        <v>172.864057063095</v>
      </c>
      <c r="K745" s="40">
        <f t="shared" si="473"/>
        <v>114289.138698445</v>
      </c>
      <c r="L745" s="40">
        <f t="shared" si="474"/>
        <v>114294.297717181</v>
      </c>
      <c r="M745" s="40">
        <f t="shared" si="475"/>
        <v>114299.456735917</v>
      </c>
      <c r="N745">
        <v>433.376</v>
      </c>
      <c r="O745">
        <v>430.692</v>
      </c>
      <c r="P745">
        <v>0.001</v>
      </c>
      <c r="Q745" s="39">
        <f t="shared" si="497"/>
        <v>510720.622338342</v>
      </c>
      <c r="R745" s="39">
        <f t="shared" si="498"/>
        <v>3335379.24892339</v>
      </c>
      <c r="S745" s="39">
        <f t="shared" si="499"/>
        <v>510725.602011395</v>
      </c>
      <c r="T745" s="39">
        <f t="shared" si="500"/>
        <v>3335377.90656558</v>
      </c>
      <c r="U745" s="39">
        <f t="shared" si="492"/>
        <v>510730.44800293</v>
      </c>
      <c r="V745" s="39">
        <f t="shared" si="493"/>
        <v>3335376.1415063</v>
      </c>
      <c r="AI745" t="str">
        <f t="array" ref="AI745">IFERROR(INDEX($L$2:$L$189,SMALL(IF(ISNUMBER(FIND($AH$2,$C$2:$C$189)),ROW($2:$189)-1,4^8),ROW(A744)))&amp;"","")</f>
        <v/>
      </c>
      <c r="AS745" t="str">
        <f>"-text"&amp;" "&amp;D745&amp;","&amp;E745&amp;" "&amp;"10"&amp;" "&amp;"0"&amp;" "&amp;C745</f>
        <v>-text 510725.6691,3335378.1187 10 0 IP403</v>
      </c>
      <c r="AT745" t="str">
        <f t="shared" si="478"/>
        <v>510725.6691,3335378.1187</v>
      </c>
      <c r="AV745">
        <f t="shared" si="477"/>
        <v>434.192</v>
      </c>
      <c r="AX745" t="str">
        <f t="shared" si="479"/>
        <v>pl 57147.1488585904,279 57147.1488585904,400 </v>
      </c>
      <c r="AY745" t="str">
        <f t="shared" si="480"/>
        <v>57147.1488585904,430.692</v>
      </c>
      <c r="AZ745" t="str">
        <f t="shared" si="481"/>
        <v>57147.1488585904,433.376</v>
      </c>
      <c r="BA745" t="str">
        <f t="shared" si="482"/>
        <v>57147.1488585904,434.192</v>
      </c>
      <c r="BB745" t="str">
        <f t="shared" si="483"/>
        <v>-text 57146.1488585904,337 3.5 90 430.692 </v>
      </c>
      <c r="BC745" t="str">
        <f t="shared" si="484"/>
        <v>-text 57146.1488585904,320 3.5 90 434.192 </v>
      </c>
      <c r="BD745" t="str">
        <f t="shared" si="485"/>
        <v>-text 57146.1488585904,306 3.5 90 433.376 </v>
      </c>
      <c r="BE745" t="str">
        <f t="shared" si="486"/>
        <v>-text 57146.1488585904,352 3.5 90 ZG114+294.298 </v>
      </c>
      <c r="BF745" t="str">
        <f t="shared" si="487"/>
        <v>-text 57146.1488585904,280 3.5 90 IP403 </v>
      </c>
      <c r="BG745" t="str">
        <f t="shared" si="488"/>
        <v>-TEXT 57148.1488585904,300 3.5 0 R=60</v>
      </c>
      <c r="BH745" t="str">
        <f t="shared" si="489"/>
        <v>-TEXT 57148.1488585904,295 3.5 0 α=9.85° </v>
      </c>
      <c r="BI745" t="str">
        <f t="shared" si="490"/>
        <v>-TEXT 57148.1488585904,290 3.5 0 T=5.17 </v>
      </c>
      <c r="BJ745" t="str">
        <f t="shared" si="491"/>
        <v>-TEXT 57148.1488585904,285 3.5 0 S=10.32 </v>
      </c>
    </row>
    <row r="746" spans="1:62">
      <c r="A746">
        <v>1</v>
      </c>
      <c r="B746">
        <v>745</v>
      </c>
      <c r="C746" t="str">
        <f>Sheet1!C691</f>
        <v>瓦厂湾隧出</v>
      </c>
      <c r="D746" s="39">
        <v>510883.7287</v>
      </c>
      <c r="E746" s="39">
        <v>3335312.7241</v>
      </c>
      <c r="G746">
        <f t="shared" si="501"/>
        <v>0</v>
      </c>
      <c r="H746">
        <f t="shared" si="494"/>
        <v>0</v>
      </c>
      <c r="I746">
        <f t="shared" si="495"/>
        <v>0</v>
      </c>
      <c r="J746">
        <f t="shared" si="496"/>
        <v>171.053473689612</v>
      </c>
      <c r="K746" s="40">
        <f t="shared" si="473"/>
        <v>114465.338439295</v>
      </c>
      <c r="L746" s="40">
        <f t="shared" si="474"/>
        <v>114465.338439295</v>
      </c>
      <c r="M746" s="40">
        <f t="shared" si="475"/>
        <v>114465.338439295</v>
      </c>
      <c r="N746">
        <v>433.315</v>
      </c>
      <c r="O746">
        <v>430.631</v>
      </c>
      <c r="P746">
        <v>0</v>
      </c>
      <c r="Q746" s="39">
        <f t="shared" si="497"/>
        <v>510883.7287</v>
      </c>
      <c r="R746" s="39">
        <f t="shared" si="498"/>
        <v>3335312.7241</v>
      </c>
      <c r="S746" s="39" t="str">
        <f t="shared" si="499"/>
        <v> </v>
      </c>
      <c r="T746" s="39" t="str">
        <f t="shared" si="500"/>
        <v> </v>
      </c>
      <c r="U746" s="39" t="str">
        <f t="shared" si="492"/>
        <v> </v>
      </c>
      <c r="V746" s="39" t="str">
        <f t="shared" si="493"/>
        <v> </v>
      </c>
      <c r="AI746" t="str">
        <f t="array" ref="AI746">IFERROR(INDEX($L$2:$L$189,SMALL(IF(ISNUMBER(FIND($AH$2,$C$2:$C$189)),ROW($2:$189)-1,4^8),ROW(A745)))&amp;"","")</f>
        <v/>
      </c>
      <c r="AT746" t="str">
        <f t="shared" si="478"/>
        <v>510883.7287,3335312.7241</v>
      </c>
      <c r="AV746">
        <f t="shared" si="477"/>
        <v>434.131</v>
      </c>
      <c r="AX746" t="str">
        <f t="shared" si="479"/>
        <v>pl 57232.6692196476,279 57232.6692196476,400 </v>
      </c>
      <c r="AY746" t="str">
        <f t="shared" si="480"/>
        <v>57232.6692196476,430.631</v>
      </c>
      <c r="AZ746" t="str">
        <f t="shared" si="481"/>
        <v>57232.6692196476,433.315</v>
      </c>
      <c r="BA746" t="str">
        <f t="shared" si="482"/>
        <v>57232.6692196476,434.131</v>
      </c>
      <c r="BB746" t="str">
        <f t="shared" si="483"/>
        <v>-text 57231.6692196476,337 3.5 90 430.631 </v>
      </c>
      <c r="BC746" t="str">
        <f t="shared" si="484"/>
        <v>-text 57231.6692196476,320 3.5 90 434.131 </v>
      </c>
      <c r="BD746" t="str">
        <f t="shared" si="485"/>
        <v>-text 57231.6692196476,306 3.5 90 433.315 </v>
      </c>
      <c r="BE746" t="str">
        <f t="shared" si="486"/>
        <v>-text 57231.6692196476,352 3.5 90 ZG114+465.338 </v>
      </c>
      <c r="BF746" t="str">
        <f t="shared" si="487"/>
        <v>-text 57231.6692196476,280 3.5 90 瓦厂湾隧出 </v>
      </c>
      <c r="BG746" t="str">
        <f t="shared" si="488"/>
        <v/>
      </c>
      <c r="BH746" t="str">
        <f t="shared" si="489"/>
        <v> </v>
      </c>
      <c r="BI746" t="str">
        <f t="shared" si="490"/>
        <v> </v>
      </c>
      <c r="BJ746" t="str">
        <f t="shared" si="491"/>
        <v> </v>
      </c>
    </row>
    <row r="747" spans="1:62">
      <c r="A747">
        <v>2</v>
      </c>
      <c r="B747">
        <v>746</v>
      </c>
      <c r="C747" t="str">
        <f>Sheet1!C692</f>
        <v>桐油湾渡槽进</v>
      </c>
      <c r="D747" s="39">
        <v>510893.148</v>
      </c>
      <c r="E747" s="39">
        <v>3335308.827</v>
      </c>
      <c r="G747">
        <f t="shared" si="501"/>
        <v>0</v>
      </c>
      <c r="H747">
        <f t="shared" si="494"/>
        <v>0</v>
      </c>
      <c r="I747">
        <f t="shared" si="495"/>
        <v>0</v>
      </c>
      <c r="J747">
        <f t="shared" si="496"/>
        <v>10.1936549334152</v>
      </c>
      <c r="K747" s="40">
        <f t="shared" si="473"/>
        <v>114475.532094229</v>
      </c>
      <c r="L747" s="40">
        <f t="shared" si="474"/>
        <v>114475.532094229</v>
      </c>
      <c r="M747" s="40">
        <f t="shared" si="475"/>
        <v>114475.532094229</v>
      </c>
      <c r="N747">
        <v>433.253</v>
      </c>
      <c r="O747">
        <v>430.559</v>
      </c>
      <c r="P747">
        <v>0</v>
      </c>
      <c r="Q747" s="39">
        <f t="shared" si="497"/>
        <v>510893.148</v>
      </c>
      <c r="R747" s="39">
        <f t="shared" si="498"/>
        <v>3335308.827</v>
      </c>
      <c r="S747" s="39" t="str">
        <f t="shared" si="499"/>
        <v> </v>
      </c>
      <c r="T747" s="39" t="str">
        <f t="shared" si="500"/>
        <v> </v>
      </c>
      <c r="U747" s="39" t="str">
        <f t="shared" si="492"/>
        <v> </v>
      </c>
      <c r="V747" s="39" t="str">
        <f t="shared" si="493"/>
        <v> </v>
      </c>
      <c r="AI747" t="str">
        <f t="array" ref="AI747">IFERROR(INDEX($L$2:$L$189,SMALL(IF(ISNUMBER(FIND($AH$2,$C$2:$C$189)),ROW($2:$189)-1,4^8),ROW(A746)))&amp;"","")</f>
        <v/>
      </c>
      <c r="AT747" t="str">
        <f t="shared" si="478"/>
        <v>510893.148,3335308.827</v>
      </c>
      <c r="AV747">
        <f t="shared" si="477"/>
        <v>433.809</v>
      </c>
      <c r="AX747" t="str">
        <f t="shared" si="479"/>
        <v>pl 57237.7660471143,279 57237.7660471143,400 </v>
      </c>
      <c r="AY747" t="str">
        <f t="shared" si="480"/>
        <v>57237.7660471143,430.559</v>
      </c>
      <c r="AZ747" t="str">
        <f t="shared" si="481"/>
        <v>57237.7660471143,433.253</v>
      </c>
      <c r="BA747" t="str">
        <f t="shared" si="482"/>
        <v>57237.7660471143,433.809</v>
      </c>
      <c r="BB747" t="str">
        <f t="shared" si="483"/>
        <v>-text 57236.7660471143,337 3.5 90 430.559 </v>
      </c>
      <c r="BC747" t="str">
        <f t="shared" si="484"/>
        <v>-text 57236.7660471143,320 3.5 90 433.809 </v>
      </c>
      <c r="BD747" t="str">
        <f t="shared" si="485"/>
        <v>-text 57236.7660471143,306 3.5 90 433.253 </v>
      </c>
      <c r="BE747" t="str">
        <f t="shared" si="486"/>
        <v>-text 57236.7660471143,352 3.5 90 ZG114+475.532 </v>
      </c>
      <c r="BF747" t="str">
        <f t="shared" si="487"/>
        <v>-text 57236.7660471143,280 3.5 90 桐油湾渡槽进 </v>
      </c>
      <c r="BG747" t="str">
        <f t="shared" si="488"/>
        <v/>
      </c>
      <c r="BH747" t="str">
        <f t="shared" si="489"/>
        <v> </v>
      </c>
      <c r="BI747" t="str">
        <f t="shared" si="490"/>
        <v> </v>
      </c>
      <c r="BJ747" t="str">
        <f t="shared" si="491"/>
        <v> </v>
      </c>
    </row>
    <row r="748" spans="1:62">
      <c r="A748">
        <v>2</v>
      </c>
      <c r="B748">
        <v>747</v>
      </c>
      <c r="C748" t="str">
        <f>Sheet1!C693</f>
        <v>桐油湾渡槽出</v>
      </c>
      <c r="D748" s="39">
        <v>511012.7276</v>
      </c>
      <c r="E748" s="39">
        <v>3335259.3529</v>
      </c>
      <c r="G748">
        <f t="shared" si="501"/>
        <v>0</v>
      </c>
      <c r="H748">
        <f t="shared" si="494"/>
        <v>0</v>
      </c>
      <c r="I748">
        <f t="shared" si="495"/>
        <v>0</v>
      </c>
      <c r="J748">
        <f t="shared" si="496"/>
        <v>129.410074209822</v>
      </c>
      <c r="K748" s="40">
        <f t="shared" si="473"/>
        <v>114604.942168438</v>
      </c>
      <c r="L748" s="40">
        <f t="shared" si="474"/>
        <v>114604.942168438</v>
      </c>
      <c r="M748" s="40">
        <f t="shared" si="475"/>
        <v>114604.942168438</v>
      </c>
      <c r="N748">
        <v>433.194</v>
      </c>
      <c r="O748">
        <v>430.5</v>
      </c>
      <c r="P748">
        <v>0</v>
      </c>
      <c r="Q748" s="39">
        <f t="shared" si="497"/>
        <v>511012.7276</v>
      </c>
      <c r="R748" s="39">
        <f t="shared" si="498"/>
        <v>3335259.3529</v>
      </c>
      <c r="S748" s="39" t="str">
        <f t="shared" si="499"/>
        <v> </v>
      </c>
      <c r="T748" s="39" t="str">
        <f t="shared" si="500"/>
        <v> </v>
      </c>
      <c r="U748" s="39" t="str">
        <f t="shared" si="492"/>
        <v> </v>
      </c>
      <c r="V748" s="39" t="str">
        <f t="shared" si="493"/>
        <v> </v>
      </c>
      <c r="AI748" t="str">
        <f t="array" ref="AI748">IFERROR(INDEX($L$2:$L$189,SMALL(IF(ISNUMBER(FIND($AH$2,$C$2:$C$189)),ROW($2:$189)-1,4^8),ROW(A747)))&amp;"","")</f>
        <v/>
      </c>
      <c r="AT748" t="str">
        <f t="shared" si="478"/>
        <v>511012.7276,3335259.3529</v>
      </c>
      <c r="AV748">
        <f t="shared" si="477"/>
        <v>433.75</v>
      </c>
      <c r="AX748" t="str">
        <f t="shared" si="479"/>
        <v>pl 57302.4710842192,279 57302.4710842192,400 </v>
      </c>
      <c r="AY748" t="str">
        <f t="shared" si="480"/>
        <v>57302.4710842192,430.5</v>
      </c>
      <c r="AZ748" t="str">
        <f t="shared" si="481"/>
        <v>57302.4710842192,433.194</v>
      </c>
      <c r="BA748" t="str">
        <f t="shared" si="482"/>
        <v>57302.4710842192,433.75</v>
      </c>
      <c r="BB748" t="str">
        <f t="shared" si="483"/>
        <v>-text 57301.4710842192,337 3.5 90 430.500 </v>
      </c>
      <c r="BC748" t="str">
        <f t="shared" si="484"/>
        <v>-text 57301.4710842192,320 3.5 90 433.750 </v>
      </c>
      <c r="BD748" t="str">
        <f t="shared" si="485"/>
        <v>-text 57301.4710842192,306 3.5 90 433.194 </v>
      </c>
      <c r="BE748" t="str">
        <f t="shared" si="486"/>
        <v>-text 57301.4710842192,352 3.5 90 ZG114+604.942 </v>
      </c>
      <c r="BF748" t="str">
        <f t="shared" si="487"/>
        <v>-text 57301.4710842192,280 3.5 90 桐油湾渡槽出 </v>
      </c>
      <c r="BG748" t="str">
        <f t="shared" si="488"/>
        <v/>
      </c>
      <c r="BH748" t="str">
        <f t="shared" si="489"/>
        <v> </v>
      </c>
      <c r="BI748" t="str">
        <f t="shared" si="490"/>
        <v> </v>
      </c>
      <c r="BJ748" t="str">
        <f t="shared" si="491"/>
        <v> </v>
      </c>
    </row>
    <row r="749" spans="1:62">
      <c r="A749">
        <v>1</v>
      </c>
      <c r="B749">
        <v>748</v>
      </c>
      <c r="C749" t="str">
        <f>Sheet1!C694</f>
        <v>灵泉洞隧进</v>
      </c>
      <c r="D749" s="39">
        <v>511034.855</v>
      </c>
      <c r="E749" s="39">
        <v>3335250.1981</v>
      </c>
      <c r="G749">
        <f t="shared" si="501"/>
        <v>0</v>
      </c>
      <c r="H749">
        <f t="shared" si="494"/>
        <v>0</v>
      </c>
      <c r="I749">
        <f t="shared" si="495"/>
        <v>0</v>
      </c>
      <c r="J749">
        <f t="shared" si="496"/>
        <v>23.9464442828959</v>
      </c>
      <c r="K749" s="40">
        <f t="shared" si="473"/>
        <v>114628.888612721</v>
      </c>
      <c r="L749" s="40">
        <f t="shared" si="474"/>
        <v>114628.888612721</v>
      </c>
      <c r="M749" s="40">
        <f t="shared" si="475"/>
        <v>114628.888612721</v>
      </c>
      <c r="N749">
        <v>433.19</v>
      </c>
      <c r="O749">
        <v>430.506</v>
      </c>
      <c r="P749">
        <v>0</v>
      </c>
      <c r="Q749" s="39">
        <f t="shared" si="497"/>
        <v>511034.855</v>
      </c>
      <c r="R749" s="39">
        <f t="shared" si="498"/>
        <v>3335250.1981</v>
      </c>
      <c r="S749" s="39" t="str">
        <f t="shared" si="499"/>
        <v> </v>
      </c>
      <c r="T749" s="39" t="str">
        <f t="shared" si="500"/>
        <v> </v>
      </c>
      <c r="U749" s="39" t="str">
        <f t="shared" si="492"/>
        <v> </v>
      </c>
      <c r="V749" s="39" t="str">
        <f t="shared" si="493"/>
        <v> </v>
      </c>
      <c r="AI749" t="str">
        <f t="array" ref="AI749">IFERROR(INDEX($L$2:$L$189,SMALL(IF(ISNUMBER(FIND($AH$2,$C$2:$C$189)),ROW($2:$189)-1,4^8),ROW(A748)))&amp;"","")</f>
        <v/>
      </c>
      <c r="AT749" t="str">
        <f t="shared" si="478"/>
        <v>511034.855,3335250.1981</v>
      </c>
      <c r="AV749">
        <f t="shared" si="477"/>
        <v>434.006</v>
      </c>
      <c r="AX749" t="str">
        <f t="shared" si="479"/>
        <v>pl 57314.4443063607,279 57314.4443063607,400 </v>
      </c>
      <c r="AY749" t="str">
        <f t="shared" si="480"/>
        <v>57314.4443063607,430.506</v>
      </c>
      <c r="AZ749" t="str">
        <f t="shared" si="481"/>
        <v>57314.4443063607,433.19</v>
      </c>
      <c r="BA749" t="str">
        <f t="shared" si="482"/>
        <v>57314.4443063607,434.006</v>
      </c>
      <c r="BB749" t="str">
        <f t="shared" si="483"/>
        <v>-text 57313.4443063607,337 3.5 90 430.506 </v>
      </c>
      <c r="BC749" t="str">
        <f t="shared" si="484"/>
        <v>-text 57313.4443063607,320 3.5 90 434.006 </v>
      </c>
      <c r="BD749" t="str">
        <f t="shared" si="485"/>
        <v>-text 57313.4443063607,306 3.5 90 433.190 </v>
      </c>
      <c r="BE749" t="str">
        <f t="shared" si="486"/>
        <v>-text 57313.4443063607,352 3.5 90 ZG114+628.889 </v>
      </c>
      <c r="BF749" t="str">
        <f t="shared" si="487"/>
        <v>-text 57313.4443063607,280 3.5 90 灵泉洞隧进 </v>
      </c>
      <c r="BG749" t="str">
        <f t="shared" si="488"/>
        <v/>
      </c>
      <c r="BH749" t="str">
        <f t="shared" si="489"/>
        <v> </v>
      </c>
      <c r="BI749" t="str">
        <f t="shared" si="490"/>
        <v> </v>
      </c>
      <c r="BJ749" t="str">
        <f t="shared" si="491"/>
        <v> </v>
      </c>
    </row>
    <row r="750" spans="1:62">
      <c r="A750">
        <v>1</v>
      </c>
      <c r="B750">
        <v>749</v>
      </c>
      <c r="C750" t="s">
        <v>705</v>
      </c>
      <c r="D750" s="39">
        <v>511476.7992</v>
      </c>
      <c r="E750" s="39">
        <v>3335067.3509</v>
      </c>
      <c r="F750">
        <v>60</v>
      </c>
      <c r="G750">
        <f t="shared" si="501"/>
        <v>30.889</v>
      </c>
      <c r="H750">
        <f t="shared" si="494"/>
        <v>16.5769000647497</v>
      </c>
      <c r="I750">
        <f t="shared" si="495"/>
        <v>32.3468851589117</v>
      </c>
      <c r="J750">
        <f t="shared" si="496"/>
        <v>478.275835121925</v>
      </c>
      <c r="K750" s="40">
        <f t="shared" si="473"/>
        <v>115090.587547779</v>
      </c>
      <c r="L750" s="40">
        <f t="shared" si="474"/>
        <v>115106.760990358</v>
      </c>
      <c r="M750" s="40">
        <f t="shared" si="475"/>
        <v>115122.934432937</v>
      </c>
      <c r="N750">
        <v>433.019</v>
      </c>
      <c r="O750">
        <v>430.335</v>
      </c>
      <c r="P750">
        <v>0.002</v>
      </c>
      <c r="Q750" s="39">
        <f t="shared" si="497"/>
        <v>511461.481543745</v>
      </c>
      <c r="R750" s="39">
        <f t="shared" si="498"/>
        <v>3335073.68833028</v>
      </c>
      <c r="S750" s="39">
        <f t="shared" si="499"/>
        <v>511475.417716189</v>
      </c>
      <c r="T750" s="39">
        <f t="shared" si="500"/>
        <v>3335065.57765856</v>
      </c>
      <c r="U750" s="39">
        <f t="shared" si="492"/>
        <v>511486.690694913</v>
      </c>
      <c r="V750" s="39">
        <f t="shared" si="493"/>
        <v>3335054.04857148</v>
      </c>
      <c r="AI750" t="str">
        <f t="array" ref="AI750">IFERROR(INDEX($L$2:$L$189,SMALL(IF(ISNUMBER(FIND($AH$2,$C$2:$C$189)),ROW($2:$189)-1,4^8),ROW(A749)))&amp;"","")</f>
        <v/>
      </c>
      <c r="AS750" t="str">
        <f>"-text"&amp;" "&amp;D750&amp;","&amp;E750&amp;" "&amp;"10"&amp;" "&amp;"0"&amp;" "&amp;C750</f>
        <v>-text 511476.7992,3335067.3509 10 0 IP404</v>
      </c>
      <c r="AT750" t="str">
        <f t="shared" si="478"/>
        <v>511476.7992,3335067.3509</v>
      </c>
      <c r="AV750">
        <f t="shared" si="477"/>
        <v>433.835</v>
      </c>
      <c r="AX750" t="str">
        <f t="shared" si="479"/>
        <v>pl 57553.380495179,279 57553.380495179,400 </v>
      </c>
      <c r="AY750" t="str">
        <f t="shared" si="480"/>
        <v>57553.380495179,430.335</v>
      </c>
      <c r="AZ750" t="str">
        <f t="shared" si="481"/>
        <v>57553.380495179,433.019</v>
      </c>
      <c r="BA750" t="str">
        <f t="shared" si="482"/>
        <v>57553.380495179,433.835</v>
      </c>
      <c r="BB750" t="str">
        <f t="shared" si="483"/>
        <v>-text 57552.380495179,337 3.5 90 430.335 </v>
      </c>
      <c r="BC750" t="str">
        <f t="shared" si="484"/>
        <v>-text 57552.380495179,320 3.5 90 433.835 </v>
      </c>
      <c r="BD750" t="str">
        <f t="shared" si="485"/>
        <v>-text 57552.380495179,306 3.5 90 433.019 </v>
      </c>
      <c r="BE750" t="str">
        <f t="shared" si="486"/>
        <v>-text 57552.380495179,352 3.5 90 ZG115+106.761 </v>
      </c>
      <c r="BF750" t="str">
        <f t="shared" si="487"/>
        <v>-text 57552.380495179,280 3.5 90 IP404 </v>
      </c>
      <c r="BG750" t="str">
        <f t="shared" si="488"/>
        <v>-TEXT 57554.380495179,300 3.5 0 R=60</v>
      </c>
      <c r="BH750" t="str">
        <f t="shared" si="489"/>
        <v>-TEXT 57554.380495179,295 3.5 0 α=30.89° </v>
      </c>
      <c r="BI750" t="str">
        <f t="shared" si="490"/>
        <v>-TEXT 57554.380495179,290 3.5 0 T=16.58 </v>
      </c>
      <c r="BJ750" t="str">
        <f t="shared" si="491"/>
        <v>-TEXT 57554.380495179,285 3.5 0 S=32.35 </v>
      </c>
    </row>
    <row r="751" spans="1:62">
      <c r="A751">
        <v>1</v>
      </c>
      <c r="B751">
        <v>750</v>
      </c>
      <c r="C751" t="s">
        <v>707</v>
      </c>
      <c r="D751" s="39">
        <v>512350.4177</v>
      </c>
      <c r="E751" s="39">
        <v>3333892.487</v>
      </c>
      <c r="F751">
        <v>60</v>
      </c>
      <c r="G751">
        <f t="shared" si="501"/>
        <v>13.116</v>
      </c>
      <c r="H751">
        <f t="shared" si="494"/>
        <v>6.89766952660934</v>
      </c>
      <c r="I751">
        <f t="shared" si="495"/>
        <v>13.7350430814946</v>
      </c>
      <c r="J751">
        <f t="shared" si="496"/>
        <v>1464.07461116737</v>
      </c>
      <c r="K751" s="40">
        <f t="shared" si="473"/>
        <v>116563.534474513</v>
      </c>
      <c r="L751" s="40">
        <f t="shared" si="474"/>
        <v>116570.401996054</v>
      </c>
      <c r="M751" s="40">
        <f t="shared" si="475"/>
        <v>116577.269517595</v>
      </c>
      <c r="N751">
        <v>432.495</v>
      </c>
      <c r="O751">
        <v>429.811</v>
      </c>
      <c r="P751">
        <v>0.001</v>
      </c>
      <c r="Q751" s="39">
        <f t="shared" si="497"/>
        <v>512346.301836191</v>
      </c>
      <c r="R751" s="39">
        <f t="shared" si="498"/>
        <v>3333898.02211608</v>
      </c>
      <c r="S751" s="39">
        <f t="shared" si="499"/>
        <v>512350.705809624</v>
      </c>
      <c r="T751" s="39">
        <f t="shared" si="500"/>
        <v>3333892.75747845</v>
      </c>
      <c r="U751" s="39">
        <f t="shared" si="492"/>
        <v>512355.682231959</v>
      </c>
      <c r="V751" s="39">
        <f t="shared" si="493"/>
        <v>3333888.03025812</v>
      </c>
      <c r="AI751" t="str">
        <f t="array" ref="AI751">IFERROR(INDEX($L$2:$L$189,SMALL(IF(ISNUMBER(FIND($AH$2,$C$2:$C$189)),ROW($2:$189)-1,4^8),ROW(A750)))&amp;"","")</f>
        <v/>
      </c>
      <c r="AS751" t="str">
        <f>"-text"&amp;" "&amp;D751&amp;","&amp;E751&amp;" "&amp;"10"&amp;" "&amp;"0"&amp;" "&amp;C751</f>
        <v>-text 512350.4177,3333892.487 10 0 IP405</v>
      </c>
      <c r="AT751" t="str">
        <f t="shared" si="478"/>
        <v>512350.4177,3333892.487</v>
      </c>
      <c r="AV751">
        <f t="shared" si="477"/>
        <v>433.311</v>
      </c>
      <c r="AX751" t="str">
        <f t="shared" si="479"/>
        <v>pl 58285.2009980271,279 58285.2009980271,400 </v>
      </c>
      <c r="AY751" t="str">
        <f t="shared" si="480"/>
        <v>58285.2009980271,429.811</v>
      </c>
      <c r="AZ751" t="str">
        <f t="shared" si="481"/>
        <v>58285.2009980271,432.495</v>
      </c>
      <c r="BA751" t="str">
        <f t="shared" si="482"/>
        <v>58285.2009980271,433.311</v>
      </c>
      <c r="BB751" t="str">
        <f t="shared" si="483"/>
        <v>-text 58284.2009980271,337 3.5 90 429.811 </v>
      </c>
      <c r="BC751" t="str">
        <f t="shared" si="484"/>
        <v>-text 58284.2009980271,320 3.5 90 433.311 </v>
      </c>
      <c r="BD751" t="str">
        <f t="shared" si="485"/>
        <v>-text 58284.2009980271,306 3.5 90 432.495 </v>
      </c>
      <c r="BE751" t="str">
        <f t="shared" si="486"/>
        <v>-text 58284.2009980271,352 3.5 90 ZG116+570.402 </v>
      </c>
      <c r="BF751" t="str">
        <f t="shared" si="487"/>
        <v>-text 58284.2009980271,280 3.5 90 IP405 </v>
      </c>
      <c r="BG751" t="str">
        <f t="shared" si="488"/>
        <v>-TEXT 58286.2009980271,300 3.5 0 R=60</v>
      </c>
      <c r="BH751" t="str">
        <f t="shared" si="489"/>
        <v>-TEXT 58286.2009980271,295 3.5 0 α=13.12° </v>
      </c>
      <c r="BI751" t="str">
        <f t="shared" si="490"/>
        <v>-TEXT 58286.2009980271,290 3.5 0 T=6.90 </v>
      </c>
      <c r="BJ751" t="str">
        <f t="shared" si="491"/>
        <v>-TEXT 58286.2009980271,285 3.5 0 S=13.74 </v>
      </c>
    </row>
    <row r="752" spans="1:62">
      <c r="A752">
        <v>1</v>
      </c>
      <c r="B752">
        <v>751</v>
      </c>
      <c r="C752" t="s">
        <v>710</v>
      </c>
      <c r="D752" s="39">
        <v>513674.8072</v>
      </c>
      <c r="E752" s="39">
        <v>3332771.3119</v>
      </c>
      <c r="F752">
        <v>60</v>
      </c>
      <c r="G752">
        <f t="shared" si="501"/>
        <v>36.325</v>
      </c>
      <c r="H752">
        <f t="shared" si="494"/>
        <v>19.6834906950863</v>
      </c>
      <c r="I752">
        <f t="shared" si="495"/>
        <v>38.0394510472164</v>
      </c>
      <c r="J752">
        <f t="shared" si="496"/>
        <v>1735.23518652962</v>
      </c>
      <c r="K752" s="40">
        <f t="shared" si="473"/>
        <v>118285.923543903</v>
      </c>
      <c r="L752" s="40">
        <f t="shared" si="474"/>
        <v>118304.943269426</v>
      </c>
      <c r="M752" s="40">
        <f t="shared" si="475"/>
        <v>118323.96299495</v>
      </c>
      <c r="N752">
        <v>431.874</v>
      </c>
      <c r="O752">
        <v>429.19</v>
      </c>
      <c r="P752">
        <v>0.002</v>
      </c>
      <c r="Q752" s="39">
        <f t="shared" si="497"/>
        <v>513659.78410192</v>
      </c>
      <c r="R752" s="39">
        <f t="shared" si="498"/>
        <v>3332784.02985306</v>
      </c>
      <c r="S752" s="39">
        <f t="shared" si="499"/>
        <v>513672.127159888</v>
      </c>
      <c r="T752" s="39">
        <f t="shared" si="500"/>
        <v>3332769.6639281</v>
      </c>
      <c r="U752" s="39">
        <f t="shared" si="492"/>
        <v>513679.37719682</v>
      </c>
      <c r="V752" s="39">
        <f t="shared" si="493"/>
        <v>3332752.16627557</v>
      </c>
      <c r="AI752" t="str">
        <f t="array" ref="AI752">IFERROR(INDEX($L$2:$L$189,SMALL(IF(ISNUMBER(FIND($AH$2,$C$2:$C$189)),ROW($2:$189)-1,4^8),ROW(A751)))&amp;"","")</f>
        <v/>
      </c>
      <c r="AS752" t="str">
        <f>"-text"&amp;" "&amp;D752&amp;","&amp;E752&amp;" "&amp;"10"&amp;" "&amp;"0"&amp;" "&amp;C752</f>
        <v>-text 513674.8072,3332771.3119 10 0 IP406</v>
      </c>
      <c r="AT752" t="str">
        <f t="shared" si="478"/>
        <v>513674.8072,3332771.3119</v>
      </c>
      <c r="AV752">
        <f t="shared" si="477"/>
        <v>432.69</v>
      </c>
      <c r="AX752" t="str">
        <f t="shared" si="479"/>
        <v>pl 59152.4716347132,279 59152.4716347132,400 </v>
      </c>
      <c r="AY752" t="str">
        <f t="shared" si="480"/>
        <v>59152.4716347132,429.19</v>
      </c>
      <c r="AZ752" t="str">
        <f t="shared" si="481"/>
        <v>59152.4716347132,431.874</v>
      </c>
      <c r="BA752" t="str">
        <f t="shared" si="482"/>
        <v>59152.4716347132,432.69</v>
      </c>
      <c r="BB752" t="str">
        <f t="shared" si="483"/>
        <v>-text 59151.4716347132,337 3.5 90 429.190 </v>
      </c>
      <c r="BC752" t="str">
        <f t="shared" si="484"/>
        <v>-text 59151.4716347132,320 3.5 90 432.690 </v>
      </c>
      <c r="BD752" t="str">
        <f t="shared" si="485"/>
        <v>-text 59151.4716347132,306 3.5 90 431.874 </v>
      </c>
      <c r="BE752" t="str">
        <f t="shared" si="486"/>
        <v>-text 59151.4716347132,352 3.5 90 ZG118+304.943 </v>
      </c>
      <c r="BF752" t="str">
        <f t="shared" si="487"/>
        <v>-text 59151.4716347132,280 3.5 90 IP406 </v>
      </c>
      <c r="BG752" t="str">
        <f t="shared" si="488"/>
        <v>-TEXT 59153.4716347132,300 3.5 0 R=60</v>
      </c>
      <c r="BH752" t="str">
        <f t="shared" si="489"/>
        <v>-TEXT 59153.4716347132,295 3.5 0 α=36.33° </v>
      </c>
      <c r="BI752" t="str">
        <f t="shared" si="490"/>
        <v>-TEXT 59153.4716347132,290 3.5 0 T=19.68 </v>
      </c>
      <c r="BJ752" t="str">
        <f t="shared" si="491"/>
        <v>-TEXT 59153.4716347132,285 3.5 0 S=38.04 </v>
      </c>
    </row>
    <row r="753" spans="1:62">
      <c r="A753">
        <v>1</v>
      </c>
      <c r="B753">
        <v>752</v>
      </c>
      <c r="C753" t="str">
        <f>Sheet1!C698</f>
        <v>灵泉洞隧出</v>
      </c>
      <c r="D753" s="39">
        <v>513689.5957</v>
      </c>
      <c r="E753" s="39">
        <v>3332709.3567</v>
      </c>
      <c r="G753">
        <f t="shared" si="501"/>
        <v>0</v>
      </c>
      <c r="H753">
        <f t="shared" si="494"/>
        <v>0</v>
      </c>
      <c r="I753">
        <f t="shared" si="495"/>
        <v>0</v>
      </c>
      <c r="J753">
        <f t="shared" si="496"/>
        <v>63.6957340747051</v>
      </c>
      <c r="K753" s="40">
        <f t="shared" si="473"/>
        <v>118367.97523833</v>
      </c>
      <c r="L753" s="40">
        <f t="shared" si="474"/>
        <v>118367.97523833</v>
      </c>
      <c r="M753" s="40">
        <f t="shared" si="475"/>
        <v>118367.97523833</v>
      </c>
      <c r="N753">
        <v>431.85</v>
      </c>
      <c r="O753">
        <v>429.166</v>
      </c>
      <c r="P753">
        <v>0</v>
      </c>
      <c r="Q753" s="39">
        <f t="shared" si="497"/>
        <v>513689.5957</v>
      </c>
      <c r="R753" s="39">
        <f t="shared" si="498"/>
        <v>3332709.3567</v>
      </c>
      <c r="S753" s="39" t="str">
        <f t="shared" si="499"/>
        <v> </v>
      </c>
      <c r="T753" s="39" t="str">
        <f t="shared" si="500"/>
        <v> </v>
      </c>
      <c r="U753" s="39" t="str">
        <f t="shared" si="492"/>
        <v> </v>
      </c>
      <c r="V753" s="39" t="str">
        <f t="shared" si="493"/>
        <v> </v>
      </c>
      <c r="AI753" t="str">
        <f t="array" ref="AI753">IFERROR(INDEX($L$2:$L$189,SMALL(IF(ISNUMBER(FIND($AH$2,$C$2:$C$189)),ROW($2:$189)-1,4^8),ROW(A752)))&amp;"","")</f>
        <v/>
      </c>
      <c r="AT753" t="str">
        <f t="shared" si="478"/>
        <v>513689.5957,3332709.3567</v>
      </c>
      <c r="AV753">
        <f t="shared" si="477"/>
        <v>432.666</v>
      </c>
      <c r="AX753" t="str">
        <f t="shared" si="479"/>
        <v>pl 59183.9876191649,279 59183.9876191649,400 </v>
      </c>
      <c r="AY753" t="str">
        <f t="shared" si="480"/>
        <v>59183.9876191649,429.166</v>
      </c>
      <c r="AZ753" t="str">
        <f t="shared" si="481"/>
        <v>59183.9876191649,431.85</v>
      </c>
      <c r="BA753" t="str">
        <f t="shared" si="482"/>
        <v>59183.9876191649,432.666</v>
      </c>
      <c r="BB753" t="str">
        <f t="shared" si="483"/>
        <v>-text 59182.9876191649,337 3.5 90 429.166 </v>
      </c>
      <c r="BC753" t="str">
        <f t="shared" si="484"/>
        <v>-text 59182.9876191649,320 3.5 90 432.666 </v>
      </c>
      <c r="BD753" t="str">
        <f t="shared" si="485"/>
        <v>-text 59182.9876191649,306 3.5 90 431.850 </v>
      </c>
      <c r="BE753" t="str">
        <f t="shared" si="486"/>
        <v>-text 59182.9876191649,352 3.5 90 ZG118+367.975 </v>
      </c>
      <c r="BF753" t="str">
        <f t="shared" si="487"/>
        <v>-text 59182.9876191649,280 3.5 90 灵泉洞隧出 </v>
      </c>
      <c r="BG753" t="str">
        <f t="shared" si="488"/>
        <v/>
      </c>
      <c r="BH753" t="str">
        <f t="shared" si="489"/>
        <v> </v>
      </c>
      <c r="BI753" t="str">
        <f t="shared" si="490"/>
        <v> </v>
      </c>
      <c r="BJ753" t="str">
        <f t="shared" si="491"/>
        <v> </v>
      </c>
    </row>
    <row r="754" spans="1:62">
      <c r="A754">
        <v>1</v>
      </c>
      <c r="B754">
        <v>753</v>
      </c>
      <c r="C754" t="str">
        <f>Sheet1!C699</f>
        <v>古柏树隧进</v>
      </c>
      <c r="D754" s="39">
        <v>513708.5539</v>
      </c>
      <c r="E754" s="39">
        <v>3332629.9333</v>
      </c>
      <c r="G754">
        <f t="shared" si="501"/>
        <v>0</v>
      </c>
      <c r="H754">
        <f t="shared" si="494"/>
        <v>0</v>
      </c>
      <c r="I754">
        <f t="shared" si="495"/>
        <v>0</v>
      </c>
      <c r="J754">
        <f t="shared" si="496"/>
        <v>81.6546986692015</v>
      </c>
      <c r="K754" s="40">
        <f t="shared" si="473"/>
        <v>118449.629936999</v>
      </c>
      <c r="L754" s="40">
        <f t="shared" si="474"/>
        <v>118449.629936999</v>
      </c>
      <c r="M754" s="40">
        <f t="shared" si="475"/>
        <v>118449.629936999</v>
      </c>
      <c r="N754">
        <v>431.815</v>
      </c>
      <c r="O754">
        <v>429.131</v>
      </c>
      <c r="P754">
        <v>0</v>
      </c>
      <c r="Q754" s="39">
        <f t="shared" si="497"/>
        <v>513708.5539</v>
      </c>
      <c r="R754" s="39">
        <f t="shared" si="498"/>
        <v>3332629.9333</v>
      </c>
      <c r="S754" s="39" t="str">
        <f t="shared" si="499"/>
        <v> </v>
      </c>
      <c r="T754" s="39" t="str">
        <f t="shared" si="500"/>
        <v> </v>
      </c>
      <c r="U754" s="39" t="str">
        <f t="shared" si="492"/>
        <v> </v>
      </c>
      <c r="V754" s="39" t="str">
        <f t="shared" si="493"/>
        <v> </v>
      </c>
      <c r="AI754" t="str">
        <f t="array" ref="AI754">IFERROR(INDEX($L$2:$L$189,SMALL(IF(ISNUMBER(FIND($AH$2,$C$2:$C$189)),ROW($2:$189)-1,4^8),ROW(A753)))&amp;"","")</f>
        <v/>
      </c>
      <c r="AT754" t="str">
        <f t="shared" si="478"/>
        <v>513708.5539,3332629.9333</v>
      </c>
      <c r="AV754">
        <f t="shared" si="477"/>
        <v>432.631</v>
      </c>
      <c r="AX754" t="str">
        <f t="shared" si="479"/>
        <v>pl 59224.8149684995,279 59224.8149684995,400 </v>
      </c>
      <c r="AY754" t="str">
        <f t="shared" si="480"/>
        <v>59224.8149684995,429.131</v>
      </c>
      <c r="AZ754" t="str">
        <f t="shared" si="481"/>
        <v>59224.8149684995,431.815</v>
      </c>
      <c r="BA754" t="str">
        <f t="shared" si="482"/>
        <v>59224.8149684995,432.631</v>
      </c>
      <c r="BB754" t="str">
        <f t="shared" si="483"/>
        <v>-text 59223.8149684995,337 3.5 90 429.131 </v>
      </c>
      <c r="BC754" t="str">
        <f t="shared" si="484"/>
        <v>-text 59223.8149684995,320 3.5 90 432.631 </v>
      </c>
      <c r="BD754" t="str">
        <f t="shared" si="485"/>
        <v>-text 59223.8149684995,306 3.5 90 431.815 </v>
      </c>
      <c r="BE754" t="str">
        <f t="shared" si="486"/>
        <v>-text 59223.8149684995,352 3.5 90 ZG118+449.630 </v>
      </c>
      <c r="BF754" t="str">
        <f t="shared" si="487"/>
        <v>-text 59223.8149684995,280 3.5 90 古柏树隧进 </v>
      </c>
      <c r="BG754" t="str">
        <f t="shared" si="488"/>
        <v/>
      </c>
      <c r="BH754" t="str">
        <f t="shared" si="489"/>
        <v> </v>
      </c>
      <c r="BI754" t="str">
        <f t="shared" si="490"/>
        <v> </v>
      </c>
      <c r="BJ754" t="str">
        <f t="shared" si="491"/>
        <v> </v>
      </c>
    </row>
    <row r="755" spans="1:62">
      <c r="A755">
        <v>1</v>
      </c>
      <c r="B755">
        <v>754</v>
      </c>
      <c r="C755" t="s">
        <v>715</v>
      </c>
      <c r="D755" s="39">
        <v>513756.9076</v>
      </c>
      <c r="E755" s="39">
        <v>3332427.3603</v>
      </c>
      <c r="F755">
        <v>60</v>
      </c>
      <c r="G755">
        <f t="shared" si="501"/>
        <v>10.018</v>
      </c>
      <c r="H755">
        <f t="shared" si="494"/>
        <v>5.2588168598691</v>
      </c>
      <c r="I755">
        <f t="shared" si="495"/>
        <v>10.4908250678875</v>
      </c>
      <c r="J755">
        <f t="shared" si="496"/>
        <v>208.264016653908</v>
      </c>
      <c r="K755" s="40">
        <f t="shared" ref="K755:K788" si="502">L755-I755/2</f>
        <v>118652.635136793</v>
      </c>
      <c r="L755" s="40">
        <f t="shared" ref="L755:L788" si="503">L754+J755-H755+I755/2+I754/2-H754</f>
        <v>118657.880549327</v>
      </c>
      <c r="M755" s="40">
        <f t="shared" ref="M755:M788" si="504">K755+I755</f>
        <v>118663.125961861</v>
      </c>
      <c r="N755">
        <v>431.74</v>
      </c>
      <c r="O755">
        <v>429.056</v>
      </c>
      <c r="P755">
        <v>0.001</v>
      </c>
      <c r="Q755" s="39">
        <f t="shared" si="497"/>
        <v>513755.686634147</v>
      </c>
      <c r="R755" s="39">
        <f t="shared" si="498"/>
        <v>3332432.47541458</v>
      </c>
      <c r="S755" s="39">
        <f t="shared" si="499"/>
        <v>513757.125808662</v>
      </c>
      <c r="T755" s="39">
        <f t="shared" si="500"/>
        <v>3332427.43303214</v>
      </c>
      <c r="U755" s="39">
        <f t="shared" si="492"/>
        <v>513758.999733821</v>
      </c>
      <c r="V755" s="39">
        <f t="shared" si="493"/>
        <v>3332422.53555847</v>
      </c>
      <c r="AI755" t="str">
        <f t="array" ref="AI755">IFERROR(INDEX($L$2:$L$189,SMALL(IF(ISNUMBER(FIND($AH$2,$C$2:$C$189)),ROW($2:$189)-1,4^8),ROW(A754)))&amp;"","")</f>
        <v/>
      </c>
      <c r="AS755" t="str">
        <f>"-text"&amp;" "&amp;D755&amp;","&amp;E755&amp;" "&amp;"10"&amp;" "&amp;"0"&amp;" "&amp;C755</f>
        <v>-text 513756.9076,3332427.3603 10 0 IP407</v>
      </c>
      <c r="AT755" t="str">
        <f t="shared" si="478"/>
        <v>513756.9076,3332427.3603</v>
      </c>
      <c r="AV755">
        <f t="shared" si="477"/>
        <v>432.556</v>
      </c>
      <c r="AX755" t="str">
        <f t="shared" si="479"/>
        <v>pl 59328.9402746634,279 59328.9402746634,400 </v>
      </c>
      <c r="AY755" t="str">
        <f t="shared" si="480"/>
        <v>59328.9402746634,429.056</v>
      </c>
      <c r="AZ755" t="str">
        <f t="shared" si="481"/>
        <v>59328.9402746634,431.74</v>
      </c>
      <c r="BA755" t="str">
        <f t="shared" si="482"/>
        <v>59328.9402746634,432.556</v>
      </c>
      <c r="BB755" t="str">
        <f t="shared" si="483"/>
        <v>-text 59327.9402746634,337 3.5 90 429.056 </v>
      </c>
      <c r="BC755" t="str">
        <f t="shared" si="484"/>
        <v>-text 59327.9402746634,320 3.5 90 432.556 </v>
      </c>
      <c r="BD755" t="str">
        <f t="shared" si="485"/>
        <v>-text 59327.9402746634,306 3.5 90 431.740 </v>
      </c>
      <c r="BE755" t="str">
        <f t="shared" si="486"/>
        <v>-text 59327.9402746634,352 3.5 90 ZG118+657.881 </v>
      </c>
      <c r="BF755" t="str">
        <f t="shared" si="487"/>
        <v>-text 59327.9402746634,280 3.5 90 IP407 </v>
      </c>
      <c r="BG755" t="str">
        <f t="shared" si="488"/>
        <v>-TEXT 59329.9402746634,300 3.5 0 R=60</v>
      </c>
      <c r="BH755" t="str">
        <f t="shared" si="489"/>
        <v>-TEXT 59329.9402746634,295 3.5 0 α=10.02° </v>
      </c>
      <c r="BI755" t="str">
        <f t="shared" si="490"/>
        <v>-TEXT 59329.9402746634,290 3.5 0 T=5.26 </v>
      </c>
      <c r="BJ755" t="str">
        <f t="shared" si="491"/>
        <v>-TEXT 59329.9402746634,285 3.5 0 S=10.49 </v>
      </c>
    </row>
    <row r="756" spans="1:62">
      <c r="A756">
        <v>1</v>
      </c>
      <c r="B756">
        <v>755</v>
      </c>
      <c r="C756" t="str">
        <f>Sheet1!C701</f>
        <v>古柏树隧出</v>
      </c>
      <c r="D756" s="39">
        <v>513780.0138</v>
      </c>
      <c r="E756" s="39">
        <v>3332374.0743</v>
      </c>
      <c r="G756">
        <f t="shared" si="501"/>
        <v>0</v>
      </c>
      <c r="H756">
        <f t="shared" si="494"/>
        <v>0</v>
      </c>
      <c r="I756">
        <f t="shared" si="495"/>
        <v>0</v>
      </c>
      <c r="J756">
        <f t="shared" si="496"/>
        <v>58.0800677894361</v>
      </c>
      <c r="K756" s="40">
        <f t="shared" si="502"/>
        <v>118715.94721279</v>
      </c>
      <c r="L756" s="40">
        <f t="shared" si="503"/>
        <v>118715.94721279</v>
      </c>
      <c r="M756" s="40">
        <f t="shared" si="504"/>
        <v>118715.94721279</v>
      </c>
      <c r="N756">
        <v>431.719</v>
      </c>
      <c r="O756">
        <v>429.035</v>
      </c>
      <c r="P756">
        <v>0</v>
      </c>
      <c r="Q756" s="39">
        <f t="shared" si="497"/>
        <v>513780.0138</v>
      </c>
      <c r="R756" s="39">
        <f t="shared" si="498"/>
        <v>3332374.0743</v>
      </c>
      <c r="S756" s="39" t="str">
        <f t="shared" si="499"/>
        <v> </v>
      </c>
      <c r="T756" s="39" t="str">
        <f t="shared" si="500"/>
        <v> </v>
      </c>
      <c r="U756" s="39" t="str">
        <f t="shared" si="492"/>
        <v> </v>
      </c>
      <c r="V756" s="39" t="str">
        <f t="shared" si="493"/>
        <v> </v>
      </c>
      <c r="AI756" t="str">
        <f t="array" ref="AI756">IFERROR(INDEX($L$2:$L$189,SMALL(IF(ISNUMBER(FIND($AH$2,$C$2:$C$189)),ROW($2:$189)-1,4^8),ROW(A755)))&amp;"","")</f>
        <v/>
      </c>
      <c r="AT756" t="str">
        <f t="shared" si="478"/>
        <v>513780.0138,3332374.0743</v>
      </c>
      <c r="AV756">
        <f t="shared" si="477"/>
        <v>432.535</v>
      </c>
      <c r="AX756" t="str">
        <f t="shared" si="479"/>
        <v>pl 59357.9736063952,279 59357.9736063952,400 </v>
      </c>
      <c r="AY756" t="str">
        <f t="shared" si="480"/>
        <v>59357.9736063952,429.035</v>
      </c>
      <c r="AZ756" t="str">
        <f t="shared" si="481"/>
        <v>59357.9736063952,431.719</v>
      </c>
      <c r="BA756" t="str">
        <f t="shared" si="482"/>
        <v>59357.9736063952,432.535</v>
      </c>
      <c r="BB756" t="str">
        <f t="shared" si="483"/>
        <v>-text 59356.9736063952,337 3.5 90 429.035 </v>
      </c>
      <c r="BC756" t="str">
        <f t="shared" si="484"/>
        <v>-text 59356.9736063952,320 3.5 90 432.535 </v>
      </c>
      <c r="BD756" t="str">
        <f t="shared" si="485"/>
        <v>-text 59356.9736063952,306 3.5 90 431.719 </v>
      </c>
      <c r="BE756" t="str">
        <f t="shared" si="486"/>
        <v>-text 59356.9736063952,352 3.5 90 ZG118+715.947 </v>
      </c>
      <c r="BF756" t="str">
        <f t="shared" si="487"/>
        <v>-text 59356.9736063952,280 3.5 90 古柏树隧出 </v>
      </c>
      <c r="BG756" t="str">
        <f t="shared" si="488"/>
        <v/>
      </c>
      <c r="BH756" t="str">
        <f t="shared" si="489"/>
        <v> </v>
      </c>
      <c r="BI756" t="str">
        <f t="shared" si="490"/>
        <v> </v>
      </c>
      <c r="BJ756" t="str">
        <f t="shared" si="491"/>
        <v> </v>
      </c>
    </row>
    <row r="757" spans="1:62">
      <c r="A757">
        <v>1</v>
      </c>
      <c r="B757">
        <v>756</v>
      </c>
      <c r="C757" t="str">
        <f>Sheet1!C702</f>
        <v>复兴沟隧进</v>
      </c>
      <c r="D757" s="39">
        <v>513801.8931</v>
      </c>
      <c r="E757" s="39">
        <v>3332323.6177</v>
      </c>
      <c r="G757">
        <f t="shared" si="501"/>
        <v>0</v>
      </c>
      <c r="H757">
        <f t="shared" si="494"/>
        <v>0</v>
      </c>
      <c r="I757">
        <f t="shared" si="495"/>
        <v>0</v>
      </c>
      <c r="J757">
        <f t="shared" si="496"/>
        <v>54.9961112449229</v>
      </c>
      <c r="K757" s="40">
        <f t="shared" si="502"/>
        <v>118770.943324035</v>
      </c>
      <c r="L757" s="40">
        <f t="shared" si="503"/>
        <v>118770.943324035</v>
      </c>
      <c r="M757" s="40">
        <f t="shared" si="504"/>
        <v>118770.943324035</v>
      </c>
      <c r="N757">
        <v>431.689</v>
      </c>
      <c r="O757">
        <v>429.005</v>
      </c>
      <c r="P757">
        <v>0</v>
      </c>
      <c r="Q757" s="39">
        <f t="shared" si="497"/>
        <v>513801.8931</v>
      </c>
      <c r="R757" s="39">
        <f t="shared" si="498"/>
        <v>3332323.6177</v>
      </c>
      <c r="S757" s="39" t="str">
        <f t="shared" si="499"/>
        <v> </v>
      </c>
      <c r="T757" s="39" t="str">
        <f t="shared" si="500"/>
        <v> </v>
      </c>
      <c r="U757" s="39" t="str">
        <f t="shared" si="492"/>
        <v> </v>
      </c>
      <c r="V757" s="39" t="str">
        <f t="shared" si="493"/>
        <v> </v>
      </c>
      <c r="AI757" t="str">
        <f t="array" ref="AI757">IFERROR(INDEX($L$2:$L$189,SMALL(IF(ISNUMBER(FIND($AH$2,$C$2:$C$189)),ROW($2:$189)-1,4^8),ROW(A756)))&amp;"","")</f>
        <v/>
      </c>
      <c r="AT757" t="str">
        <f t="shared" si="478"/>
        <v>513801.8931,3332323.6177</v>
      </c>
      <c r="AV757">
        <f t="shared" si="477"/>
        <v>432.505</v>
      </c>
      <c r="AX757" t="str">
        <f t="shared" si="479"/>
        <v>pl 59385.4716620177,279 59385.4716620177,400 </v>
      </c>
      <c r="AY757" t="str">
        <f t="shared" si="480"/>
        <v>59385.4716620177,429.005</v>
      </c>
      <c r="AZ757" t="str">
        <f t="shared" si="481"/>
        <v>59385.4716620177,431.689</v>
      </c>
      <c r="BA757" t="str">
        <f t="shared" si="482"/>
        <v>59385.4716620177,432.505</v>
      </c>
      <c r="BB757" t="str">
        <f t="shared" si="483"/>
        <v>-text 59384.4716620177,337 3.5 90 429.005 </v>
      </c>
      <c r="BC757" t="str">
        <f t="shared" si="484"/>
        <v>-text 59384.4716620177,320 3.5 90 432.505 </v>
      </c>
      <c r="BD757" t="str">
        <f t="shared" si="485"/>
        <v>-text 59384.4716620177,306 3.5 90 431.689 </v>
      </c>
      <c r="BE757" t="str">
        <f t="shared" si="486"/>
        <v>-text 59384.4716620177,352 3.5 90 ZG118+770.943 </v>
      </c>
      <c r="BF757" t="str">
        <f t="shared" si="487"/>
        <v>-text 59384.4716620177,280 3.5 90 复兴沟隧进 </v>
      </c>
      <c r="BG757" t="str">
        <f t="shared" si="488"/>
        <v/>
      </c>
      <c r="BH757" t="str">
        <f t="shared" si="489"/>
        <v> </v>
      </c>
      <c r="BI757" t="str">
        <f t="shared" si="490"/>
        <v> </v>
      </c>
      <c r="BJ757" t="str">
        <f t="shared" si="491"/>
        <v> </v>
      </c>
    </row>
    <row r="758" spans="1:62">
      <c r="A758">
        <v>1</v>
      </c>
      <c r="B758">
        <v>757</v>
      </c>
      <c r="C758" t="s">
        <v>716</v>
      </c>
      <c r="D758" s="39">
        <v>513824.9792</v>
      </c>
      <c r="E758" s="39">
        <v>3332270.3779</v>
      </c>
      <c r="F758">
        <v>60</v>
      </c>
      <c r="G758">
        <f t="shared" si="501"/>
        <v>6.903</v>
      </c>
      <c r="H758">
        <f t="shared" si="494"/>
        <v>3.61878075968311</v>
      </c>
      <c r="I758">
        <f t="shared" si="495"/>
        <v>7.22880469591011</v>
      </c>
      <c r="J758">
        <f t="shared" si="496"/>
        <v>58.0296847933151</v>
      </c>
      <c r="K758" s="40">
        <f t="shared" si="502"/>
        <v>118825.354228069</v>
      </c>
      <c r="L758" s="40">
        <f t="shared" si="503"/>
        <v>118828.968630417</v>
      </c>
      <c r="M758" s="40">
        <f t="shared" si="504"/>
        <v>118832.583032765</v>
      </c>
      <c r="N758">
        <v>431.668</v>
      </c>
      <c r="O758">
        <v>428.984</v>
      </c>
      <c r="P758">
        <v>0</v>
      </c>
      <c r="Q758" s="39">
        <f t="shared" si="497"/>
        <v>513823.539531065</v>
      </c>
      <c r="R758" s="39">
        <f t="shared" si="498"/>
        <v>3332273.69797945</v>
      </c>
      <c r="S758" s="39">
        <f t="shared" si="499"/>
        <v>513824.876736823</v>
      </c>
      <c r="T758" s="39">
        <f t="shared" si="500"/>
        <v>3332270.34062431</v>
      </c>
      <c r="U758" s="39">
        <f t="shared" si="492"/>
        <v>513826.009387938</v>
      </c>
      <c r="V758" s="39">
        <f t="shared" si="493"/>
        <v>3332266.90885301</v>
      </c>
      <c r="AI758" t="str">
        <f t="array" ref="AI758">IFERROR(INDEX($L$2:$L$189,SMALL(IF(ISNUMBER(FIND($AH$2,$C$2:$C$189)),ROW($2:$189)-1,4^8),ROW(A757)))&amp;"","")</f>
        <v/>
      </c>
      <c r="AS758" t="str">
        <f>"-text"&amp;" "&amp;D758&amp;","&amp;E758&amp;" "&amp;"10"&amp;" "&amp;"0"&amp;" "&amp;C758</f>
        <v>-text 513824.9792,3332270.3779 10 0 IP408</v>
      </c>
      <c r="AT758" t="str">
        <f t="shared" si="478"/>
        <v>513824.9792,3332270.3779</v>
      </c>
      <c r="AV758">
        <f t="shared" si="477"/>
        <v>432.484</v>
      </c>
      <c r="AX758" t="str">
        <f t="shared" si="479"/>
        <v>pl 59414.4843152085,279 59414.4843152085,400 </v>
      </c>
      <c r="AY758" t="str">
        <f t="shared" si="480"/>
        <v>59414.4843152085,428.984</v>
      </c>
      <c r="AZ758" t="str">
        <f t="shared" si="481"/>
        <v>59414.4843152085,431.668</v>
      </c>
      <c r="BA758" t="str">
        <f t="shared" si="482"/>
        <v>59414.4843152085,432.484</v>
      </c>
      <c r="BB758" t="str">
        <f t="shared" si="483"/>
        <v>-text 59413.4843152085,337 3.5 90 428.984 </v>
      </c>
      <c r="BC758" t="str">
        <f t="shared" si="484"/>
        <v>-text 59413.4843152085,320 3.5 90 432.484 </v>
      </c>
      <c r="BD758" t="str">
        <f t="shared" si="485"/>
        <v>-text 59413.4843152085,306 3.5 90 431.668 </v>
      </c>
      <c r="BE758" t="str">
        <f t="shared" si="486"/>
        <v>-text 59413.4843152085,352 3.5 90 ZG118+828.969 </v>
      </c>
      <c r="BF758" t="str">
        <f t="shared" si="487"/>
        <v>-text 59413.4843152085,280 3.5 90 IP408 </v>
      </c>
      <c r="BG758" t="str">
        <f t="shared" si="488"/>
        <v>-TEXT 59415.4843152085,300 3.5 0 R=60</v>
      </c>
      <c r="BH758" t="str">
        <f t="shared" si="489"/>
        <v>-TEXT 59415.4843152085,295 3.5 0 α=6.90° </v>
      </c>
      <c r="BI758" t="str">
        <f t="shared" si="490"/>
        <v>-TEXT 59415.4843152085,290 3.5 0 T=3.62 </v>
      </c>
      <c r="BJ758" t="str">
        <f t="shared" si="491"/>
        <v>-TEXT 59415.4843152085,285 3.5 0 S=7.23 </v>
      </c>
    </row>
    <row r="759" spans="1:62">
      <c r="A759">
        <v>1</v>
      </c>
      <c r="B759">
        <v>758</v>
      </c>
      <c r="C759" t="str">
        <f>Sheet1!C704</f>
        <v>复兴沟隧出</v>
      </c>
      <c r="D759" s="39">
        <v>513839.4482</v>
      </c>
      <c r="E759" s="39">
        <v>3332221.6551</v>
      </c>
      <c r="G759">
        <f t="shared" ref="G759:G788" si="505">ROUND(IF((2*SQRT((D758-D759)^2+(E758-E759)^2)*SQRT((D760-D759)^2+(E760-E759)^2))=0,0,180-ACOS(((D758-D759)^2+(E758-E759)^2+(D760-D759)^2+(E760-E759)^2-(D760-D758)^2-(E760-E758)^2)/(2*SQRT((D758-D759)^2+(E758-E759)^2)*SQRT((D760-D759)^2+(E760-E759)^2)))/PI()*180),3)</f>
        <v>0</v>
      </c>
      <c r="H759">
        <f t="shared" si="494"/>
        <v>0</v>
      </c>
      <c r="I759">
        <f t="shared" si="495"/>
        <v>0</v>
      </c>
      <c r="J759">
        <f t="shared" si="496"/>
        <v>50.8258123481538</v>
      </c>
      <c r="K759" s="40">
        <f t="shared" si="502"/>
        <v>118879.790064353</v>
      </c>
      <c r="L759" s="40">
        <f t="shared" si="503"/>
        <v>118879.790064353</v>
      </c>
      <c r="M759" s="40">
        <f t="shared" si="504"/>
        <v>118879.790064353</v>
      </c>
      <c r="N759">
        <v>431.65</v>
      </c>
      <c r="O759">
        <v>428.966</v>
      </c>
      <c r="P759">
        <v>0</v>
      </c>
      <c r="Q759" s="39">
        <f t="shared" si="497"/>
        <v>513839.4482</v>
      </c>
      <c r="R759" s="39">
        <f t="shared" si="498"/>
        <v>3332221.6551</v>
      </c>
      <c r="S759" s="39" t="str">
        <f t="shared" si="499"/>
        <v> </v>
      </c>
      <c r="T759" s="39" t="str">
        <f t="shared" si="500"/>
        <v> </v>
      </c>
      <c r="U759" s="39" t="str">
        <f t="shared" si="492"/>
        <v> </v>
      </c>
      <c r="V759" s="39" t="str">
        <f t="shared" si="493"/>
        <v> </v>
      </c>
      <c r="AI759" t="str">
        <f t="array" ref="AI759">IFERROR(INDEX($L$2:$L$189,SMALL(IF(ISNUMBER(FIND($AH$2,$C$2:$C$189)),ROW($2:$189)-1,4^8),ROW(A758)))&amp;"","")</f>
        <v/>
      </c>
      <c r="AT759" t="str">
        <f t="shared" si="478"/>
        <v>513839.4482,3332221.6551</v>
      </c>
      <c r="AV759">
        <f t="shared" si="477"/>
        <v>432.466</v>
      </c>
      <c r="AX759" t="str">
        <f t="shared" si="479"/>
        <v>pl 59439.8950321767,279 59439.8950321767,400 </v>
      </c>
      <c r="AY759" t="str">
        <f t="shared" si="480"/>
        <v>59439.8950321767,428.966</v>
      </c>
      <c r="AZ759" t="str">
        <f t="shared" si="481"/>
        <v>59439.8950321767,431.65</v>
      </c>
      <c r="BA759" t="str">
        <f t="shared" si="482"/>
        <v>59439.8950321767,432.466</v>
      </c>
      <c r="BB759" t="str">
        <f t="shared" si="483"/>
        <v>-text 59438.8950321767,337 3.5 90 428.966 </v>
      </c>
      <c r="BC759" t="str">
        <f t="shared" si="484"/>
        <v>-text 59438.8950321767,320 3.5 90 432.466 </v>
      </c>
      <c r="BD759" t="str">
        <f t="shared" si="485"/>
        <v>-text 59438.8950321767,306 3.5 90 431.650 </v>
      </c>
      <c r="BE759" t="str">
        <f t="shared" si="486"/>
        <v>-text 59438.8950321767,352 3.5 90 ZG118+879.790 </v>
      </c>
      <c r="BF759" t="str">
        <f t="shared" si="487"/>
        <v>-text 59438.8950321767,280 3.5 90 复兴沟隧出 </v>
      </c>
      <c r="BG759" t="str">
        <f t="shared" si="488"/>
        <v/>
      </c>
      <c r="BH759" t="str">
        <f t="shared" si="489"/>
        <v> </v>
      </c>
      <c r="BI759" t="str">
        <f t="shared" si="490"/>
        <v> </v>
      </c>
      <c r="BJ759" t="str">
        <f t="shared" si="491"/>
        <v> </v>
      </c>
    </row>
    <row r="760" spans="1:62">
      <c r="A760">
        <v>1</v>
      </c>
      <c r="B760">
        <v>759</v>
      </c>
      <c r="C760" t="str">
        <f>Sheet1!C705</f>
        <v>林家沟隧进</v>
      </c>
      <c r="D760" s="39">
        <v>513849.0934</v>
      </c>
      <c r="E760" s="39">
        <v>3332189.176</v>
      </c>
      <c r="G760">
        <f t="shared" si="505"/>
        <v>0</v>
      </c>
      <c r="H760">
        <f t="shared" si="494"/>
        <v>0</v>
      </c>
      <c r="I760">
        <f t="shared" si="495"/>
        <v>0</v>
      </c>
      <c r="J760">
        <f t="shared" si="496"/>
        <v>33.8809949655836</v>
      </c>
      <c r="K760" s="40">
        <f t="shared" si="502"/>
        <v>118913.671059319</v>
      </c>
      <c r="L760" s="40">
        <f t="shared" si="503"/>
        <v>118913.671059319</v>
      </c>
      <c r="M760" s="40">
        <f t="shared" si="504"/>
        <v>118913.671059319</v>
      </c>
      <c r="N760">
        <v>431.623</v>
      </c>
      <c r="O760">
        <v>428.939</v>
      </c>
      <c r="P760">
        <v>0</v>
      </c>
      <c r="Q760" s="39">
        <f t="shared" si="497"/>
        <v>513849.0934</v>
      </c>
      <c r="R760" s="39">
        <f t="shared" si="498"/>
        <v>3332189.176</v>
      </c>
      <c r="S760" s="39" t="str">
        <f t="shared" si="499"/>
        <v> </v>
      </c>
      <c r="T760" s="39" t="str">
        <f t="shared" si="500"/>
        <v> </v>
      </c>
      <c r="U760" s="39" t="str">
        <f t="shared" si="492"/>
        <v> </v>
      </c>
      <c r="V760" s="39" t="str">
        <f t="shared" si="493"/>
        <v> </v>
      </c>
      <c r="AI760" t="str">
        <f t="array" ref="AI760">IFERROR(INDEX($L$2:$L$189,SMALL(IF(ISNUMBER(FIND($AH$2,$C$2:$C$189)),ROW($2:$189)-1,4^8),ROW(A759)))&amp;"","")</f>
        <v/>
      </c>
      <c r="AT760" t="str">
        <f t="shared" si="478"/>
        <v>513849.0934,3332189.176</v>
      </c>
      <c r="AV760">
        <f t="shared" si="477"/>
        <v>432.439</v>
      </c>
      <c r="AX760" t="str">
        <f t="shared" si="479"/>
        <v>pl 59456.8355296595,279 59456.8355296595,400 </v>
      </c>
      <c r="AY760" t="str">
        <f t="shared" si="480"/>
        <v>59456.8355296595,428.939</v>
      </c>
      <c r="AZ760" t="str">
        <f t="shared" si="481"/>
        <v>59456.8355296595,431.623</v>
      </c>
      <c r="BA760" t="str">
        <f t="shared" si="482"/>
        <v>59456.8355296595,432.439</v>
      </c>
      <c r="BB760" t="str">
        <f t="shared" si="483"/>
        <v>-text 59455.8355296595,337 3.5 90 428.939 </v>
      </c>
      <c r="BC760" t="str">
        <f t="shared" si="484"/>
        <v>-text 59455.8355296595,320 3.5 90 432.439 </v>
      </c>
      <c r="BD760" t="str">
        <f t="shared" si="485"/>
        <v>-text 59455.8355296595,306 3.5 90 431.623 </v>
      </c>
      <c r="BE760" t="str">
        <f t="shared" si="486"/>
        <v>-text 59455.8355296595,352 3.5 90 ZG118+913.671 </v>
      </c>
      <c r="BF760" t="str">
        <f t="shared" si="487"/>
        <v>-text 59455.8355296595,280 3.5 90 林家沟隧进 </v>
      </c>
      <c r="BG760" t="str">
        <f t="shared" si="488"/>
        <v/>
      </c>
      <c r="BH760" t="str">
        <f t="shared" si="489"/>
        <v> </v>
      </c>
      <c r="BI760" t="str">
        <f t="shared" si="490"/>
        <v> </v>
      </c>
      <c r="BJ760" t="str">
        <f t="shared" si="491"/>
        <v> </v>
      </c>
    </row>
    <row r="761" spans="1:62">
      <c r="A761">
        <v>1</v>
      </c>
      <c r="B761">
        <v>760</v>
      </c>
      <c r="C761" t="s">
        <v>717</v>
      </c>
      <c r="D761" s="39">
        <v>513904.5311</v>
      </c>
      <c r="E761" s="39">
        <v>3332002.4953</v>
      </c>
      <c r="F761">
        <v>60</v>
      </c>
      <c r="G761">
        <f t="shared" si="505"/>
        <v>23.048</v>
      </c>
      <c r="H761">
        <f t="shared" si="494"/>
        <v>12.2333132543792</v>
      </c>
      <c r="I761">
        <f t="shared" si="495"/>
        <v>24.1358091599792</v>
      </c>
      <c r="J761">
        <f t="shared" si="496"/>
        <v>194.738343255116</v>
      </c>
      <c r="K761" s="40">
        <f t="shared" si="502"/>
        <v>119096.17608932</v>
      </c>
      <c r="L761" s="40">
        <f t="shared" si="503"/>
        <v>119108.2439939</v>
      </c>
      <c r="M761" s="40">
        <f t="shared" si="504"/>
        <v>119120.31189848</v>
      </c>
      <c r="N761">
        <v>431.553</v>
      </c>
      <c r="O761">
        <v>428.869</v>
      </c>
      <c r="P761">
        <v>0.001</v>
      </c>
      <c r="Q761" s="39">
        <f t="shared" si="497"/>
        <v>513901.048546237</v>
      </c>
      <c r="R761" s="39">
        <f t="shared" si="498"/>
        <v>3332014.22243829</v>
      </c>
      <c r="S761" s="39">
        <f t="shared" si="499"/>
        <v>513905.620384189</v>
      </c>
      <c r="T761" s="39">
        <f t="shared" si="500"/>
        <v>3332003.07603494</v>
      </c>
      <c r="U761" s="39">
        <f t="shared" si="492"/>
        <v>513912.326872992</v>
      </c>
      <c r="V761" s="39">
        <f t="shared" si="493"/>
        <v>3331993.06768754</v>
      </c>
      <c r="AI761" t="str">
        <f t="array" ref="AI761">IFERROR(INDEX($L$2:$L$189,SMALL(IF(ISNUMBER(FIND($AH$2,$C$2:$C$189)),ROW($2:$189)-1,4^8),ROW(A760)))&amp;"","")</f>
        <v/>
      </c>
      <c r="AS761" t="str">
        <f>"-text"&amp;" "&amp;D761&amp;","&amp;E761&amp;" "&amp;"10"&amp;" "&amp;"0"&amp;" "&amp;C761</f>
        <v>-text 513904.5311,3332002.4953 10 0 IP409</v>
      </c>
      <c r="AT761" t="str">
        <f t="shared" si="478"/>
        <v>513904.5311,3332002.4953</v>
      </c>
      <c r="AV761">
        <f t="shared" si="477"/>
        <v>432.369</v>
      </c>
      <c r="AX761" t="str">
        <f t="shared" si="479"/>
        <v>pl 59554.1219969498,279 59554.1219969498,400 </v>
      </c>
      <c r="AY761" t="str">
        <f t="shared" si="480"/>
        <v>59554.1219969498,428.869</v>
      </c>
      <c r="AZ761" t="str">
        <f t="shared" si="481"/>
        <v>59554.1219969498,431.553</v>
      </c>
      <c r="BA761" t="str">
        <f t="shared" si="482"/>
        <v>59554.1219969498,432.369</v>
      </c>
      <c r="BB761" t="str">
        <f t="shared" si="483"/>
        <v>-text 59553.1219969498,337 3.5 90 428.869 </v>
      </c>
      <c r="BC761" t="str">
        <f t="shared" si="484"/>
        <v>-text 59553.1219969498,320 3.5 90 432.369 </v>
      </c>
      <c r="BD761" t="str">
        <f t="shared" si="485"/>
        <v>-text 59553.1219969498,306 3.5 90 431.553 </v>
      </c>
      <c r="BE761" t="str">
        <f t="shared" si="486"/>
        <v>-text 59553.1219969498,352 3.5 90 ZG119+108.244 </v>
      </c>
      <c r="BF761" t="str">
        <f t="shared" si="487"/>
        <v>-text 59553.1219969498,280 3.5 90 IP409 </v>
      </c>
      <c r="BG761" t="str">
        <f t="shared" si="488"/>
        <v>-TEXT 59555.1219969498,300 3.5 0 R=60</v>
      </c>
      <c r="BH761" t="str">
        <f t="shared" si="489"/>
        <v>-TEXT 59555.1219969498,295 3.5 0 α=23.05° </v>
      </c>
      <c r="BI761" t="str">
        <f t="shared" si="490"/>
        <v>-TEXT 59555.1219969498,290 3.5 0 T=12.23 </v>
      </c>
      <c r="BJ761" t="str">
        <f t="shared" si="491"/>
        <v>-TEXT 59555.1219969498,285 3.5 0 S=24.14 </v>
      </c>
    </row>
    <row r="762" spans="1:62">
      <c r="A762">
        <v>1</v>
      </c>
      <c r="B762">
        <v>761</v>
      </c>
      <c r="C762" t="str">
        <f>Sheet1!C707</f>
        <v>林家沟隧出</v>
      </c>
      <c r="D762" s="39">
        <v>513932.8098</v>
      </c>
      <c r="E762" s="39">
        <v>3331968.2972</v>
      </c>
      <c r="G762">
        <f t="shared" si="505"/>
        <v>0</v>
      </c>
      <c r="H762">
        <f t="shared" si="494"/>
        <v>0</v>
      </c>
      <c r="I762">
        <f t="shared" si="495"/>
        <v>0</v>
      </c>
      <c r="J762">
        <f t="shared" si="496"/>
        <v>44.375611740106</v>
      </c>
      <c r="K762" s="40">
        <f t="shared" si="502"/>
        <v>119152.454196965</v>
      </c>
      <c r="L762" s="40">
        <f t="shared" si="503"/>
        <v>119152.454196965</v>
      </c>
      <c r="M762" s="40">
        <f t="shared" si="504"/>
        <v>119152.454196965</v>
      </c>
      <c r="N762">
        <v>431.537</v>
      </c>
      <c r="O762">
        <v>428.853</v>
      </c>
      <c r="P762">
        <v>0</v>
      </c>
      <c r="Q762" s="39">
        <f t="shared" si="497"/>
        <v>513932.8098</v>
      </c>
      <c r="R762" s="39">
        <f t="shared" si="498"/>
        <v>3331968.2972</v>
      </c>
      <c r="S762" s="39" t="str">
        <f t="shared" si="499"/>
        <v> </v>
      </c>
      <c r="T762" s="39" t="str">
        <f t="shared" si="500"/>
        <v> </v>
      </c>
      <c r="U762" s="39" t="str">
        <f t="shared" si="492"/>
        <v> </v>
      </c>
      <c r="V762" s="39" t="str">
        <f t="shared" si="493"/>
        <v> </v>
      </c>
      <c r="AI762" t="str">
        <f t="array" ref="AI762">IFERROR(INDEX($L$2:$L$189,SMALL(IF(ISNUMBER(FIND($AH$2,$C$2:$C$189)),ROW($2:$189)-1,4^8),ROW(A761)))&amp;"","")</f>
        <v/>
      </c>
      <c r="AT762" t="str">
        <f t="shared" si="478"/>
        <v>513932.8098,3331968.2972</v>
      </c>
      <c r="AV762">
        <f t="shared" si="477"/>
        <v>432.353</v>
      </c>
      <c r="AX762" t="str">
        <f t="shared" si="479"/>
        <v>pl 59576.2270984827,279 59576.2270984827,400 </v>
      </c>
      <c r="AY762" t="str">
        <f t="shared" si="480"/>
        <v>59576.2270984827,428.853</v>
      </c>
      <c r="AZ762" t="str">
        <f t="shared" si="481"/>
        <v>59576.2270984827,431.537</v>
      </c>
      <c r="BA762" t="str">
        <f t="shared" si="482"/>
        <v>59576.2270984827,432.353</v>
      </c>
      <c r="BB762" t="str">
        <f t="shared" si="483"/>
        <v>-text 59575.2270984827,337 3.5 90 428.853 </v>
      </c>
      <c r="BC762" t="str">
        <f t="shared" si="484"/>
        <v>-text 59575.2270984827,320 3.5 90 432.353 </v>
      </c>
      <c r="BD762" t="str">
        <f t="shared" si="485"/>
        <v>-text 59575.2270984827,306 3.5 90 431.537 </v>
      </c>
      <c r="BE762" t="str">
        <f t="shared" si="486"/>
        <v>-text 59575.2270984827,352 3.5 90 ZG119+152.454 </v>
      </c>
      <c r="BF762" t="str">
        <f t="shared" si="487"/>
        <v>-text 59575.2270984827,280 3.5 90 林家沟隧出 </v>
      </c>
      <c r="BG762" t="str">
        <f t="shared" si="488"/>
        <v/>
      </c>
      <c r="BH762" t="str">
        <f t="shared" si="489"/>
        <v> </v>
      </c>
      <c r="BI762" t="str">
        <f t="shared" si="490"/>
        <v> </v>
      </c>
      <c r="BJ762" t="str">
        <f t="shared" si="491"/>
        <v> </v>
      </c>
    </row>
    <row r="763" spans="1:62">
      <c r="A763">
        <v>1</v>
      </c>
      <c r="B763">
        <v>762</v>
      </c>
      <c r="C763" t="str">
        <f>Sheet1!C708</f>
        <v>复兴寺隧进</v>
      </c>
      <c r="D763" s="39">
        <v>513966.0332</v>
      </c>
      <c r="E763" s="39">
        <v>3331928.1193</v>
      </c>
      <c r="G763">
        <f t="shared" si="505"/>
        <v>0</v>
      </c>
      <c r="H763">
        <f t="shared" si="494"/>
        <v>0</v>
      </c>
      <c r="I763">
        <f t="shared" si="495"/>
        <v>0</v>
      </c>
      <c r="J763">
        <f t="shared" si="496"/>
        <v>52.1349974198898</v>
      </c>
      <c r="K763" s="40">
        <f t="shared" si="502"/>
        <v>119204.589194385</v>
      </c>
      <c r="L763" s="40">
        <f t="shared" si="503"/>
        <v>119204.589194385</v>
      </c>
      <c r="M763" s="40">
        <f t="shared" si="504"/>
        <v>119204.589194385</v>
      </c>
      <c r="N763">
        <v>431.507</v>
      </c>
      <c r="O763">
        <v>428.823</v>
      </c>
      <c r="P763">
        <v>0</v>
      </c>
      <c r="Q763" s="39">
        <f t="shared" si="497"/>
        <v>513966.0332</v>
      </c>
      <c r="R763" s="39">
        <f t="shared" si="498"/>
        <v>3331928.1193</v>
      </c>
      <c r="S763" s="39" t="str">
        <f t="shared" si="499"/>
        <v> </v>
      </c>
      <c r="T763" s="39" t="str">
        <f t="shared" si="500"/>
        <v> </v>
      </c>
      <c r="U763" s="39" t="str">
        <f t="shared" si="492"/>
        <v> </v>
      </c>
      <c r="V763" s="39" t="str">
        <f t="shared" si="493"/>
        <v> </v>
      </c>
      <c r="AI763" t="str">
        <f t="array" ref="AI763">IFERROR(INDEX($L$2:$L$189,SMALL(IF(ISNUMBER(FIND($AH$2,$C$2:$C$189)),ROW($2:$189)-1,4^8),ROW(A762)))&amp;"","")</f>
        <v/>
      </c>
      <c r="AT763" t="str">
        <f t="shared" si="478"/>
        <v>513966.0332,3331928.1193</v>
      </c>
      <c r="AV763">
        <f t="shared" si="477"/>
        <v>432.323</v>
      </c>
      <c r="AX763" t="str">
        <f t="shared" si="479"/>
        <v>pl 59602.2945971926,279 59602.2945971926,400 </v>
      </c>
      <c r="AY763" t="str">
        <f t="shared" si="480"/>
        <v>59602.2945971926,428.823</v>
      </c>
      <c r="AZ763" t="str">
        <f t="shared" si="481"/>
        <v>59602.2945971926,431.507</v>
      </c>
      <c r="BA763" t="str">
        <f t="shared" si="482"/>
        <v>59602.2945971926,432.323</v>
      </c>
      <c r="BB763" t="str">
        <f t="shared" si="483"/>
        <v>-text 59601.2945971926,337 3.5 90 428.823 </v>
      </c>
      <c r="BC763" t="str">
        <f t="shared" si="484"/>
        <v>-text 59601.2945971926,320 3.5 90 432.323 </v>
      </c>
      <c r="BD763" t="str">
        <f t="shared" si="485"/>
        <v>-text 59601.2945971926,306 3.5 90 431.507 </v>
      </c>
      <c r="BE763" t="str">
        <f t="shared" si="486"/>
        <v>-text 59601.2945971926,352 3.5 90 ZG119+204.589 </v>
      </c>
      <c r="BF763" t="str">
        <f t="shared" si="487"/>
        <v>-text 59601.2945971926,280 3.5 90 复兴寺隧进 </v>
      </c>
      <c r="BG763" t="str">
        <f t="shared" si="488"/>
        <v/>
      </c>
      <c r="BH763" t="str">
        <f t="shared" si="489"/>
        <v> </v>
      </c>
      <c r="BI763" t="str">
        <f t="shared" si="490"/>
        <v> </v>
      </c>
      <c r="BJ763" t="str">
        <f t="shared" si="491"/>
        <v> </v>
      </c>
    </row>
    <row r="764" spans="1:62">
      <c r="A764">
        <v>1</v>
      </c>
      <c r="B764">
        <v>763</v>
      </c>
      <c r="C764" t="str">
        <f>Sheet1!C709</f>
        <v>复兴寺隧出</v>
      </c>
      <c r="D764" s="39">
        <v>514161.1721</v>
      </c>
      <c r="E764" s="39">
        <v>3331692.133</v>
      </c>
      <c r="G764">
        <f t="shared" si="505"/>
        <v>0</v>
      </c>
      <c r="H764">
        <f t="shared" si="494"/>
        <v>0</v>
      </c>
      <c r="I764">
        <f t="shared" si="495"/>
        <v>0</v>
      </c>
      <c r="J764">
        <f t="shared" si="496"/>
        <v>306.216792617425</v>
      </c>
      <c r="K764" s="40">
        <f t="shared" si="502"/>
        <v>119510.805987003</v>
      </c>
      <c r="L764" s="40">
        <f t="shared" si="503"/>
        <v>119510.805987003</v>
      </c>
      <c r="M764" s="40">
        <f t="shared" si="504"/>
        <v>119510.805987003</v>
      </c>
      <c r="N764">
        <v>431.398</v>
      </c>
      <c r="O764">
        <v>428.714</v>
      </c>
      <c r="P764">
        <v>0</v>
      </c>
      <c r="Q764" s="39">
        <f t="shared" si="497"/>
        <v>514161.1721</v>
      </c>
      <c r="R764" s="39">
        <f t="shared" si="498"/>
        <v>3331692.133</v>
      </c>
      <c r="S764" s="39" t="str">
        <f t="shared" si="499"/>
        <v> </v>
      </c>
      <c r="T764" s="39" t="str">
        <f t="shared" si="500"/>
        <v> </v>
      </c>
      <c r="U764" s="39" t="str">
        <f t="shared" si="492"/>
        <v> </v>
      </c>
      <c r="V764" s="39" t="str">
        <f t="shared" si="493"/>
        <v> </v>
      </c>
      <c r="AI764" t="str">
        <f t="array" ref="AI764">IFERROR(INDEX($L$2:$L$189,SMALL(IF(ISNUMBER(FIND($AH$2,$C$2:$C$189)),ROW($2:$189)-1,4^8),ROW(A763)))&amp;"","")</f>
        <v/>
      </c>
      <c r="AT764" t="str">
        <f t="shared" si="478"/>
        <v>514161.1721,3331692.133</v>
      </c>
      <c r="AV764">
        <f t="shared" ref="AV764:AV805" si="506">IF(A764=0,O764+3.85,IF(A764=1,O764+3.5,O764+3.25))</f>
        <v>432.214</v>
      </c>
      <c r="AX764" t="str">
        <f t="shared" si="479"/>
        <v>pl 59755.4029935013,279 59755.4029935013,400 </v>
      </c>
      <c r="AY764" t="str">
        <f t="shared" si="480"/>
        <v>59755.4029935013,428.714</v>
      </c>
      <c r="AZ764" t="str">
        <f t="shared" si="481"/>
        <v>59755.4029935013,431.398</v>
      </c>
      <c r="BA764" t="str">
        <f t="shared" si="482"/>
        <v>59755.4029935013,432.214</v>
      </c>
      <c r="BB764" t="str">
        <f t="shared" si="483"/>
        <v>-text 59754.4029935013,337 3.5 90 428.714 </v>
      </c>
      <c r="BC764" t="str">
        <f t="shared" si="484"/>
        <v>-text 59754.4029935013,320 3.5 90 432.214 </v>
      </c>
      <c r="BD764" t="str">
        <f t="shared" si="485"/>
        <v>-text 59754.4029935013,306 3.5 90 431.398 </v>
      </c>
      <c r="BE764" t="str">
        <f t="shared" si="486"/>
        <v>-text 59754.4029935013,352 3.5 90 ZG119+510.806 </v>
      </c>
      <c r="BF764" t="str">
        <f t="shared" si="487"/>
        <v>-text 59754.4029935013,280 3.5 90 复兴寺隧出 </v>
      </c>
      <c r="BG764" t="str">
        <f t="shared" si="488"/>
        <v/>
      </c>
      <c r="BH764" t="str">
        <f t="shared" si="489"/>
        <v> </v>
      </c>
      <c r="BI764" t="str">
        <f t="shared" si="490"/>
        <v> </v>
      </c>
      <c r="BJ764" t="str">
        <f t="shared" si="491"/>
        <v> </v>
      </c>
    </row>
    <row r="765" spans="1:62">
      <c r="A765">
        <v>1</v>
      </c>
      <c r="B765">
        <v>764</v>
      </c>
      <c r="C765" t="str">
        <f>Sheet1!C710</f>
        <v>双碑沟隧进</v>
      </c>
      <c r="D765" s="39">
        <v>514188.5654</v>
      </c>
      <c r="E765" s="39">
        <v>3331659.0056</v>
      </c>
      <c r="G765">
        <f t="shared" si="505"/>
        <v>0</v>
      </c>
      <c r="H765">
        <f t="shared" si="494"/>
        <v>0</v>
      </c>
      <c r="I765">
        <f t="shared" si="495"/>
        <v>0</v>
      </c>
      <c r="J765">
        <f t="shared" si="496"/>
        <v>42.9862479830159</v>
      </c>
      <c r="K765" s="40">
        <f t="shared" si="502"/>
        <v>119553.792234986</v>
      </c>
      <c r="L765" s="40">
        <f t="shared" si="503"/>
        <v>119553.792234986</v>
      </c>
      <c r="M765" s="40">
        <f t="shared" si="504"/>
        <v>119553.792234986</v>
      </c>
      <c r="N765">
        <v>431.369</v>
      </c>
      <c r="O765">
        <v>428.685</v>
      </c>
      <c r="P765">
        <v>0</v>
      </c>
      <c r="Q765" s="39">
        <f t="shared" si="497"/>
        <v>514188.5654</v>
      </c>
      <c r="R765" s="39">
        <f t="shared" si="498"/>
        <v>3331659.0056</v>
      </c>
      <c r="S765" s="39" t="str">
        <f t="shared" si="499"/>
        <v> </v>
      </c>
      <c r="T765" s="39" t="str">
        <f t="shared" si="500"/>
        <v> </v>
      </c>
      <c r="U765" s="39" t="str">
        <f t="shared" si="492"/>
        <v> </v>
      </c>
      <c r="V765" s="39" t="str">
        <f t="shared" si="493"/>
        <v> </v>
      </c>
      <c r="AI765" t="str">
        <f t="array" ref="AI765">IFERROR(INDEX($L$2:$L$189,SMALL(IF(ISNUMBER(FIND($AH$2,$C$2:$C$189)),ROW($2:$189)-1,4^8),ROW(A764)))&amp;"","")</f>
        <v/>
      </c>
      <c r="AT765" t="str">
        <f t="shared" si="478"/>
        <v>514188.5654,3331659.0056</v>
      </c>
      <c r="AV765">
        <f t="shared" si="506"/>
        <v>432.185</v>
      </c>
      <c r="AX765" t="str">
        <f t="shared" si="479"/>
        <v>pl 59776.8961174928,279 59776.8961174928,400 </v>
      </c>
      <c r="AY765" t="str">
        <f t="shared" si="480"/>
        <v>59776.8961174928,428.685</v>
      </c>
      <c r="AZ765" t="str">
        <f t="shared" si="481"/>
        <v>59776.8961174928,431.369</v>
      </c>
      <c r="BA765" t="str">
        <f t="shared" si="482"/>
        <v>59776.8961174928,432.185</v>
      </c>
      <c r="BB765" t="str">
        <f t="shared" si="483"/>
        <v>-text 59775.8961174928,337 3.5 90 428.685 </v>
      </c>
      <c r="BC765" t="str">
        <f t="shared" si="484"/>
        <v>-text 59775.8961174928,320 3.5 90 432.185 </v>
      </c>
      <c r="BD765" t="str">
        <f t="shared" si="485"/>
        <v>-text 59775.8961174928,306 3.5 90 431.369 </v>
      </c>
      <c r="BE765" t="str">
        <f t="shared" si="486"/>
        <v>-text 59775.8961174928,352 3.5 90 ZG119+553.792 </v>
      </c>
      <c r="BF765" t="str">
        <f t="shared" si="487"/>
        <v>-text 59775.8961174928,280 3.5 90 双碑沟隧进 </v>
      </c>
      <c r="BG765" t="str">
        <f t="shared" si="488"/>
        <v/>
      </c>
      <c r="BH765" t="str">
        <f t="shared" si="489"/>
        <v> </v>
      </c>
      <c r="BI765" t="str">
        <f t="shared" si="490"/>
        <v> </v>
      </c>
      <c r="BJ765" t="str">
        <f t="shared" si="491"/>
        <v> </v>
      </c>
    </row>
    <row r="766" spans="1:62">
      <c r="A766">
        <v>1</v>
      </c>
      <c r="B766">
        <v>765</v>
      </c>
      <c r="C766" t="str">
        <f>Sheet1!C711</f>
        <v>双碑沟隧出</v>
      </c>
      <c r="D766" s="39">
        <v>514393.2177</v>
      </c>
      <c r="E766" s="39">
        <v>3331411.5145</v>
      </c>
      <c r="G766">
        <f t="shared" si="505"/>
        <v>0</v>
      </c>
      <c r="H766">
        <f t="shared" si="494"/>
        <v>0</v>
      </c>
      <c r="I766">
        <f t="shared" si="495"/>
        <v>0</v>
      </c>
      <c r="J766">
        <f t="shared" si="496"/>
        <v>321.145463107234</v>
      </c>
      <c r="K766" s="40">
        <f t="shared" si="502"/>
        <v>119874.937698093</v>
      </c>
      <c r="L766" s="40">
        <f t="shared" si="503"/>
        <v>119874.937698093</v>
      </c>
      <c r="M766" s="40">
        <f t="shared" si="504"/>
        <v>119874.937698093</v>
      </c>
      <c r="N766">
        <v>431.255</v>
      </c>
      <c r="O766">
        <v>428.571</v>
      </c>
      <c r="P766">
        <v>0</v>
      </c>
      <c r="Q766" s="39">
        <f t="shared" si="497"/>
        <v>514393.2177</v>
      </c>
      <c r="R766" s="39">
        <f t="shared" si="498"/>
        <v>3331411.5145</v>
      </c>
      <c r="S766" s="39" t="str">
        <f t="shared" si="499"/>
        <v> </v>
      </c>
      <c r="T766" s="39" t="str">
        <f t="shared" si="500"/>
        <v> </v>
      </c>
      <c r="U766" s="39" t="str">
        <f t="shared" si="492"/>
        <v> </v>
      </c>
      <c r="V766" s="39" t="str">
        <f t="shared" si="493"/>
        <v> </v>
      </c>
      <c r="AI766" t="str">
        <f t="array" ref="AI766">IFERROR(INDEX($L$2:$L$189,SMALL(IF(ISNUMBER(FIND($AH$2,$C$2:$C$189)),ROW($2:$189)-1,4^8),ROW(A765)))&amp;"","")</f>
        <v/>
      </c>
      <c r="AT766" t="str">
        <f t="shared" si="478"/>
        <v>514393.2177,3331411.5145</v>
      </c>
      <c r="AV766">
        <f t="shared" si="506"/>
        <v>432.071</v>
      </c>
      <c r="AX766" t="str">
        <f t="shared" si="479"/>
        <v>pl 59937.4688490465,279 59937.4688490465,400 </v>
      </c>
      <c r="AY766" t="str">
        <f t="shared" si="480"/>
        <v>59937.4688490465,428.571</v>
      </c>
      <c r="AZ766" t="str">
        <f t="shared" si="481"/>
        <v>59937.4688490465,431.255</v>
      </c>
      <c r="BA766" t="str">
        <f t="shared" si="482"/>
        <v>59937.4688490465,432.071</v>
      </c>
      <c r="BB766" t="str">
        <f t="shared" si="483"/>
        <v>-text 59936.4688490465,337 3.5 90 428.571 </v>
      </c>
      <c r="BC766" t="str">
        <f t="shared" si="484"/>
        <v>-text 59936.4688490465,320 3.5 90 432.071 </v>
      </c>
      <c r="BD766" t="str">
        <f t="shared" si="485"/>
        <v>-text 59936.4688490465,306 3.5 90 431.255 </v>
      </c>
      <c r="BE766" t="str">
        <f t="shared" si="486"/>
        <v>-text 59936.4688490465,352 3.5 90 ZG119+874.938 </v>
      </c>
      <c r="BF766" t="str">
        <f t="shared" si="487"/>
        <v>-text 59936.4688490465,280 3.5 90 双碑沟隧出 </v>
      </c>
      <c r="BG766" t="str">
        <f t="shared" si="488"/>
        <v/>
      </c>
      <c r="BH766" t="str">
        <f t="shared" si="489"/>
        <v> </v>
      </c>
      <c r="BI766" t="str">
        <f t="shared" si="490"/>
        <v> </v>
      </c>
      <c r="BJ766" t="str">
        <f t="shared" si="491"/>
        <v> </v>
      </c>
    </row>
    <row r="767" spans="1:62">
      <c r="A767">
        <v>1</v>
      </c>
      <c r="B767">
        <v>766</v>
      </c>
      <c r="C767" t="str">
        <f>Sheet1!C712</f>
        <v>何家大院隧进</v>
      </c>
      <c r="D767" s="39">
        <v>514426.8328</v>
      </c>
      <c r="E767" s="39">
        <v>3331370.8629</v>
      </c>
      <c r="G767">
        <f t="shared" si="505"/>
        <v>0</v>
      </c>
      <c r="H767">
        <f t="shared" si="494"/>
        <v>0</v>
      </c>
      <c r="I767">
        <f t="shared" si="495"/>
        <v>0</v>
      </c>
      <c r="J767">
        <f t="shared" si="496"/>
        <v>52.749668535151</v>
      </c>
      <c r="K767" s="40">
        <f t="shared" si="502"/>
        <v>119927.687366628</v>
      </c>
      <c r="L767" s="40">
        <f t="shared" si="503"/>
        <v>119927.687366628</v>
      </c>
      <c r="M767" s="40">
        <f t="shared" si="504"/>
        <v>119927.687366628</v>
      </c>
      <c r="N767">
        <v>431.225</v>
      </c>
      <c r="O767">
        <v>428.541</v>
      </c>
      <c r="P767">
        <v>0</v>
      </c>
      <c r="Q767" s="39">
        <f t="shared" si="497"/>
        <v>514426.8328</v>
      </c>
      <c r="R767" s="39">
        <f t="shared" si="498"/>
        <v>3331370.8629</v>
      </c>
      <c r="S767" s="39" t="str">
        <f t="shared" si="499"/>
        <v> </v>
      </c>
      <c r="T767" s="39" t="str">
        <f t="shared" si="500"/>
        <v> </v>
      </c>
      <c r="U767" s="39" t="str">
        <f t="shared" si="492"/>
        <v> </v>
      </c>
      <c r="V767" s="39" t="str">
        <f t="shared" si="493"/>
        <v> </v>
      </c>
      <c r="AI767" t="str">
        <f t="array" ref="AI767">IFERROR(INDEX($L$2:$L$189,SMALL(IF(ISNUMBER(FIND($AH$2,$C$2:$C$189)),ROW($2:$189)-1,4^8),ROW(A766)))&amp;"","")</f>
        <v/>
      </c>
      <c r="AT767" t="str">
        <f t="shared" si="478"/>
        <v>514426.8328,3331370.8629</v>
      </c>
      <c r="AV767">
        <f t="shared" si="506"/>
        <v>432.041</v>
      </c>
      <c r="AX767" t="str">
        <f t="shared" si="479"/>
        <v>pl 59963.843683314,279 59963.843683314,400 </v>
      </c>
      <c r="AY767" t="str">
        <f t="shared" si="480"/>
        <v>59963.843683314,428.541</v>
      </c>
      <c r="AZ767" t="str">
        <f t="shared" si="481"/>
        <v>59963.843683314,431.225</v>
      </c>
      <c r="BA767" t="str">
        <f t="shared" si="482"/>
        <v>59963.843683314,432.041</v>
      </c>
      <c r="BB767" t="str">
        <f t="shared" si="483"/>
        <v>-text 59962.843683314,337 3.5 90 428.541 </v>
      </c>
      <c r="BC767" t="str">
        <f t="shared" si="484"/>
        <v>-text 59962.843683314,320 3.5 90 432.041 </v>
      </c>
      <c r="BD767" t="str">
        <f t="shared" si="485"/>
        <v>-text 59962.843683314,306 3.5 90 431.225 </v>
      </c>
      <c r="BE767" t="str">
        <f t="shared" si="486"/>
        <v>-text 59962.843683314,352 3.5 90 ZG119+927.687 </v>
      </c>
      <c r="BF767" t="str">
        <f t="shared" si="487"/>
        <v>-text 59962.843683314,280 3.5 90 何家大院隧进 </v>
      </c>
      <c r="BG767" t="str">
        <f t="shared" si="488"/>
        <v/>
      </c>
      <c r="BH767" t="str">
        <f t="shared" si="489"/>
        <v> </v>
      </c>
      <c r="BI767" t="str">
        <f t="shared" si="490"/>
        <v> </v>
      </c>
      <c r="BJ767" t="str">
        <f t="shared" si="491"/>
        <v> </v>
      </c>
    </row>
    <row r="768" spans="1:62">
      <c r="A768">
        <v>1</v>
      </c>
      <c r="B768">
        <v>767</v>
      </c>
      <c r="C768" t="s">
        <v>720</v>
      </c>
      <c r="D768" s="39">
        <v>514671.8507</v>
      </c>
      <c r="E768" s="39">
        <v>3331074.5568</v>
      </c>
      <c r="F768">
        <v>60</v>
      </c>
      <c r="G768">
        <f t="shared" si="505"/>
        <v>20.178</v>
      </c>
      <c r="H768">
        <f t="shared" si="494"/>
        <v>10.6757435483981</v>
      </c>
      <c r="I768">
        <f t="shared" si="495"/>
        <v>21.1303521880449</v>
      </c>
      <c r="J768">
        <f t="shared" si="496"/>
        <v>384.488070319136</v>
      </c>
      <c r="K768" s="40">
        <f t="shared" si="502"/>
        <v>120301.499693399</v>
      </c>
      <c r="L768" s="40">
        <f t="shared" si="503"/>
        <v>120312.064869493</v>
      </c>
      <c r="M768" s="40">
        <f t="shared" si="504"/>
        <v>120322.630045587</v>
      </c>
      <c r="N768">
        <v>431.087</v>
      </c>
      <c r="O768">
        <v>428.403</v>
      </c>
      <c r="P768">
        <v>0.001</v>
      </c>
      <c r="Q768" s="39">
        <f t="shared" si="497"/>
        <v>514665.047502535</v>
      </c>
      <c r="R768" s="39">
        <f t="shared" si="498"/>
        <v>3331082.784072</v>
      </c>
      <c r="S768" s="39">
        <f t="shared" si="499"/>
        <v>514671.030487076</v>
      </c>
      <c r="T768" s="39">
        <f t="shared" si="500"/>
        <v>3331074.0927744</v>
      </c>
      <c r="U768" s="39">
        <f t="shared" si="492"/>
        <v>514675.398411954</v>
      </c>
      <c r="V768" s="39">
        <f t="shared" si="493"/>
        <v>3331064.4877762</v>
      </c>
      <c r="AI768" t="str">
        <f t="array" ref="AI768">IFERROR(INDEX($L$2:$L$189,SMALL(IF(ISNUMBER(FIND($AH$2,$C$2:$C$189)),ROW($2:$189)-1,4^8),ROW(A767)))&amp;"","")</f>
        <v/>
      </c>
      <c r="AS768" t="str">
        <f>"-text"&amp;" "&amp;D768&amp;","&amp;E768&amp;" "&amp;"10"&amp;" "&amp;"0"&amp;" "&amp;C768</f>
        <v>-text 514671.8507,3331074.5568 10 0 IP410</v>
      </c>
      <c r="AT768" t="str">
        <f t="shared" si="478"/>
        <v>514671.8507,3331074.5568</v>
      </c>
      <c r="AV768">
        <f t="shared" si="506"/>
        <v>431.903</v>
      </c>
      <c r="AX768" t="str">
        <f t="shared" si="479"/>
        <v>pl 60156.0324347464,279 60156.0324347464,400 </v>
      </c>
      <c r="AY768" t="str">
        <f t="shared" si="480"/>
        <v>60156.0324347464,428.403</v>
      </c>
      <c r="AZ768" t="str">
        <f t="shared" si="481"/>
        <v>60156.0324347464,431.087</v>
      </c>
      <c r="BA768" t="str">
        <f t="shared" si="482"/>
        <v>60156.0324347464,431.903</v>
      </c>
      <c r="BB768" t="str">
        <f t="shared" si="483"/>
        <v>-text 60155.0324347464,337 3.5 90 428.403 </v>
      </c>
      <c r="BC768" t="str">
        <f t="shared" si="484"/>
        <v>-text 60155.0324347464,320 3.5 90 431.903 </v>
      </c>
      <c r="BD768" t="str">
        <f t="shared" si="485"/>
        <v>-text 60155.0324347464,306 3.5 90 431.087 </v>
      </c>
      <c r="BE768" t="str">
        <f t="shared" si="486"/>
        <v>-text 60155.0324347464,352 3.5 90 ZG120+312.065 </v>
      </c>
      <c r="BF768" t="str">
        <f t="shared" si="487"/>
        <v>-text 60155.0324347464,280 3.5 90 IP410 </v>
      </c>
      <c r="BG768" t="str">
        <f t="shared" si="488"/>
        <v>-TEXT 60157.0324347464,300 3.5 0 R=60</v>
      </c>
      <c r="BH768" t="str">
        <f t="shared" si="489"/>
        <v>-TEXT 60157.0324347464,295 3.5 0 α=20.18° </v>
      </c>
      <c r="BI768" t="str">
        <f t="shared" si="490"/>
        <v>-TEXT 60157.0324347464,290 3.5 0 T=10.68 </v>
      </c>
      <c r="BJ768" t="str">
        <f t="shared" si="491"/>
        <v>-TEXT 60157.0324347464,285 3.5 0 S=21.13 </v>
      </c>
    </row>
    <row r="769" spans="1:62">
      <c r="A769">
        <v>1</v>
      </c>
      <c r="B769">
        <v>768</v>
      </c>
      <c r="C769" t="str">
        <f>Sheet1!C714</f>
        <v>何家大院隧出</v>
      </c>
      <c r="D769" s="39">
        <v>514685.0686</v>
      </c>
      <c r="E769" s="39">
        <v>3331037.0421</v>
      </c>
      <c r="G769">
        <f t="shared" si="505"/>
        <v>0</v>
      </c>
      <c r="H769">
        <f t="shared" si="494"/>
        <v>0</v>
      </c>
      <c r="I769">
        <f t="shared" si="495"/>
        <v>0</v>
      </c>
      <c r="J769">
        <f t="shared" si="496"/>
        <v>39.7751882016647</v>
      </c>
      <c r="K769" s="40">
        <f t="shared" si="502"/>
        <v>120351.72949024</v>
      </c>
      <c r="L769" s="40">
        <f t="shared" si="503"/>
        <v>120351.72949024</v>
      </c>
      <c r="M769" s="40">
        <f t="shared" si="504"/>
        <v>120351.72949024</v>
      </c>
      <c r="N769">
        <v>431.072</v>
      </c>
      <c r="O769">
        <v>428.388</v>
      </c>
      <c r="P769">
        <v>0</v>
      </c>
      <c r="Q769" s="39">
        <f t="shared" si="497"/>
        <v>514685.0686</v>
      </c>
      <c r="R769" s="39">
        <f t="shared" si="498"/>
        <v>3331037.0421</v>
      </c>
      <c r="S769" s="39" t="str">
        <f t="shared" si="499"/>
        <v> </v>
      </c>
      <c r="T769" s="39" t="str">
        <f t="shared" si="500"/>
        <v> </v>
      </c>
      <c r="U769" s="39" t="str">
        <f t="shared" si="492"/>
        <v> </v>
      </c>
      <c r="V769" s="39" t="str">
        <f t="shared" si="493"/>
        <v> </v>
      </c>
      <c r="AI769" t="str">
        <f t="array" ref="AI769">IFERROR(INDEX($L$2:$L$189,SMALL(IF(ISNUMBER(FIND($AH$2,$C$2:$C$189)),ROW($2:$189)-1,4^8),ROW(A768)))&amp;"","")</f>
        <v/>
      </c>
      <c r="AT769" t="str">
        <f t="shared" si="478"/>
        <v>514685.0686,3331037.0421</v>
      </c>
      <c r="AV769">
        <f t="shared" si="506"/>
        <v>431.888</v>
      </c>
      <c r="AX769" t="str">
        <f t="shared" si="479"/>
        <v>pl 60175.8647451201,279 60175.8647451201,400 </v>
      </c>
      <c r="AY769" t="str">
        <f t="shared" si="480"/>
        <v>60175.8647451201,428.388</v>
      </c>
      <c r="AZ769" t="str">
        <f t="shared" si="481"/>
        <v>60175.8647451201,431.072</v>
      </c>
      <c r="BA769" t="str">
        <f t="shared" si="482"/>
        <v>60175.8647451201,431.888</v>
      </c>
      <c r="BB769" t="str">
        <f t="shared" si="483"/>
        <v>-text 60174.8647451201,337 3.5 90 428.388 </v>
      </c>
      <c r="BC769" t="str">
        <f t="shared" si="484"/>
        <v>-text 60174.8647451201,320 3.5 90 431.888 </v>
      </c>
      <c r="BD769" t="str">
        <f t="shared" si="485"/>
        <v>-text 60174.8647451201,306 3.5 90 431.072 </v>
      </c>
      <c r="BE769" t="str">
        <f t="shared" si="486"/>
        <v>-text 60174.8647451201,352 3.5 90 ZG120+351.729 </v>
      </c>
      <c r="BF769" t="str">
        <f t="shared" si="487"/>
        <v>-text 60174.8647451201,280 3.5 90 何家大院隧出 </v>
      </c>
      <c r="BG769" t="str">
        <f t="shared" si="488"/>
        <v/>
      </c>
      <c r="BH769" t="str">
        <f t="shared" si="489"/>
        <v> </v>
      </c>
      <c r="BI769" t="str">
        <f t="shared" si="490"/>
        <v> </v>
      </c>
      <c r="BJ769" t="str">
        <f t="shared" si="491"/>
        <v> </v>
      </c>
    </row>
    <row r="770" spans="1:62">
      <c r="A770">
        <v>1</v>
      </c>
      <c r="B770">
        <v>769</v>
      </c>
      <c r="C770" t="str">
        <f>Sheet1!C715</f>
        <v>吕家沟隧进</v>
      </c>
      <c r="D770" s="39">
        <v>514704.7895</v>
      </c>
      <c r="E770" s="39">
        <v>3330981.0713</v>
      </c>
      <c r="G770">
        <f t="shared" si="505"/>
        <v>0</v>
      </c>
      <c r="H770">
        <f t="shared" si="494"/>
        <v>0</v>
      </c>
      <c r="I770">
        <f t="shared" si="495"/>
        <v>0</v>
      </c>
      <c r="J770">
        <f t="shared" si="496"/>
        <v>59.3434440311461</v>
      </c>
      <c r="K770" s="40">
        <f t="shared" si="502"/>
        <v>120411.072934271</v>
      </c>
      <c r="L770" s="40">
        <f t="shared" si="503"/>
        <v>120411.072934271</v>
      </c>
      <c r="M770" s="40">
        <f t="shared" si="504"/>
        <v>120411.072934271</v>
      </c>
      <c r="N770">
        <v>431.041</v>
      </c>
      <c r="O770">
        <v>428.357</v>
      </c>
      <c r="P770">
        <v>0</v>
      </c>
      <c r="Q770" s="39">
        <f t="shared" si="497"/>
        <v>514704.7895</v>
      </c>
      <c r="R770" s="39">
        <f t="shared" si="498"/>
        <v>3330981.0713</v>
      </c>
      <c r="S770" s="39" t="str">
        <f t="shared" si="499"/>
        <v> </v>
      </c>
      <c r="T770" s="39" t="str">
        <f t="shared" si="500"/>
        <v> </v>
      </c>
      <c r="U770" s="39" t="str">
        <f t="shared" si="492"/>
        <v> </v>
      </c>
      <c r="V770" s="39" t="str">
        <f t="shared" si="493"/>
        <v> </v>
      </c>
      <c r="AI770" t="str">
        <f t="array" ref="AI770">IFERROR(INDEX($L$2:$L$189,SMALL(IF(ISNUMBER(FIND($AH$2,$C$2:$C$189)),ROW($2:$189)-1,4^8),ROW(A769)))&amp;"","")</f>
        <v/>
      </c>
      <c r="AT770" t="str">
        <f t="shared" si="478"/>
        <v>514704.7895,3330981.0713</v>
      </c>
      <c r="AV770">
        <f t="shared" si="506"/>
        <v>431.857</v>
      </c>
      <c r="AX770" t="str">
        <f t="shared" si="479"/>
        <v>pl 60205.5364671356,279 60205.5364671356,400 </v>
      </c>
      <c r="AY770" t="str">
        <f t="shared" si="480"/>
        <v>60205.5364671356,428.357</v>
      </c>
      <c r="AZ770" t="str">
        <f t="shared" si="481"/>
        <v>60205.5364671356,431.041</v>
      </c>
      <c r="BA770" t="str">
        <f t="shared" si="482"/>
        <v>60205.5364671356,431.857</v>
      </c>
      <c r="BB770" t="str">
        <f t="shared" si="483"/>
        <v>-text 60204.5364671356,337 3.5 90 428.357 </v>
      </c>
      <c r="BC770" t="str">
        <f t="shared" si="484"/>
        <v>-text 60204.5364671356,320 3.5 90 431.857 </v>
      </c>
      <c r="BD770" t="str">
        <f t="shared" si="485"/>
        <v>-text 60204.5364671356,306 3.5 90 431.041 </v>
      </c>
      <c r="BE770" t="str">
        <f t="shared" si="486"/>
        <v>-text 60204.5364671356,352 3.5 90 ZG120+411.073 </v>
      </c>
      <c r="BF770" t="str">
        <f t="shared" si="487"/>
        <v>-text 60204.5364671356,280 3.5 90 吕家沟隧进 </v>
      </c>
      <c r="BG770" t="str">
        <f t="shared" si="488"/>
        <v/>
      </c>
      <c r="BH770" t="str">
        <f t="shared" si="489"/>
        <v> </v>
      </c>
      <c r="BI770" t="str">
        <f t="shared" si="490"/>
        <v> </v>
      </c>
      <c r="BJ770" t="str">
        <f t="shared" si="491"/>
        <v> </v>
      </c>
    </row>
    <row r="771" spans="1:62">
      <c r="A771">
        <v>1</v>
      </c>
      <c r="B771">
        <v>770</v>
      </c>
      <c r="C771" t="s">
        <v>723</v>
      </c>
      <c r="D771" s="39">
        <v>514723.6474</v>
      </c>
      <c r="E771" s="39">
        <v>3330927.5495</v>
      </c>
      <c r="F771">
        <v>60</v>
      </c>
      <c r="G771">
        <f t="shared" si="505"/>
        <v>54.205</v>
      </c>
      <c r="H771">
        <f t="shared" si="494"/>
        <v>30.7068548341044</v>
      </c>
      <c r="I771">
        <f t="shared" si="495"/>
        <v>56.7633432626116</v>
      </c>
      <c r="J771">
        <f t="shared" si="496"/>
        <v>56.7468366309864</v>
      </c>
      <c r="K771" s="40">
        <f t="shared" si="502"/>
        <v>120437.112916068</v>
      </c>
      <c r="L771" s="40">
        <f t="shared" si="503"/>
        <v>120465.494587699</v>
      </c>
      <c r="M771" s="40">
        <f t="shared" si="504"/>
        <v>120493.876259331</v>
      </c>
      <c r="N771">
        <v>431.02</v>
      </c>
      <c r="O771">
        <v>428.336</v>
      </c>
      <c r="P771">
        <v>0.003</v>
      </c>
      <c r="Q771" s="39">
        <f t="shared" si="497"/>
        <v>514713.44301096</v>
      </c>
      <c r="R771" s="39">
        <f t="shared" si="498"/>
        <v>3330956.51122264</v>
      </c>
      <c r="S771" s="39">
        <f t="shared" si="499"/>
        <v>514728.740879107</v>
      </c>
      <c r="T771" s="39">
        <f t="shared" si="500"/>
        <v>3330932.91915042</v>
      </c>
      <c r="U771" s="39">
        <f t="shared" si="492"/>
        <v>514753.107105402</v>
      </c>
      <c r="V771" s="39">
        <f t="shared" si="493"/>
        <v>3330918.88712784</v>
      </c>
      <c r="AI771" t="str">
        <f t="array" ref="AI771">IFERROR(INDEX($L$2:$L$189,SMALL(IF(ISNUMBER(FIND($AH$2,$C$2:$C$189)),ROW($2:$189)-1,4^8),ROW(A770)))&amp;"","")</f>
        <v/>
      </c>
      <c r="AS771" t="str">
        <f>"-text"&amp;" "&amp;D771&amp;","&amp;E771&amp;" "&amp;"10"&amp;" "&amp;"0"&amp;" "&amp;C771</f>
        <v>-text 514723.6474,3330927.5495 10 0 IP411</v>
      </c>
      <c r="AT771" t="str">
        <f t="shared" si="478"/>
        <v>514723.6474,3330927.5495</v>
      </c>
      <c r="AV771">
        <f t="shared" si="506"/>
        <v>431.836</v>
      </c>
      <c r="AX771" t="str">
        <f t="shared" si="479"/>
        <v>pl 60232.7472938497,279 60232.7472938497,400 </v>
      </c>
      <c r="AY771" t="str">
        <f t="shared" si="480"/>
        <v>60232.7472938497,428.336</v>
      </c>
      <c r="AZ771" t="str">
        <f t="shared" si="481"/>
        <v>60232.7472938497,431.02</v>
      </c>
      <c r="BA771" t="str">
        <f t="shared" si="482"/>
        <v>60232.7472938497,431.836</v>
      </c>
      <c r="BB771" t="str">
        <f t="shared" si="483"/>
        <v>-text 60231.7472938497,337 3.5 90 428.336 </v>
      </c>
      <c r="BC771" t="str">
        <f t="shared" si="484"/>
        <v>-text 60231.7472938497,320 3.5 90 431.836 </v>
      </c>
      <c r="BD771" t="str">
        <f t="shared" si="485"/>
        <v>-text 60231.7472938497,306 3.5 90 431.020 </v>
      </c>
      <c r="BE771" t="str">
        <f t="shared" si="486"/>
        <v>-text 60231.7472938497,352 3.5 90 ZG120+465.495 </v>
      </c>
      <c r="BF771" t="str">
        <f t="shared" si="487"/>
        <v>-text 60231.7472938497,280 3.5 90 IP411 </v>
      </c>
      <c r="BG771" t="str">
        <f t="shared" si="488"/>
        <v>-TEXT 60233.7472938497,300 3.5 0 R=60</v>
      </c>
      <c r="BH771" t="str">
        <f t="shared" si="489"/>
        <v>-TEXT 60233.7472938497,295 3.5 0 α=54.21° </v>
      </c>
      <c r="BI771" t="str">
        <f t="shared" si="490"/>
        <v>-TEXT 60233.7472938497,290 3.5 0 T=30.71 </v>
      </c>
      <c r="BJ771" t="str">
        <f t="shared" si="491"/>
        <v>-TEXT 60233.7472938497,285 3.5 0 S=56.76 </v>
      </c>
    </row>
    <row r="772" spans="1:62">
      <c r="A772">
        <v>1</v>
      </c>
      <c r="B772">
        <v>771</v>
      </c>
      <c r="C772" t="str">
        <f>Sheet1!C717</f>
        <v>吕家沟隧出</v>
      </c>
      <c r="D772" s="39">
        <v>515029.5013</v>
      </c>
      <c r="E772" s="39">
        <v>3330837.6158</v>
      </c>
      <c r="G772">
        <f t="shared" si="505"/>
        <v>0</v>
      </c>
      <c r="H772">
        <f t="shared" si="494"/>
        <v>0</v>
      </c>
      <c r="I772">
        <f t="shared" si="495"/>
        <v>0</v>
      </c>
      <c r="J772">
        <f t="shared" si="496"/>
        <v>318.801942498731</v>
      </c>
      <c r="K772" s="40">
        <f t="shared" si="502"/>
        <v>120781.971346995</v>
      </c>
      <c r="L772" s="40">
        <f t="shared" si="503"/>
        <v>120781.971346995</v>
      </c>
      <c r="M772" s="40">
        <f t="shared" si="504"/>
        <v>120781.971346995</v>
      </c>
      <c r="N772">
        <v>430.905</v>
      </c>
      <c r="O772">
        <v>428.221</v>
      </c>
      <c r="P772">
        <v>0</v>
      </c>
      <c r="Q772" s="39">
        <f t="shared" si="497"/>
        <v>515029.5013</v>
      </c>
      <c r="R772" s="39">
        <f t="shared" si="498"/>
        <v>3330837.6158</v>
      </c>
      <c r="S772" s="39" t="str">
        <f t="shared" si="499"/>
        <v> </v>
      </c>
      <c r="T772" s="39" t="str">
        <f t="shared" si="500"/>
        <v> </v>
      </c>
      <c r="U772" s="39" t="str">
        <f t="shared" si="492"/>
        <v> </v>
      </c>
      <c r="V772" s="39" t="str">
        <f t="shared" si="493"/>
        <v> </v>
      </c>
      <c r="AI772" t="str">
        <f t="array" ref="AI772">IFERROR(INDEX($L$2:$L$189,SMALL(IF(ISNUMBER(FIND($AH$2,$C$2:$C$189)),ROW($2:$189)-1,4^8),ROW(A771)))&amp;"","")</f>
        <v/>
      </c>
      <c r="AT772" t="str">
        <f t="shared" ref="AT772:AT805" si="507">D772&amp;","&amp;E772</f>
        <v>515029.5013,3330837.6158</v>
      </c>
      <c r="AV772">
        <f t="shared" si="506"/>
        <v>431.721</v>
      </c>
      <c r="AX772" t="str">
        <f t="shared" ref="AX772:AX805" si="508">"pl "&amp;L772/2&amp;",279 "&amp;L772/2&amp;",400 "</f>
        <v>pl 60390.9856734977,279 60390.9856734977,400 </v>
      </c>
      <c r="AY772" t="str">
        <f t="shared" ref="AY772:AY805" si="509">L772/2&amp;","&amp;O772</f>
        <v>60390.9856734977,428.221</v>
      </c>
      <c r="AZ772" t="str">
        <f t="shared" ref="AZ772:AZ805" si="510">L772/2&amp;","&amp;N772</f>
        <v>60390.9856734977,430.905</v>
      </c>
      <c r="BA772" t="str">
        <f t="shared" ref="BA772:BA805" si="511">L772/2&amp;","&amp;AV772</f>
        <v>60390.9856734977,431.721</v>
      </c>
      <c r="BB772" t="str">
        <f t="shared" ref="BB772:BB805" si="512">"-text "&amp;L772/2-1&amp;",337 3.5 90 "&amp;FIXED(O772,3)&amp;" "</f>
        <v>-text 60389.9856734977,337 3.5 90 428.221 </v>
      </c>
      <c r="BC772" t="str">
        <f t="shared" ref="BC772:BC805" si="513">"-text "&amp;L772/2-1&amp;",320 3.5 90 "&amp;FIXED(AV772,3)&amp;" "</f>
        <v>-text 60389.9856734977,320 3.5 90 431.721 </v>
      </c>
      <c r="BD772" t="str">
        <f t="shared" ref="BD772:BD805" si="514">"-text "&amp;L772/2-1&amp;",306 3.5 90 "&amp;FIXED(N772,3)&amp;" "</f>
        <v>-text 60389.9856734977,306 3.5 90 430.905 </v>
      </c>
      <c r="BE772" t="str">
        <f t="shared" ref="BE772:BE805" si="515">"-text "&amp;L772/2-1&amp;",352 3.5 90 "&amp;"ZG"&amp;TEXT(L772,"0+000.000")&amp;" "</f>
        <v>-text 60389.9856734977,352 3.5 90 ZG120+781.971 </v>
      </c>
      <c r="BF772" t="str">
        <f t="shared" ref="BF772:BF805" si="516">"-text "&amp;L772/2-1&amp;",280 3.5 90 "&amp;C772&amp;" "</f>
        <v>-text 60389.9856734977,280 3.5 90 吕家沟隧出 </v>
      </c>
      <c r="BG772" t="str">
        <f t="shared" ref="BG772:BG805" si="517">IF(G772&lt;0.01,"",("-TEXT "&amp;L772/2+1&amp;",300 3.5 0 "&amp;"R="&amp;FIXED(F772,0)))</f>
        <v/>
      </c>
      <c r="BH772" t="str">
        <f t="shared" ref="BH772:BH805" si="518">IF(G772&lt;0.01," ",("-TEXT "&amp;L772/2+1&amp;",295 3.5 0 "&amp;"α="&amp;FIXED(G772,2)&amp;"° "))</f>
        <v> </v>
      </c>
      <c r="BI772" t="str">
        <f t="shared" ref="BI772:BI805" si="519">IF(G772&lt;0.01," ",("-TEXT "&amp;L772/2+1&amp;",290 3.5 0 "&amp;"T="&amp;FIXED(H772,2)&amp;" "))</f>
        <v> </v>
      </c>
      <c r="BJ772" t="str">
        <f t="shared" ref="BJ772:BJ805" si="520">IF(G772&lt;0.01," ",("-TEXT "&amp;L772/2+1&amp;",285 3.5 0 "&amp;"S="&amp;FIXED(I772,2)&amp;" "))</f>
        <v> </v>
      </c>
    </row>
    <row r="773" spans="1:62">
      <c r="A773">
        <v>2</v>
      </c>
      <c r="B773">
        <v>772</v>
      </c>
      <c r="C773" t="str">
        <f>Sheet1!C718</f>
        <v>吕家沟渡槽进</v>
      </c>
      <c r="D773" s="39">
        <v>515049.2706</v>
      </c>
      <c r="E773" s="39">
        <v>3330831.8027</v>
      </c>
      <c r="G773">
        <f t="shared" si="505"/>
        <v>0</v>
      </c>
      <c r="H773">
        <f t="shared" si="494"/>
        <v>0</v>
      </c>
      <c r="I773">
        <f t="shared" si="495"/>
        <v>0</v>
      </c>
      <c r="J773">
        <f t="shared" si="496"/>
        <v>20.6062455119413</v>
      </c>
      <c r="K773" s="40">
        <f t="shared" si="502"/>
        <v>120802.577592507</v>
      </c>
      <c r="L773" s="40">
        <f t="shared" si="503"/>
        <v>120802.577592507</v>
      </c>
      <c r="M773" s="40">
        <f t="shared" si="504"/>
        <v>120802.577592507</v>
      </c>
      <c r="N773">
        <v>430.842</v>
      </c>
      <c r="O773">
        <v>428.148</v>
      </c>
      <c r="P773">
        <v>0</v>
      </c>
      <c r="Q773" s="39">
        <f t="shared" si="497"/>
        <v>515049.2706</v>
      </c>
      <c r="R773" s="39">
        <f t="shared" si="498"/>
        <v>3330831.8027</v>
      </c>
      <c r="S773" s="39" t="str">
        <f t="shared" si="499"/>
        <v> </v>
      </c>
      <c r="T773" s="39" t="str">
        <f t="shared" si="500"/>
        <v> </v>
      </c>
      <c r="U773" s="39" t="str">
        <f t="shared" si="492"/>
        <v> </v>
      </c>
      <c r="V773" s="39" t="str">
        <f t="shared" si="493"/>
        <v> </v>
      </c>
      <c r="AI773" t="str">
        <f t="array" ref="AI773">IFERROR(INDEX($L$2:$L$189,SMALL(IF(ISNUMBER(FIND($AH$2,$C$2:$C$189)),ROW($2:$189)-1,4^8),ROW(A772)))&amp;"","")</f>
        <v/>
      </c>
      <c r="AT773" t="str">
        <f t="shared" si="507"/>
        <v>515049.2706,3330831.8027</v>
      </c>
      <c r="AV773">
        <f t="shared" si="506"/>
        <v>431.398</v>
      </c>
      <c r="AX773" t="str">
        <f t="shared" si="508"/>
        <v>pl 60401.2887962536,279 60401.2887962536,400 </v>
      </c>
      <c r="AY773" t="str">
        <f t="shared" si="509"/>
        <v>60401.2887962536,428.148</v>
      </c>
      <c r="AZ773" t="str">
        <f t="shared" si="510"/>
        <v>60401.2887962536,430.842</v>
      </c>
      <c r="BA773" t="str">
        <f t="shared" si="511"/>
        <v>60401.2887962536,431.398</v>
      </c>
      <c r="BB773" t="str">
        <f t="shared" si="512"/>
        <v>-text 60400.2887962536,337 3.5 90 428.148 </v>
      </c>
      <c r="BC773" t="str">
        <f t="shared" si="513"/>
        <v>-text 60400.2887962536,320 3.5 90 431.398 </v>
      </c>
      <c r="BD773" t="str">
        <f t="shared" si="514"/>
        <v>-text 60400.2887962536,306 3.5 90 430.842 </v>
      </c>
      <c r="BE773" t="str">
        <f t="shared" si="515"/>
        <v>-text 60400.2887962536,352 3.5 90 ZG120+802.578 </v>
      </c>
      <c r="BF773" t="str">
        <f t="shared" si="516"/>
        <v>-text 60400.2887962536,280 3.5 90 吕家沟渡槽进 </v>
      </c>
      <c r="BG773" t="str">
        <f t="shared" si="517"/>
        <v/>
      </c>
      <c r="BH773" t="str">
        <f t="shared" si="518"/>
        <v> </v>
      </c>
      <c r="BI773" t="str">
        <f t="shared" si="519"/>
        <v> </v>
      </c>
      <c r="BJ773" t="str">
        <f t="shared" si="520"/>
        <v> </v>
      </c>
    </row>
    <row r="774" spans="1:62">
      <c r="A774">
        <v>2</v>
      </c>
      <c r="B774">
        <v>773</v>
      </c>
      <c r="C774" t="str">
        <f>Sheet1!C719</f>
        <v>吕家沟渡槽出</v>
      </c>
      <c r="D774" s="39">
        <v>515120.6631</v>
      </c>
      <c r="E774" s="39">
        <v>3330810.8104</v>
      </c>
      <c r="G774">
        <f t="shared" si="505"/>
        <v>0</v>
      </c>
      <c r="H774">
        <f t="shared" si="494"/>
        <v>0</v>
      </c>
      <c r="I774">
        <f t="shared" si="495"/>
        <v>0</v>
      </c>
      <c r="J774">
        <f t="shared" si="496"/>
        <v>74.4148218807522</v>
      </c>
      <c r="K774" s="40">
        <f t="shared" si="502"/>
        <v>120876.992414388</v>
      </c>
      <c r="L774" s="40">
        <f t="shared" si="503"/>
        <v>120876.992414388</v>
      </c>
      <c r="M774" s="40">
        <f t="shared" si="504"/>
        <v>120876.992414388</v>
      </c>
      <c r="N774">
        <v>430.808</v>
      </c>
      <c r="O774">
        <v>428.114</v>
      </c>
      <c r="P774">
        <v>0</v>
      </c>
      <c r="Q774" s="39">
        <f t="shared" si="497"/>
        <v>515120.6631</v>
      </c>
      <c r="R774" s="39">
        <f t="shared" si="498"/>
        <v>3330810.8104</v>
      </c>
      <c r="S774" s="39" t="str">
        <f t="shared" si="499"/>
        <v> </v>
      </c>
      <c r="T774" s="39" t="str">
        <f t="shared" si="500"/>
        <v> </v>
      </c>
      <c r="U774" s="39" t="str">
        <f t="shared" si="492"/>
        <v> </v>
      </c>
      <c r="V774" s="39" t="str">
        <f t="shared" si="493"/>
        <v> </v>
      </c>
      <c r="AI774" t="str">
        <f t="array" ref="AI774">IFERROR(INDEX($L$2:$L$189,SMALL(IF(ISNUMBER(FIND($AH$2,$C$2:$C$189)),ROW($2:$189)-1,4^8),ROW(A773)))&amp;"","")</f>
        <v/>
      </c>
      <c r="AT774" t="str">
        <f t="shared" si="507"/>
        <v>515120.6631,3330810.8104</v>
      </c>
      <c r="AV774">
        <f t="shared" si="506"/>
        <v>431.364</v>
      </c>
      <c r="AX774" t="str">
        <f t="shared" si="508"/>
        <v>pl 60438.496207194,279 60438.496207194,400 </v>
      </c>
      <c r="AY774" t="str">
        <f t="shared" si="509"/>
        <v>60438.496207194,428.114</v>
      </c>
      <c r="AZ774" t="str">
        <f t="shared" si="510"/>
        <v>60438.496207194,430.808</v>
      </c>
      <c r="BA774" t="str">
        <f t="shared" si="511"/>
        <v>60438.496207194,431.364</v>
      </c>
      <c r="BB774" t="str">
        <f t="shared" si="512"/>
        <v>-text 60437.496207194,337 3.5 90 428.114 </v>
      </c>
      <c r="BC774" t="str">
        <f t="shared" si="513"/>
        <v>-text 60437.496207194,320 3.5 90 431.364 </v>
      </c>
      <c r="BD774" t="str">
        <f t="shared" si="514"/>
        <v>-text 60437.496207194,306 3.5 90 430.808 </v>
      </c>
      <c r="BE774" t="str">
        <f t="shared" si="515"/>
        <v>-text 60437.496207194,352 3.5 90 ZG120+876.992 </v>
      </c>
      <c r="BF774" t="str">
        <f t="shared" si="516"/>
        <v>-text 60437.496207194,280 3.5 90 吕家沟渡槽出 </v>
      </c>
      <c r="BG774" t="str">
        <f t="shared" si="517"/>
        <v/>
      </c>
      <c r="BH774" t="str">
        <f t="shared" si="518"/>
        <v> </v>
      </c>
      <c r="BI774" t="str">
        <f t="shared" si="519"/>
        <v> </v>
      </c>
      <c r="BJ774" t="str">
        <f t="shared" si="520"/>
        <v> </v>
      </c>
    </row>
    <row r="775" spans="1:62">
      <c r="A775">
        <v>1</v>
      </c>
      <c r="B775">
        <v>774</v>
      </c>
      <c r="C775" t="str">
        <f>Sheet1!C720</f>
        <v>杉木湾1#隧进</v>
      </c>
      <c r="D775" s="39">
        <v>515132.0182</v>
      </c>
      <c r="E775" s="39">
        <v>3330807.4715</v>
      </c>
      <c r="G775">
        <f t="shared" si="505"/>
        <v>0</v>
      </c>
      <c r="H775">
        <f t="shared" si="494"/>
        <v>0</v>
      </c>
      <c r="I775">
        <f t="shared" si="495"/>
        <v>0</v>
      </c>
      <c r="J775">
        <f t="shared" si="496"/>
        <v>11.8358163731417</v>
      </c>
      <c r="K775" s="40">
        <f t="shared" si="502"/>
        <v>120888.828230761</v>
      </c>
      <c r="L775" s="40">
        <f t="shared" si="503"/>
        <v>120888.828230761</v>
      </c>
      <c r="M775" s="40">
        <f t="shared" si="504"/>
        <v>120888.828230761</v>
      </c>
      <c r="N775">
        <v>430.806</v>
      </c>
      <c r="O775">
        <v>428.122</v>
      </c>
      <c r="P775">
        <v>0</v>
      </c>
      <c r="Q775" s="39">
        <f t="shared" si="497"/>
        <v>515132.0182</v>
      </c>
      <c r="R775" s="39">
        <f t="shared" si="498"/>
        <v>3330807.4715</v>
      </c>
      <c r="S775" s="39" t="str">
        <f t="shared" si="499"/>
        <v> </v>
      </c>
      <c r="T775" s="39" t="str">
        <f t="shared" si="500"/>
        <v> </v>
      </c>
      <c r="U775" s="39" t="str">
        <f t="shared" si="492"/>
        <v> </v>
      </c>
      <c r="V775" s="39" t="str">
        <f t="shared" si="493"/>
        <v> </v>
      </c>
      <c r="AI775" t="str">
        <f t="array" ref="AI775">IFERROR(INDEX($L$2:$L$189,SMALL(IF(ISNUMBER(FIND($AH$2,$C$2:$C$189)),ROW($2:$189)-1,4^8),ROW(A774)))&amp;"","")</f>
        <v/>
      </c>
      <c r="AT775" t="str">
        <f t="shared" si="507"/>
        <v>515132.0182,3330807.4715</v>
      </c>
      <c r="AV775">
        <f t="shared" si="506"/>
        <v>431.622</v>
      </c>
      <c r="AX775" t="str">
        <f t="shared" si="508"/>
        <v>pl 60444.4141153806,279 60444.4141153806,400 </v>
      </c>
      <c r="AY775" t="str">
        <f t="shared" si="509"/>
        <v>60444.4141153806,428.122</v>
      </c>
      <c r="AZ775" t="str">
        <f t="shared" si="510"/>
        <v>60444.4141153806,430.806</v>
      </c>
      <c r="BA775" t="str">
        <f t="shared" si="511"/>
        <v>60444.4141153806,431.622</v>
      </c>
      <c r="BB775" t="str">
        <f t="shared" si="512"/>
        <v>-text 60443.4141153806,337 3.5 90 428.122 </v>
      </c>
      <c r="BC775" t="str">
        <f t="shared" si="513"/>
        <v>-text 60443.4141153806,320 3.5 90 431.622 </v>
      </c>
      <c r="BD775" t="str">
        <f t="shared" si="514"/>
        <v>-text 60443.4141153806,306 3.5 90 430.806 </v>
      </c>
      <c r="BE775" t="str">
        <f t="shared" si="515"/>
        <v>-text 60443.4141153806,352 3.5 90 ZG120+888.828 </v>
      </c>
      <c r="BF775" t="str">
        <f t="shared" si="516"/>
        <v>-text 60443.4141153806,280 3.5 90 杉木湾1#隧进 </v>
      </c>
      <c r="BG775" t="str">
        <f t="shared" si="517"/>
        <v/>
      </c>
      <c r="BH775" t="str">
        <f t="shared" si="518"/>
        <v> </v>
      </c>
      <c r="BI775" t="str">
        <f t="shared" si="519"/>
        <v> </v>
      </c>
      <c r="BJ775" t="str">
        <f t="shared" si="520"/>
        <v> </v>
      </c>
    </row>
    <row r="776" spans="1:62">
      <c r="A776">
        <v>1</v>
      </c>
      <c r="B776">
        <v>775</v>
      </c>
      <c r="C776" t="str">
        <f>Sheet1!C721</f>
        <v>杉木湾1#隧出</v>
      </c>
      <c r="D776" s="39">
        <v>515309.8032</v>
      </c>
      <c r="E776" s="39">
        <v>3330755.1953</v>
      </c>
      <c r="G776">
        <f t="shared" si="505"/>
        <v>0</v>
      </c>
      <c r="H776">
        <f t="shared" si="494"/>
        <v>0</v>
      </c>
      <c r="I776">
        <f t="shared" si="495"/>
        <v>0</v>
      </c>
      <c r="J776">
        <f t="shared" si="496"/>
        <v>185.311379336165</v>
      </c>
      <c r="K776" s="40">
        <f t="shared" si="502"/>
        <v>121074.139610097</v>
      </c>
      <c r="L776" s="40">
        <f t="shared" si="503"/>
        <v>121074.139610097</v>
      </c>
      <c r="M776" s="40">
        <f t="shared" si="504"/>
        <v>121074.139610097</v>
      </c>
      <c r="N776">
        <v>430.74</v>
      </c>
      <c r="O776">
        <v>428.056</v>
      </c>
      <c r="P776">
        <v>0</v>
      </c>
      <c r="Q776" s="39">
        <f t="shared" si="497"/>
        <v>515309.8032</v>
      </c>
      <c r="R776" s="39">
        <f t="shared" si="498"/>
        <v>3330755.1953</v>
      </c>
      <c r="S776" s="39" t="str">
        <f t="shared" si="499"/>
        <v> </v>
      </c>
      <c r="T776" s="39" t="str">
        <f t="shared" si="500"/>
        <v> </v>
      </c>
      <c r="U776" s="39" t="str">
        <f t="shared" ref="U776:U789" si="521">IF(G776=0," ",D776+(D777-D776)/J777*H776)</f>
        <v> </v>
      </c>
      <c r="V776" s="39" t="str">
        <f t="shared" ref="V776:V789" si="522">IF(G776=0," ",E776+(E777-E776)/J777*H776)</f>
        <v> </v>
      </c>
      <c r="AI776" t="str">
        <f t="array" ref="AI776">IFERROR(INDEX($L$2:$L$189,SMALL(IF(ISNUMBER(FIND($AH$2,$C$2:$C$189)),ROW($2:$189)-1,4^8),ROW(A775)))&amp;"","")</f>
        <v/>
      </c>
      <c r="AT776" t="str">
        <f t="shared" si="507"/>
        <v>515309.8032,3330755.1953</v>
      </c>
      <c r="AV776">
        <f t="shared" si="506"/>
        <v>431.556</v>
      </c>
      <c r="AX776" t="str">
        <f t="shared" si="508"/>
        <v>pl 60537.0698050487,279 60537.0698050487,400 </v>
      </c>
      <c r="AY776" t="str">
        <f t="shared" si="509"/>
        <v>60537.0698050487,428.056</v>
      </c>
      <c r="AZ776" t="str">
        <f t="shared" si="510"/>
        <v>60537.0698050487,430.74</v>
      </c>
      <c r="BA776" t="str">
        <f t="shared" si="511"/>
        <v>60537.0698050487,431.556</v>
      </c>
      <c r="BB776" t="str">
        <f t="shared" si="512"/>
        <v>-text 60536.0698050487,337 3.5 90 428.056 </v>
      </c>
      <c r="BC776" t="str">
        <f t="shared" si="513"/>
        <v>-text 60536.0698050487,320 3.5 90 431.556 </v>
      </c>
      <c r="BD776" t="str">
        <f t="shared" si="514"/>
        <v>-text 60536.0698050487,306 3.5 90 430.740 </v>
      </c>
      <c r="BE776" t="str">
        <f t="shared" si="515"/>
        <v>-text 60536.0698050487,352 3.5 90 ZG121+074.140 </v>
      </c>
      <c r="BF776" t="str">
        <f t="shared" si="516"/>
        <v>-text 60536.0698050487,280 3.5 90 杉木湾1#隧出 </v>
      </c>
      <c r="BG776" t="str">
        <f t="shared" si="517"/>
        <v/>
      </c>
      <c r="BH776" t="str">
        <f t="shared" si="518"/>
        <v> </v>
      </c>
      <c r="BI776" t="str">
        <f t="shared" si="519"/>
        <v> </v>
      </c>
      <c r="BJ776" t="str">
        <f t="shared" si="520"/>
        <v> </v>
      </c>
    </row>
    <row r="777" spans="1:62">
      <c r="A777">
        <v>0</v>
      </c>
      <c r="B777">
        <v>776</v>
      </c>
      <c r="C777" t="s">
        <v>726</v>
      </c>
      <c r="D777" s="39">
        <v>515328.7754</v>
      </c>
      <c r="E777" s="39">
        <v>3330749.6167</v>
      </c>
      <c r="F777">
        <v>30</v>
      </c>
      <c r="G777">
        <f t="shared" si="505"/>
        <v>34.605</v>
      </c>
      <c r="H777">
        <f t="shared" ref="H777:H788" si="523">F777*TAN(PI()/180*G777/2)</f>
        <v>9.34539548171515</v>
      </c>
      <c r="I777">
        <f t="shared" ref="I777:I788" si="524">F777*G777/180*PI()</f>
        <v>18.1191356295791</v>
      </c>
      <c r="J777">
        <f t="shared" ref="J777:J788" si="525">SQRT((D777-D776)^2+(E777-E776)^2)</f>
        <v>19.7753672733196</v>
      </c>
      <c r="K777" s="40">
        <f t="shared" si="502"/>
        <v>121084.569581889</v>
      </c>
      <c r="L777" s="40">
        <f t="shared" si="503"/>
        <v>121093.629149704</v>
      </c>
      <c r="M777" s="40">
        <f t="shared" si="504"/>
        <v>121102.688717519</v>
      </c>
      <c r="N777">
        <v>430.761</v>
      </c>
      <c r="O777">
        <v>428.084</v>
      </c>
      <c r="P777">
        <v>0.001</v>
      </c>
      <c r="Q777" s="39">
        <f t="shared" ref="Q777:Q789" si="526">IF(G777=0,D777,D776+(D777-D776)/J777*(J777-H777))</f>
        <v>515319.809563376</v>
      </c>
      <c r="R777" s="39">
        <f t="shared" ref="R777:R789" si="527">IF(G777=0,E777,E776+(E777-E776)/J777*(J777-H777))</f>
        <v>3330752.25302136</v>
      </c>
      <c r="S777" s="39">
        <f t="shared" ref="S777:S789" si="528">IF(G777=0," ",(Q777+U777)/2+(D777-(Q777+U777)/2)/(H777*SIN(G777/360*PI()))*(F777-F777*COS(G777/360*PI())))</f>
        <v>515327.986703762</v>
      </c>
      <c r="T777" s="39">
        <f t="shared" ref="T777:T789" si="529">IF(G777=0," ",(R777+V777)/2+(E777-(R777+V777)/2)/(H777*SIN(G777/360*PI()))*(F777-F777*COS(G777/360*PI())))</f>
        <v>3330748.43356634</v>
      </c>
      <c r="U777" s="39">
        <f t="shared" si="521"/>
        <v>515334.657832115</v>
      </c>
      <c r="V777" s="39">
        <f t="shared" si="522"/>
        <v>3330742.35492273</v>
      </c>
      <c r="AI777" t="str">
        <f t="array" ref="AI777">IFERROR(INDEX($L$2:$L$189,SMALL(IF(ISNUMBER(FIND($AH$2,$C$2:$C$189)),ROW($2:$189)-1,4^8),ROW(A776)))&amp;"","")</f>
        <v/>
      </c>
      <c r="AS777" t="str">
        <f>"-text"&amp;" "&amp;D777&amp;","&amp;E777&amp;" "&amp;"10"&amp;" "&amp;"0"&amp;" "&amp;C777</f>
        <v>-text 515328.7754,3330749.6167 10 0 IP412</v>
      </c>
      <c r="AT777" t="str">
        <f t="shared" si="507"/>
        <v>515328.7754,3330749.6167</v>
      </c>
      <c r="AV777">
        <f t="shared" si="506"/>
        <v>431.934</v>
      </c>
      <c r="AX777" t="str">
        <f t="shared" si="508"/>
        <v>pl 60546.8145748519,279 60546.8145748519,400 </v>
      </c>
      <c r="AY777" t="str">
        <f t="shared" si="509"/>
        <v>60546.8145748519,428.084</v>
      </c>
      <c r="AZ777" t="str">
        <f t="shared" si="510"/>
        <v>60546.8145748519,430.761</v>
      </c>
      <c r="BA777" t="str">
        <f t="shared" si="511"/>
        <v>60546.8145748519,431.934</v>
      </c>
      <c r="BB777" t="str">
        <f t="shared" si="512"/>
        <v>-text 60545.8145748519,337 3.5 90 428.084 </v>
      </c>
      <c r="BC777" t="str">
        <f t="shared" si="513"/>
        <v>-text 60545.8145748519,320 3.5 90 431.934 </v>
      </c>
      <c r="BD777" t="str">
        <f t="shared" si="514"/>
        <v>-text 60545.8145748519,306 3.5 90 430.761 </v>
      </c>
      <c r="BE777" t="str">
        <f t="shared" si="515"/>
        <v>-text 60545.8145748519,352 3.5 90 ZG121+093.629 </v>
      </c>
      <c r="BF777" t="str">
        <f t="shared" si="516"/>
        <v>-text 60545.8145748519,280 3.5 90 IP412 </v>
      </c>
      <c r="BG777" t="str">
        <f t="shared" si="517"/>
        <v>-TEXT 60547.8145748519,300 3.5 0 R=30</v>
      </c>
      <c r="BH777" t="str">
        <f t="shared" si="518"/>
        <v>-TEXT 60547.8145748519,295 3.5 0 α=34.61° </v>
      </c>
      <c r="BI777" t="str">
        <f t="shared" si="519"/>
        <v>-TEXT 60547.8145748519,290 3.5 0 T=9.35 </v>
      </c>
      <c r="BJ777" t="str">
        <f t="shared" si="520"/>
        <v>-TEXT 60547.8145748519,285 3.5 0 S=18.12 </v>
      </c>
    </row>
    <row r="778" spans="1:62">
      <c r="A778">
        <v>1</v>
      </c>
      <c r="B778">
        <v>777</v>
      </c>
      <c r="C778" t="str">
        <f>Sheet1!C723</f>
        <v>杉木湾2#隧进</v>
      </c>
      <c r="D778">
        <v>515350.2505</v>
      </c>
      <c r="E778">
        <v>3330723.106</v>
      </c>
      <c r="G778">
        <f t="shared" si="505"/>
        <v>0</v>
      </c>
      <c r="H778">
        <f t="shared" si="523"/>
        <v>0</v>
      </c>
      <c r="I778">
        <f t="shared" si="524"/>
        <v>0</v>
      </c>
      <c r="J778">
        <f t="shared" si="525"/>
        <v>34.1174022238047</v>
      </c>
      <c r="K778" s="40">
        <f t="shared" si="502"/>
        <v>121127.460724261</v>
      </c>
      <c r="L778" s="40">
        <f t="shared" si="503"/>
        <v>121127.460724261</v>
      </c>
      <c r="M778" s="40">
        <f t="shared" si="504"/>
        <v>121127.460724261</v>
      </c>
      <c r="N778">
        <v>430.709</v>
      </c>
      <c r="O778">
        <v>428.025</v>
      </c>
      <c r="P778">
        <v>0</v>
      </c>
      <c r="Q778" s="39">
        <f t="shared" si="526"/>
        <v>515350.2505</v>
      </c>
      <c r="R778" s="39">
        <f t="shared" si="527"/>
        <v>3330723.106</v>
      </c>
      <c r="S778" s="39" t="str">
        <f t="shared" si="528"/>
        <v> </v>
      </c>
      <c r="T778" s="39" t="str">
        <f t="shared" si="529"/>
        <v> </v>
      </c>
      <c r="U778" s="39" t="str">
        <f t="shared" si="521"/>
        <v> </v>
      </c>
      <c r="V778" s="39" t="str">
        <f t="shared" si="522"/>
        <v> </v>
      </c>
      <c r="AI778" t="str">
        <f t="array" ref="AI778">IFERROR(INDEX($L$2:$L$189,SMALL(IF(ISNUMBER(FIND($AH$2,$C$2:$C$189)),ROW($2:$189)-1,4^8),ROW(A777)))&amp;"","")</f>
        <v/>
      </c>
      <c r="AT778" t="str">
        <f t="shared" si="507"/>
        <v>515350.2505,3330723.106</v>
      </c>
      <c r="AV778">
        <f t="shared" si="506"/>
        <v>431.525</v>
      </c>
      <c r="AX778" t="str">
        <f t="shared" si="508"/>
        <v>pl 60563.7303621303,279 60563.7303621303,400 </v>
      </c>
      <c r="AY778" t="str">
        <f t="shared" si="509"/>
        <v>60563.7303621303,428.025</v>
      </c>
      <c r="AZ778" t="str">
        <f t="shared" si="510"/>
        <v>60563.7303621303,430.709</v>
      </c>
      <c r="BA778" t="str">
        <f t="shared" si="511"/>
        <v>60563.7303621303,431.525</v>
      </c>
      <c r="BB778" t="str">
        <f t="shared" si="512"/>
        <v>-text 60562.7303621303,337 3.5 90 428.025 </v>
      </c>
      <c r="BC778" t="str">
        <f t="shared" si="513"/>
        <v>-text 60562.7303621303,320 3.5 90 431.525 </v>
      </c>
      <c r="BD778" t="str">
        <f t="shared" si="514"/>
        <v>-text 60562.7303621303,306 3.5 90 430.709 </v>
      </c>
      <c r="BE778" t="str">
        <f t="shared" si="515"/>
        <v>-text 60562.7303621303,352 3.5 90 ZG121+127.461 </v>
      </c>
      <c r="BF778" t="str">
        <f t="shared" si="516"/>
        <v>-text 60562.7303621303,280 3.5 90 杉木湾2#隧进 </v>
      </c>
      <c r="BG778" t="str">
        <f t="shared" si="517"/>
        <v/>
      </c>
      <c r="BH778" t="str">
        <f t="shared" si="518"/>
        <v> </v>
      </c>
      <c r="BI778" t="str">
        <f t="shared" si="519"/>
        <v> </v>
      </c>
      <c r="BJ778" t="str">
        <f t="shared" si="520"/>
        <v> </v>
      </c>
    </row>
    <row r="779" spans="1:62">
      <c r="A779">
        <v>1</v>
      </c>
      <c r="B779">
        <v>778</v>
      </c>
      <c r="C779" t="str">
        <f>Sheet1!C724</f>
        <v>杉木湾2#隧出</v>
      </c>
      <c r="D779">
        <v>515416.6488</v>
      </c>
      <c r="E779">
        <v>3330641.1381</v>
      </c>
      <c r="G779">
        <f t="shared" si="505"/>
        <v>0</v>
      </c>
      <c r="H779">
        <f t="shared" si="523"/>
        <v>0</v>
      </c>
      <c r="I779">
        <f t="shared" si="524"/>
        <v>0</v>
      </c>
      <c r="J779">
        <f t="shared" si="525"/>
        <v>105.486827961162</v>
      </c>
      <c r="K779" s="40">
        <f t="shared" si="502"/>
        <v>121232.947552222</v>
      </c>
      <c r="L779" s="40">
        <f t="shared" si="503"/>
        <v>121232.947552222</v>
      </c>
      <c r="M779" s="40">
        <f t="shared" si="504"/>
        <v>121232.947552222</v>
      </c>
      <c r="N779">
        <v>430.672</v>
      </c>
      <c r="O779">
        <v>427.988</v>
      </c>
      <c r="P779">
        <v>0</v>
      </c>
      <c r="Q779" s="39">
        <f t="shared" si="526"/>
        <v>515416.6488</v>
      </c>
      <c r="R779" s="39">
        <f t="shared" si="527"/>
        <v>3330641.1381</v>
      </c>
      <c r="S779" s="39" t="str">
        <f t="shared" si="528"/>
        <v> </v>
      </c>
      <c r="T779" s="39" t="str">
        <f t="shared" si="529"/>
        <v> </v>
      </c>
      <c r="U779" s="39" t="str">
        <f t="shared" si="521"/>
        <v> </v>
      </c>
      <c r="V779" s="39" t="str">
        <f t="shared" si="522"/>
        <v> </v>
      </c>
      <c r="AI779" t="str">
        <f t="array" ref="AI779">IFERROR(INDEX($L$2:$L$189,SMALL(IF(ISNUMBER(FIND($AH$2,$C$2:$C$189)),ROW($2:$189)-1,4^8),ROW(A778)))&amp;"","")</f>
        <v/>
      </c>
      <c r="AT779" t="str">
        <f t="shared" si="507"/>
        <v>515416.6488,3330641.1381</v>
      </c>
      <c r="AV779">
        <f t="shared" si="506"/>
        <v>431.488</v>
      </c>
      <c r="AX779" t="str">
        <f t="shared" si="508"/>
        <v>pl 60616.4737761109,279 60616.4737761109,400 </v>
      </c>
      <c r="AY779" t="str">
        <f t="shared" si="509"/>
        <v>60616.4737761109,427.988</v>
      </c>
      <c r="AZ779" t="str">
        <f t="shared" si="510"/>
        <v>60616.4737761109,430.672</v>
      </c>
      <c r="BA779" t="str">
        <f t="shared" si="511"/>
        <v>60616.4737761109,431.488</v>
      </c>
      <c r="BB779" t="str">
        <f t="shared" si="512"/>
        <v>-text 60615.4737761109,337 3.5 90 427.988 </v>
      </c>
      <c r="BC779" t="str">
        <f t="shared" si="513"/>
        <v>-text 60615.4737761109,320 3.5 90 431.488 </v>
      </c>
      <c r="BD779" t="str">
        <f t="shared" si="514"/>
        <v>-text 60615.4737761109,306 3.5 90 430.672 </v>
      </c>
      <c r="BE779" t="str">
        <f t="shared" si="515"/>
        <v>-text 60615.4737761109,352 3.5 90 ZG121+232.948 </v>
      </c>
      <c r="BF779" t="str">
        <f t="shared" si="516"/>
        <v>-text 60615.4737761109,280 3.5 90 杉木湾2#隧出 </v>
      </c>
      <c r="BG779" t="str">
        <f t="shared" si="517"/>
        <v/>
      </c>
      <c r="BH779" t="str">
        <f t="shared" si="518"/>
        <v> </v>
      </c>
      <c r="BI779" t="str">
        <f t="shared" si="519"/>
        <v> </v>
      </c>
      <c r="BJ779" t="str">
        <f t="shared" si="520"/>
        <v> </v>
      </c>
    </row>
    <row r="780" spans="1:62">
      <c r="A780">
        <v>0</v>
      </c>
      <c r="B780">
        <v>779</v>
      </c>
      <c r="C780" t="s">
        <v>733</v>
      </c>
      <c r="D780">
        <v>515439.1121</v>
      </c>
      <c r="E780">
        <v>3330613.4073</v>
      </c>
      <c r="F780">
        <v>40</v>
      </c>
      <c r="G780">
        <f t="shared" si="505"/>
        <v>32.297</v>
      </c>
      <c r="H780">
        <f t="shared" si="523"/>
        <v>11.5820959451875</v>
      </c>
      <c r="I780">
        <f t="shared" si="524"/>
        <v>22.5475595406643</v>
      </c>
      <c r="J780">
        <f t="shared" si="525"/>
        <v>35.6874924242544</v>
      </c>
      <c r="K780" s="40">
        <f t="shared" si="502"/>
        <v>121257.052948701</v>
      </c>
      <c r="L780" s="40">
        <f t="shared" si="503"/>
        <v>121268.326728471</v>
      </c>
      <c r="M780" s="40">
        <f t="shared" si="504"/>
        <v>121279.600508242</v>
      </c>
      <c r="N780">
        <v>430.689</v>
      </c>
      <c r="O780">
        <v>428.012</v>
      </c>
      <c r="P780">
        <v>0.001</v>
      </c>
      <c r="Q780" s="39">
        <f t="shared" si="526"/>
        <v>515431.821812054</v>
      </c>
      <c r="R780" s="39">
        <f t="shared" si="527"/>
        <v>3330622.40711378</v>
      </c>
      <c r="S780" s="39">
        <f t="shared" si="528"/>
        <v>515437.598099882</v>
      </c>
      <c r="T780" s="39">
        <f t="shared" si="529"/>
        <v>3330612.76898389</v>
      </c>
      <c r="U780" s="39">
        <f t="shared" si="521"/>
        <v>515440.465860049</v>
      </c>
      <c r="V780" s="39">
        <f t="shared" si="522"/>
        <v>3330601.90459248</v>
      </c>
      <c r="AI780" t="str">
        <f t="array" ref="AI780">IFERROR(INDEX($L$2:$L$189,SMALL(IF(ISNUMBER(FIND($AH$2,$C$2:$C$189)),ROW($2:$189)-1,4^8),ROW(A779)))&amp;"","")</f>
        <v/>
      </c>
      <c r="AS780" t="str">
        <f>"-text"&amp;" "&amp;D780&amp;","&amp;E780&amp;" "&amp;"10"&amp;" "&amp;"0"&amp;" "&amp;C780</f>
        <v>-text 515439.1121,3330613.4073 10 0 IP413</v>
      </c>
      <c r="AT780" t="str">
        <f t="shared" si="507"/>
        <v>515439.1121,3330613.4073</v>
      </c>
      <c r="AV780">
        <f t="shared" si="506"/>
        <v>431.862</v>
      </c>
      <c r="AX780" t="str">
        <f t="shared" si="508"/>
        <v>pl 60634.1633642356,279 60634.1633642356,400 </v>
      </c>
      <c r="AY780" t="str">
        <f t="shared" si="509"/>
        <v>60634.1633642356,428.012</v>
      </c>
      <c r="AZ780" t="str">
        <f t="shared" si="510"/>
        <v>60634.1633642356,430.689</v>
      </c>
      <c r="BA780" t="str">
        <f t="shared" si="511"/>
        <v>60634.1633642356,431.862</v>
      </c>
      <c r="BB780" t="str">
        <f t="shared" si="512"/>
        <v>-text 60633.1633642356,337 3.5 90 428.012 </v>
      </c>
      <c r="BC780" t="str">
        <f t="shared" si="513"/>
        <v>-text 60633.1633642356,320 3.5 90 431.862 </v>
      </c>
      <c r="BD780" t="str">
        <f t="shared" si="514"/>
        <v>-text 60633.1633642356,306 3.5 90 430.689 </v>
      </c>
      <c r="BE780" t="str">
        <f t="shared" si="515"/>
        <v>-text 60633.1633642356,352 3.5 90 ZG121+268.327 </v>
      </c>
      <c r="BF780" t="str">
        <f t="shared" si="516"/>
        <v>-text 60633.1633642356,280 3.5 90 IP413 </v>
      </c>
      <c r="BG780" t="str">
        <f t="shared" si="517"/>
        <v>-TEXT 60635.1633642356,300 3.5 0 R=40</v>
      </c>
      <c r="BH780" t="str">
        <f t="shared" si="518"/>
        <v>-TEXT 60635.1633642356,295 3.5 0 α=32.30° </v>
      </c>
      <c r="BI780" t="str">
        <f t="shared" si="519"/>
        <v>-TEXT 60635.1633642356,290 3.5 0 T=11.58 </v>
      </c>
      <c r="BJ780" t="str">
        <f t="shared" si="520"/>
        <v>-TEXT 60635.1633642356,285 3.5 0 S=22.55 </v>
      </c>
    </row>
    <row r="781" spans="1:62">
      <c r="A781">
        <v>0</v>
      </c>
      <c r="B781">
        <v>780</v>
      </c>
      <c r="C781" t="s">
        <v>736</v>
      </c>
      <c r="D781">
        <v>515451.6537</v>
      </c>
      <c r="E781">
        <v>3330506.8431</v>
      </c>
      <c r="F781">
        <v>40</v>
      </c>
      <c r="G781">
        <f t="shared" si="505"/>
        <v>18.321</v>
      </c>
      <c r="H781">
        <f t="shared" si="523"/>
        <v>6.45028988363745</v>
      </c>
      <c r="I781">
        <f t="shared" si="524"/>
        <v>12.7904708903152</v>
      </c>
      <c r="J781">
        <f t="shared" si="525"/>
        <v>107.299675918336</v>
      </c>
      <c r="K781" s="40">
        <f t="shared" si="502"/>
        <v>121368.867798331</v>
      </c>
      <c r="L781" s="40">
        <f t="shared" si="503"/>
        <v>121375.263033776</v>
      </c>
      <c r="M781" s="40">
        <f t="shared" si="504"/>
        <v>121381.658269221</v>
      </c>
      <c r="N781">
        <v>430.669</v>
      </c>
      <c r="O781">
        <v>427.992</v>
      </c>
      <c r="P781">
        <v>0.001</v>
      </c>
      <c r="Q781" s="39">
        <f t="shared" si="526"/>
        <v>515450.899765238</v>
      </c>
      <c r="R781" s="39">
        <f t="shared" si="527"/>
        <v>3330513.24917696</v>
      </c>
      <c r="S781" s="39">
        <f t="shared" si="528"/>
        <v>515452.150737895</v>
      </c>
      <c r="T781" s="39">
        <f t="shared" si="529"/>
        <v>3330506.98442991</v>
      </c>
      <c r="U781" s="39">
        <f t="shared" si="521"/>
        <v>515454.383108152</v>
      </c>
      <c r="V781" s="39">
        <f t="shared" si="522"/>
        <v>3330500.9987377</v>
      </c>
      <c r="AI781" t="str">
        <f t="array" ref="AI781">IFERROR(INDEX($L$2:$L$189,SMALL(IF(ISNUMBER(FIND($AH$2,$C$2:$C$189)),ROW($2:$189)-1,4^8),ROW(A780)))&amp;"","")</f>
        <v/>
      </c>
      <c r="AS781" t="str">
        <f>"-text"&amp;" "&amp;D781&amp;","&amp;E781&amp;" "&amp;"10"&amp;" "&amp;"0"&amp;" "&amp;C781</f>
        <v>-text 515451.6537,3330506.8431 10 0 IP414</v>
      </c>
      <c r="AT781" t="str">
        <f t="shared" si="507"/>
        <v>515451.6537,3330506.8431</v>
      </c>
      <c r="AV781">
        <f t="shared" si="506"/>
        <v>431.842</v>
      </c>
      <c r="AX781" t="str">
        <f t="shared" si="508"/>
        <v>pl 60687.6315168881,279 60687.6315168881,400 </v>
      </c>
      <c r="AY781" t="str">
        <f t="shared" si="509"/>
        <v>60687.6315168881,427.992</v>
      </c>
      <c r="AZ781" t="str">
        <f t="shared" si="510"/>
        <v>60687.6315168881,430.669</v>
      </c>
      <c r="BA781" t="str">
        <f t="shared" si="511"/>
        <v>60687.6315168881,431.842</v>
      </c>
      <c r="BB781" t="str">
        <f t="shared" si="512"/>
        <v>-text 60686.6315168881,337 3.5 90 427.992 </v>
      </c>
      <c r="BC781" t="str">
        <f t="shared" si="513"/>
        <v>-text 60686.6315168881,320 3.5 90 431.842 </v>
      </c>
      <c r="BD781" t="str">
        <f t="shared" si="514"/>
        <v>-text 60686.6315168881,306 3.5 90 430.669 </v>
      </c>
      <c r="BE781" t="str">
        <f t="shared" si="515"/>
        <v>-text 60686.6315168881,352 3.5 90 ZG121+375.263 </v>
      </c>
      <c r="BF781" t="str">
        <f t="shared" si="516"/>
        <v>-text 60686.6315168881,280 3.5 90 IP414 </v>
      </c>
      <c r="BG781" t="str">
        <f t="shared" si="517"/>
        <v>-TEXT 60688.6315168881,300 3.5 0 R=40</v>
      </c>
      <c r="BH781" t="str">
        <f t="shared" si="518"/>
        <v>-TEXT 60688.6315168881,295 3.5 0 α=18.32° </v>
      </c>
      <c r="BI781" t="str">
        <f t="shared" si="519"/>
        <v>-TEXT 60688.6315168881,290 3.5 0 T=6.45 </v>
      </c>
      <c r="BJ781" t="str">
        <f t="shared" si="520"/>
        <v>-TEXT 60688.6315168881,285 3.5 0 S=12.79 </v>
      </c>
    </row>
    <row r="782" spans="1:62">
      <c r="A782">
        <v>2</v>
      </c>
      <c r="B782">
        <v>781</v>
      </c>
      <c r="C782" t="str">
        <f>Sheet1!C727</f>
        <v>吴家坝渡槽进</v>
      </c>
      <c r="D782">
        <v>515463.9059</v>
      </c>
      <c r="E782">
        <v>3330480.608</v>
      </c>
      <c r="G782">
        <f t="shared" si="505"/>
        <v>0</v>
      </c>
      <c r="H782">
        <f t="shared" si="523"/>
        <v>0</v>
      </c>
      <c r="I782">
        <f t="shared" si="524"/>
        <v>0</v>
      </c>
      <c r="J782">
        <f t="shared" si="525"/>
        <v>28.9550837826173</v>
      </c>
      <c r="K782" s="40">
        <f t="shared" si="502"/>
        <v>121404.16306312</v>
      </c>
      <c r="L782" s="40">
        <f t="shared" si="503"/>
        <v>121404.16306312</v>
      </c>
      <c r="M782" s="40">
        <f t="shared" si="504"/>
        <v>121404.16306312</v>
      </c>
      <c r="N782">
        <v>430.578</v>
      </c>
      <c r="O782">
        <v>427.884</v>
      </c>
      <c r="P782">
        <v>0</v>
      </c>
      <c r="Q782" s="39">
        <f t="shared" si="526"/>
        <v>515463.9059</v>
      </c>
      <c r="R782" s="39">
        <f t="shared" si="527"/>
        <v>3330480.608</v>
      </c>
      <c r="S782" s="39" t="str">
        <f t="shared" si="528"/>
        <v> </v>
      </c>
      <c r="T782" s="39" t="str">
        <f t="shared" si="529"/>
        <v> </v>
      </c>
      <c r="U782" s="39" t="str">
        <f t="shared" si="521"/>
        <v> </v>
      </c>
      <c r="V782" s="39" t="str">
        <f t="shared" si="522"/>
        <v> </v>
      </c>
      <c r="AI782" t="str">
        <f t="array" ref="AI782">IFERROR(INDEX($L$2:$L$189,SMALL(IF(ISNUMBER(FIND($AH$2,$C$2:$C$189)),ROW($2:$189)-1,4^8),ROW(A781)))&amp;"","")</f>
        <v/>
      </c>
      <c r="AT782" t="str">
        <f t="shared" si="507"/>
        <v>515463.9059,3330480.608</v>
      </c>
      <c r="AV782">
        <f t="shared" si="506"/>
        <v>431.134</v>
      </c>
      <c r="AX782" t="str">
        <f t="shared" si="508"/>
        <v>pl 60702.0815315602,279 60702.0815315602,400 </v>
      </c>
      <c r="AY782" t="str">
        <f t="shared" si="509"/>
        <v>60702.0815315602,427.884</v>
      </c>
      <c r="AZ782" t="str">
        <f t="shared" si="510"/>
        <v>60702.0815315602,430.578</v>
      </c>
      <c r="BA782" t="str">
        <f t="shared" si="511"/>
        <v>60702.0815315602,431.134</v>
      </c>
      <c r="BB782" t="str">
        <f t="shared" si="512"/>
        <v>-text 60701.0815315602,337 3.5 90 427.884 </v>
      </c>
      <c r="BC782" t="str">
        <f t="shared" si="513"/>
        <v>-text 60701.0815315602,320 3.5 90 431.134 </v>
      </c>
      <c r="BD782" t="str">
        <f t="shared" si="514"/>
        <v>-text 60701.0815315602,306 3.5 90 430.578 </v>
      </c>
      <c r="BE782" t="str">
        <f t="shared" si="515"/>
        <v>-text 60701.0815315602,352 3.5 90 ZG121+404.163 </v>
      </c>
      <c r="BF782" t="str">
        <f t="shared" si="516"/>
        <v>-text 60701.0815315602,280 3.5 90 吴家坝渡槽进 </v>
      </c>
      <c r="BG782" t="str">
        <f t="shared" si="517"/>
        <v/>
      </c>
      <c r="BH782" t="str">
        <f t="shared" si="518"/>
        <v> </v>
      </c>
      <c r="BI782" t="str">
        <f t="shared" si="519"/>
        <v> </v>
      </c>
      <c r="BJ782" t="str">
        <f t="shared" si="520"/>
        <v> </v>
      </c>
    </row>
    <row r="783" spans="1:62">
      <c r="A783">
        <v>2</v>
      </c>
      <c r="B783">
        <v>782</v>
      </c>
      <c r="C783" t="str">
        <f>Sheet1!C728</f>
        <v>吴家坝渡槽出</v>
      </c>
      <c r="D783">
        <v>515519.5899</v>
      </c>
      <c r="E783">
        <v>3330361.3745</v>
      </c>
      <c r="G783">
        <f t="shared" si="505"/>
        <v>0</v>
      </c>
      <c r="H783">
        <f t="shared" si="523"/>
        <v>0</v>
      </c>
      <c r="I783">
        <f t="shared" si="524"/>
        <v>0</v>
      </c>
      <c r="J783">
        <f t="shared" si="525"/>
        <v>131.595347099631</v>
      </c>
      <c r="K783" s="40">
        <f t="shared" si="502"/>
        <v>121535.75841022</v>
      </c>
      <c r="L783" s="40">
        <f t="shared" si="503"/>
        <v>121535.75841022</v>
      </c>
      <c r="M783" s="40">
        <f t="shared" si="504"/>
        <v>121535.75841022</v>
      </c>
      <c r="N783">
        <v>430.519</v>
      </c>
      <c r="O783">
        <v>427.825</v>
      </c>
      <c r="P783">
        <v>0</v>
      </c>
      <c r="Q783" s="39">
        <f t="shared" si="526"/>
        <v>515519.5899</v>
      </c>
      <c r="R783" s="39">
        <f t="shared" si="527"/>
        <v>3330361.3745</v>
      </c>
      <c r="S783" s="39" t="str">
        <f t="shared" si="528"/>
        <v> </v>
      </c>
      <c r="T783" s="39" t="str">
        <f t="shared" si="529"/>
        <v> </v>
      </c>
      <c r="U783" s="39" t="str">
        <f t="shared" si="521"/>
        <v> </v>
      </c>
      <c r="V783" s="39" t="str">
        <f t="shared" si="522"/>
        <v> </v>
      </c>
      <c r="AI783" t="str">
        <f t="array" ref="AI783">IFERROR(INDEX($L$2:$L$189,SMALL(IF(ISNUMBER(FIND($AH$2,$C$2:$C$189)),ROW($2:$189)-1,4^8),ROW(A782)))&amp;"","")</f>
        <v/>
      </c>
      <c r="AT783" t="str">
        <f t="shared" si="507"/>
        <v>515519.5899,3330361.3745</v>
      </c>
      <c r="AV783">
        <f t="shared" si="506"/>
        <v>431.075</v>
      </c>
      <c r="AX783" t="str">
        <f t="shared" si="508"/>
        <v>pl 60767.87920511,279 60767.87920511,400 </v>
      </c>
      <c r="AY783" t="str">
        <f t="shared" si="509"/>
        <v>60767.87920511,427.825</v>
      </c>
      <c r="AZ783" t="str">
        <f t="shared" si="510"/>
        <v>60767.87920511,430.519</v>
      </c>
      <c r="BA783" t="str">
        <f t="shared" si="511"/>
        <v>60767.87920511,431.075</v>
      </c>
      <c r="BB783" t="str">
        <f t="shared" si="512"/>
        <v>-text 60766.87920511,337 3.5 90 427.825 </v>
      </c>
      <c r="BC783" t="str">
        <f t="shared" si="513"/>
        <v>-text 60766.87920511,320 3.5 90 431.075 </v>
      </c>
      <c r="BD783" t="str">
        <f t="shared" si="514"/>
        <v>-text 60766.87920511,306 3.5 90 430.519 </v>
      </c>
      <c r="BE783" t="str">
        <f t="shared" si="515"/>
        <v>-text 60766.87920511,352 3.5 90 ZG121+535.758 </v>
      </c>
      <c r="BF783" t="str">
        <f t="shared" si="516"/>
        <v>-text 60766.87920511,280 3.5 90 吴家坝渡槽出 </v>
      </c>
      <c r="BG783" t="str">
        <f t="shared" si="517"/>
        <v/>
      </c>
      <c r="BH783" t="str">
        <f t="shared" si="518"/>
        <v> </v>
      </c>
      <c r="BI783" t="str">
        <f t="shared" si="519"/>
        <v> </v>
      </c>
      <c r="BJ783" t="str">
        <f t="shared" si="520"/>
        <v> </v>
      </c>
    </row>
    <row r="784" spans="1:62">
      <c r="A784">
        <v>0</v>
      </c>
      <c r="B784">
        <v>783</v>
      </c>
      <c r="C784" t="s">
        <v>742</v>
      </c>
      <c r="D784">
        <v>515524.6429</v>
      </c>
      <c r="E784">
        <v>3330350.5547</v>
      </c>
      <c r="F784">
        <v>30</v>
      </c>
      <c r="G784">
        <f t="shared" si="505"/>
        <v>11.846</v>
      </c>
      <c r="H784">
        <f t="shared" si="523"/>
        <v>3.11237030555584</v>
      </c>
      <c r="I784">
        <f t="shared" si="524"/>
        <v>6.20255109573745</v>
      </c>
      <c r="J784">
        <f t="shared" si="525"/>
        <v>11.9415610802443</v>
      </c>
      <c r="K784" s="40">
        <f t="shared" si="502"/>
        <v>121544.587600995</v>
      </c>
      <c r="L784" s="40">
        <f t="shared" si="503"/>
        <v>121547.688876543</v>
      </c>
      <c r="M784" s="40">
        <f t="shared" si="504"/>
        <v>121550.79015209</v>
      </c>
      <c r="N784">
        <v>430.562</v>
      </c>
      <c r="O784">
        <v>427.885</v>
      </c>
      <c r="P784">
        <v>0</v>
      </c>
      <c r="Q784" s="39">
        <f t="shared" si="526"/>
        <v>515523.325919159</v>
      </c>
      <c r="R784" s="39">
        <f t="shared" si="527"/>
        <v>3330353.37470184</v>
      </c>
      <c r="S784" s="39">
        <f t="shared" si="528"/>
        <v>515524.780976659</v>
      </c>
      <c r="T784" s="39">
        <f t="shared" si="529"/>
        <v>3330350.6375208</v>
      </c>
      <c r="U784" s="39">
        <f t="shared" si="521"/>
        <v>515526.510713224</v>
      </c>
      <c r="V784" s="39">
        <f t="shared" si="522"/>
        <v>3330348.06509708</v>
      </c>
      <c r="AI784" t="str">
        <f t="array" ref="AI784">IFERROR(INDEX($L$2:$L$189,SMALL(IF(ISNUMBER(FIND($AH$2,$C$2:$C$189)),ROW($2:$189)-1,4^8),ROW(A783)))&amp;"","")</f>
        <v/>
      </c>
      <c r="AS784" t="str">
        <f t="shared" ref="AS784:AS789" si="530">"-text"&amp;" "&amp;D784&amp;","&amp;E784&amp;" "&amp;"10"&amp;" "&amp;"0"&amp;" "&amp;C784</f>
        <v>-text 515524.6429,3330350.5547 10 0 IP415</v>
      </c>
      <c r="AT784" t="str">
        <f t="shared" si="507"/>
        <v>515524.6429,3330350.5547</v>
      </c>
      <c r="AV784">
        <f t="shared" si="506"/>
        <v>431.735</v>
      </c>
      <c r="AX784" t="str">
        <f t="shared" si="508"/>
        <v>pl 60773.8444382713,279 60773.8444382713,400 </v>
      </c>
      <c r="AY784" t="str">
        <f t="shared" si="509"/>
        <v>60773.8444382713,427.885</v>
      </c>
      <c r="AZ784" t="str">
        <f t="shared" si="510"/>
        <v>60773.8444382713,430.562</v>
      </c>
      <c r="BA784" t="str">
        <f t="shared" si="511"/>
        <v>60773.8444382713,431.735</v>
      </c>
      <c r="BB784" t="str">
        <f t="shared" si="512"/>
        <v>-text 60772.8444382713,337 3.5 90 427.885 </v>
      </c>
      <c r="BC784" t="str">
        <f t="shared" si="513"/>
        <v>-text 60772.8444382713,320 3.5 90 431.735 </v>
      </c>
      <c r="BD784" t="str">
        <f t="shared" si="514"/>
        <v>-text 60772.8444382713,306 3.5 90 430.562 </v>
      </c>
      <c r="BE784" t="str">
        <f t="shared" si="515"/>
        <v>-text 60772.8444382713,352 3.5 90 ZG121+547.689 </v>
      </c>
      <c r="BF784" t="str">
        <f t="shared" si="516"/>
        <v>-text 60772.8444382713,280 3.5 90 IP415 </v>
      </c>
      <c r="BG784" t="str">
        <f t="shared" si="517"/>
        <v>-TEXT 60774.8444382713,300 3.5 0 R=30</v>
      </c>
      <c r="BH784" t="str">
        <f t="shared" si="518"/>
        <v>-TEXT 60774.8444382713,295 3.5 0 α=11.85° </v>
      </c>
      <c r="BI784" t="str">
        <f t="shared" si="519"/>
        <v>-TEXT 60774.8444382713,290 3.5 0 T=3.11 </v>
      </c>
      <c r="BJ784" t="str">
        <f t="shared" si="520"/>
        <v>-TEXT 60774.8444382713,285 3.5 0 S=6.20 </v>
      </c>
    </row>
    <row r="785" spans="1:62">
      <c r="A785">
        <v>0</v>
      </c>
      <c r="B785">
        <v>784</v>
      </c>
      <c r="C785" t="s">
        <v>745</v>
      </c>
      <c r="D785">
        <v>515564.8397</v>
      </c>
      <c r="E785">
        <v>3330296.9765</v>
      </c>
      <c r="F785">
        <v>30</v>
      </c>
      <c r="G785">
        <f t="shared" si="505"/>
        <v>24.87</v>
      </c>
      <c r="H785">
        <f t="shared" si="523"/>
        <v>6.61514220475449</v>
      </c>
      <c r="I785">
        <f t="shared" si="524"/>
        <v>13.0219015491297</v>
      </c>
      <c r="J785">
        <f t="shared" si="525"/>
        <v>66.9806408264284</v>
      </c>
      <c r="K785" s="40">
        <f t="shared" si="502"/>
        <v>121608.043280407</v>
      </c>
      <c r="L785" s="40">
        <f t="shared" si="503"/>
        <v>121614.554231181</v>
      </c>
      <c r="M785" s="40">
        <f t="shared" si="504"/>
        <v>121621.065181956</v>
      </c>
      <c r="N785">
        <v>430.549</v>
      </c>
      <c r="O785">
        <v>427.872</v>
      </c>
      <c r="P785">
        <v>0.001</v>
      </c>
      <c r="Q785" s="39">
        <f t="shared" si="526"/>
        <v>515560.869783545</v>
      </c>
      <c r="R785" s="39">
        <f t="shared" si="527"/>
        <v>3330302.26799031</v>
      </c>
      <c r="S785" s="39">
        <f t="shared" si="528"/>
        <v>515564.183609109</v>
      </c>
      <c r="T785" s="39">
        <f t="shared" si="529"/>
        <v>3330296.67827979</v>
      </c>
      <c r="U785" s="39">
        <f t="shared" si="521"/>
        <v>515566.216035467</v>
      </c>
      <c r="V785" s="39">
        <f t="shared" si="522"/>
        <v>3330290.50612079</v>
      </c>
      <c r="AI785" t="str">
        <f t="array" ref="AI785">IFERROR(INDEX($L$2:$L$189,SMALL(IF(ISNUMBER(FIND($AH$2,$C$2:$C$189)),ROW($2:$189)-1,4^8),ROW(A784)))&amp;"","")</f>
        <v/>
      </c>
      <c r="AS785" t="str">
        <f t="shared" si="530"/>
        <v>-text 515564.8397,3330296.9765 10 0 IP416</v>
      </c>
      <c r="AT785" t="str">
        <f t="shared" si="507"/>
        <v>515564.8397,3330296.9765</v>
      </c>
      <c r="AV785">
        <f t="shared" si="506"/>
        <v>431.722</v>
      </c>
      <c r="AX785" t="str">
        <f t="shared" si="508"/>
        <v>pl 60807.2771155906,279 60807.2771155906,400 </v>
      </c>
      <c r="AY785" t="str">
        <f t="shared" si="509"/>
        <v>60807.2771155906,427.872</v>
      </c>
      <c r="AZ785" t="str">
        <f t="shared" si="510"/>
        <v>60807.2771155906,430.549</v>
      </c>
      <c r="BA785" t="str">
        <f t="shared" si="511"/>
        <v>60807.2771155906,431.722</v>
      </c>
      <c r="BB785" t="str">
        <f t="shared" si="512"/>
        <v>-text 60806.2771155906,337 3.5 90 427.872 </v>
      </c>
      <c r="BC785" t="str">
        <f t="shared" si="513"/>
        <v>-text 60806.2771155906,320 3.5 90 431.722 </v>
      </c>
      <c r="BD785" t="str">
        <f t="shared" si="514"/>
        <v>-text 60806.2771155906,306 3.5 90 430.549 </v>
      </c>
      <c r="BE785" t="str">
        <f t="shared" si="515"/>
        <v>-text 60806.2771155906,352 3.5 90 ZG121+614.554 </v>
      </c>
      <c r="BF785" t="str">
        <f t="shared" si="516"/>
        <v>-text 60806.2771155906,280 3.5 90 IP416 </v>
      </c>
      <c r="BG785" t="str">
        <f t="shared" si="517"/>
        <v>-TEXT 60808.2771155906,300 3.5 0 R=30</v>
      </c>
      <c r="BH785" t="str">
        <f t="shared" si="518"/>
        <v>-TEXT 60808.2771155906,295 3.5 0 α=24.87° </v>
      </c>
      <c r="BI785" t="str">
        <f t="shared" si="519"/>
        <v>-TEXT 60808.2771155906,290 3.5 0 T=6.62 </v>
      </c>
      <c r="BJ785" t="str">
        <f t="shared" si="520"/>
        <v>-TEXT 60808.2771155906,285 3.5 0 S=13.02 </v>
      </c>
    </row>
    <row r="786" spans="1:62">
      <c r="A786">
        <v>0</v>
      </c>
      <c r="B786">
        <v>785</v>
      </c>
      <c r="C786" t="s">
        <v>746</v>
      </c>
      <c r="D786">
        <v>515588.2007</v>
      </c>
      <c r="E786">
        <v>3330187.1526</v>
      </c>
      <c r="F786">
        <v>30</v>
      </c>
      <c r="G786">
        <f t="shared" si="505"/>
        <v>24.665</v>
      </c>
      <c r="H786">
        <f t="shared" si="523"/>
        <v>6.55888595562265</v>
      </c>
      <c r="I786">
        <f t="shared" si="524"/>
        <v>12.914563800132</v>
      </c>
      <c r="J786">
        <f t="shared" si="525"/>
        <v>112.281010558993</v>
      </c>
      <c r="K786" s="40">
        <f t="shared" si="502"/>
        <v>121720.172164354</v>
      </c>
      <c r="L786" s="40">
        <f t="shared" si="503"/>
        <v>121726.629446254</v>
      </c>
      <c r="M786" s="40">
        <f t="shared" si="504"/>
        <v>121733.086728154</v>
      </c>
      <c r="N786">
        <v>430.527</v>
      </c>
      <c r="O786">
        <v>427.85</v>
      </c>
      <c r="P786">
        <v>0.001</v>
      </c>
      <c r="Q786" s="39">
        <f t="shared" si="526"/>
        <v>515586.836069115</v>
      </c>
      <c r="R786" s="39">
        <f t="shared" si="527"/>
        <v>3330193.56795405</v>
      </c>
      <c r="S786" s="39">
        <f t="shared" si="528"/>
        <v>515588.846332578</v>
      </c>
      <c r="T786" s="39">
        <f t="shared" si="529"/>
        <v>3330187.44467439</v>
      </c>
      <c r="U786" s="39">
        <f t="shared" si="521"/>
        <v>515592.118064711</v>
      </c>
      <c r="V786" s="39">
        <f t="shared" si="522"/>
        <v>3330181.89206403</v>
      </c>
      <c r="AI786" t="str">
        <f t="array" ref="AI786">IFERROR(INDEX($L$2:$L$189,SMALL(IF(ISNUMBER(FIND($AH$2,$C$2:$C$189)),ROW($2:$189)-1,4^8),ROW(A785)))&amp;"","")</f>
        <v/>
      </c>
      <c r="AS786" t="str">
        <f t="shared" si="530"/>
        <v>-text 515588.2007,3330187.1526 10 0 IP417</v>
      </c>
      <c r="AT786" t="str">
        <f t="shared" si="507"/>
        <v>515588.2007,3330187.1526</v>
      </c>
      <c r="AV786">
        <f t="shared" si="506"/>
        <v>431.7</v>
      </c>
      <c r="AX786" t="str">
        <f t="shared" si="508"/>
        <v>pl 60863.3147231272,279 60863.3147231272,400 </v>
      </c>
      <c r="AY786" t="str">
        <f t="shared" si="509"/>
        <v>60863.3147231272,427.85</v>
      </c>
      <c r="AZ786" t="str">
        <f t="shared" si="510"/>
        <v>60863.3147231272,430.527</v>
      </c>
      <c r="BA786" t="str">
        <f t="shared" si="511"/>
        <v>60863.3147231272,431.7</v>
      </c>
      <c r="BB786" t="str">
        <f t="shared" si="512"/>
        <v>-text 60862.3147231272,337 3.5 90 427.850 </v>
      </c>
      <c r="BC786" t="str">
        <f t="shared" si="513"/>
        <v>-text 60862.3147231272,320 3.5 90 431.700 </v>
      </c>
      <c r="BD786" t="str">
        <f t="shared" si="514"/>
        <v>-text 60862.3147231272,306 3.5 90 430.527 </v>
      </c>
      <c r="BE786" t="str">
        <f t="shared" si="515"/>
        <v>-text 60862.3147231272,352 3.5 90 ZG121+726.629 </v>
      </c>
      <c r="BF786" t="str">
        <f t="shared" si="516"/>
        <v>-text 60862.3147231272,280 3.5 90 IP417 </v>
      </c>
      <c r="BG786" t="str">
        <f t="shared" si="517"/>
        <v>-TEXT 60864.3147231272,300 3.5 0 R=30</v>
      </c>
      <c r="BH786" t="str">
        <f t="shared" si="518"/>
        <v>-TEXT 60864.3147231272,295 3.5 0 α=24.67° </v>
      </c>
      <c r="BI786" t="str">
        <f t="shared" si="519"/>
        <v>-TEXT 60864.3147231272,290 3.5 0 T=6.56 </v>
      </c>
      <c r="BJ786" t="str">
        <f t="shared" si="520"/>
        <v>-TEXT 60864.3147231272,285 3.5 0 S=12.91 </v>
      </c>
    </row>
    <row r="787" spans="1:62">
      <c r="A787">
        <v>0</v>
      </c>
      <c r="B787">
        <v>786</v>
      </c>
      <c r="C787" t="s">
        <v>749</v>
      </c>
      <c r="D787">
        <v>515617.2345</v>
      </c>
      <c r="E787">
        <v>3330148.1638</v>
      </c>
      <c r="F787">
        <v>30</v>
      </c>
      <c r="G787">
        <f t="shared" si="505"/>
        <v>36.295</v>
      </c>
      <c r="H787">
        <f t="shared" si="523"/>
        <v>9.83304685025123</v>
      </c>
      <c r="I787">
        <f t="shared" si="524"/>
        <v>19.0040175603403</v>
      </c>
      <c r="J787">
        <f t="shared" si="525"/>
        <v>48.6116042512155</v>
      </c>
      <c r="K787" s="40">
        <f t="shared" si="502"/>
        <v>121765.3063996</v>
      </c>
      <c r="L787" s="40">
        <f t="shared" si="503"/>
        <v>121774.80840838</v>
      </c>
      <c r="M787" s="40">
        <f t="shared" si="504"/>
        <v>121784.31041716</v>
      </c>
      <c r="N787">
        <v>430.518</v>
      </c>
      <c r="O787">
        <v>427.841</v>
      </c>
      <c r="P787">
        <v>0.001</v>
      </c>
      <c r="Q787" s="39">
        <f t="shared" si="526"/>
        <v>515611.361607714</v>
      </c>
      <c r="R787" s="39">
        <f t="shared" si="527"/>
        <v>3330156.05036748</v>
      </c>
      <c r="S787" s="39">
        <f t="shared" si="528"/>
        <v>515618.13924268</v>
      </c>
      <c r="T787" s="39">
        <f t="shared" si="529"/>
        <v>3330149.44738657</v>
      </c>
      <c r="U787" s="39">
        <f t="shared" si="521"/>
        <v>515626.636355305</v>
      </c>
      <c r="V787" s="39">
        <f t="shared" si="522"/>
        <v>3330145.28388209</v>
      </c>
      <c r="AI787" t="str">
        <f t="array" ref="AI787">IFERROR(INDEX($L$2:$L$189,SMALL(IF(ISNUMBER(FIND($AH$2,$C$2:$C$189)),ROW($2:$189)-1,4^8),ROW(A786)))&amp;"","")</f>
        <v/>
      </c>
      <c r="AS787" t="str">
        <f t="shared" si="530"/>
        <v>-text 515617.2345,3330148.1638 10 0 IP418</v>
      </c>
      <c r="AT787" t="str">
        <f t="shared" si="507"/>
        <v>515617.2345,3330148.1638</v>
      </c>
      <c r="AV787">
        <f t="shared" si="506"/>
        <v>431.691</v>
      </c>
      <c r="AX787" t="str">
        <f t="shared" si="508"/>
        <v>pl 60887.40420419,279 60887.40420419,400 </v>
      </c>
      <c r="AY787" t="str">
        <f t="shared" si="509"/>
        <v>60887.40420419,427.841</v>
      </c>
      <c r="AZ787" t="str">
        <f t="shared" si="510"/>
        <v>60887.40420419,430.518</v>
      </c>
      <c r="BA787" t="str">
        <f t="shared" si="511"/>
        <v>60887.40420419,431.691</v>
      </c>
      <c r="BB787" t="str">
        <f t="shared" si="512"/>
        <v>-text 60886.40420419,337 3.5 90 427.841 </v>
      </c>
      <c r="BC787" t="str">
        <f t="shared" si="513"/>
        <v>-text 60886.40420419,320 3.5 90 431.691 </v>
      </c>
      <c r="BD787" t="str">
        <f t="shared" si="514"/>
        <v>-text 60886.40420419,306 3.5 90 430.518 </v>
      </c>
      <c r="BE787" t="str">
        <f t="shared" si="515"/>
        <v>-text 60886.40420419,352 3.5 90 ZG121+774.808 </v>
      </c>
      <c r="BF787" t="str">
        <f t="shared" si="516"/>
        <v>-text 60886.40420419,280 3.5 90 IP418 </v>
      </c>
      <c r="BG787" t="str">
        <f t="shared" si="517"/>
        <v>-TEXT 60888.40420419,300 3.5 0 R=30</v>
      </c>
      <c r="BH787" t="str">
        <f t="shared" si="518"/>
        <v>-TEXT 60888.40420419,295 3.5 0 α=36.30° </v>
      </c>
      <c r="BI787" t="str">
        <f t="shared" si="519"/>
        <v>-TEXT 60888.40420419,290 3.5 0 T=9.83 </v>
      </c>
      <c r="BJ787" t="str">
        <f t="shared" si="520"/>
        <v>-TEXT 60888.40420419,285 3.5 0 S=19.00 </v>
      </c>
    </row>
    <row r="788" spans="1:62">
      <c r="A788">
        <v>0</v>
      </c>
      <c r="B788">
        <v>787</v>
      </c>
      <c r="C788" t="s">
        <v>750</v>
      </c>
      <c r="D788">
        <v>515673.8281</v>
      </c>
      <c r="E788">
        <v>3330130.8284</v>
      </c>
      <c r="F788">
        <v>30</v>
      </c>
      <c r="G788">
        <f t="shared" si="505"/>
        <v>9.69</v>
      </c>
      <c r="H788">
        <f t="shared" si="523"/>
        <v>2.54290004351365</v>
      </c>
      <c r="I788">
        <f t="shared" si="524"/>
        <v>5.07367213554752</v>
      </c>
      <c r="J788">
        <f t="shared" si="525"/>
        <v>59.1891177001595</v>
      </c>
      <c r="K788" s="40">
        <f t="shared" si="502"/>
        <v>121831.123587967</v>
      </c>
      <c r="L788" s="40">
        <f t="shared" si="503"/>
        <v>121833.660424034</v>
      </c>
      <c r="M788" s="40">
        <f t="shared" si="504"/>
        <v>121836.197260102</v>
      </c>
      <c r="N788">
        <v>430.506</v>
      </c>
      <c r="O788">
        <v>427.829</v>
      </c>
      <c r="P788">
        <v>0</v>
      </c>
      <c r="Q788" s="39">
        <f t="shared" si="526"/>
        <v>515671.396709341</v>
      </c>
      <c r="R788" s="39">
        <f t="shared" si="527"/>
        <v>3330131.57316848</v>
      </c>
      <c r="S788" s="39">
        <f t="shared" si="528"/>
        <v>515673.850807692</v>
      </c>
      <c r="T788" s="39">
        <f t="shared" si="529"/>
        <v>3330130.93355566</v>
      </c>
      <c r="U788" s="39">
        <f t="shared" si="521"/>
        <v>515676.350159151</v>
      </c>
      <c r="V788" s="39">
        <f t="shared" si="522"/>
        <v>3330130.50350268</v>
      </c>
      <c r="AI788" t="str">
        <f t="array" ref="AI788">IFERROR(INDEX($L$2:$L$189,SMALL(IF(ISNUMBER(FIND($AH$2,$C$2:$C$189)),ROW($2:$189)-1,4^8),ROW(A787)))&amp;"","")</f>
        <v/>
      </c>
      <c r="AS788" t="str">
        <f t="shared" si="530"/>
        <v>-text 515673.8281,3330130.8284 10 0 IP419</v>
      </c>
      <c r="AT788" t="str">
        <f t="shared" si="507"/>
        <v>515673.8281,3330130.8284</v>
      </c>
      <c r="AV788">
        <f t="shared" si="506"/>
        <v>431.679</v>
      </c>
      <c r="AX788" t="str">
        <f t="shared" si="508"/>
        <v>pl 60916.8302120172,279 60916.8302120172,400 </v>
      </c>
      <c r="AY788" t="str">
        <f t="shared" si="509"/>
        <v>60916.8302120172,427.829</v>
      </c>
      <c r="AZ788" t="str">
        <f t="shared" si="510"/>
        <v>60916.8302120172,430.506</v>
      </c>
      <c r="BA788" t="str">
        <f t="shared" si="511"/>
        <v>60916.8302120172,431.679</v>
      </c>
      <c r="BB788" t="str">
        <f t="shared" si="512"/>
        <v>-text 60915.8302120172,337 3.5 90 427.829 </v>
      </c>
      <c r="BC788" t="str">
        <f t="shared" si="513"/>
        <v>-text 60915.8302120172,320 3.5 90 431.679 </v>
      </c>
      <c r="BD788" t="str">
        <f t="shared" si="514"/>
        <v>-text 60915.8302120172,306 3.5 90 430.506 </v>
      </c>
      <c r="BE788" t="str">
        <f t="shared" si="515"/>
        <v>-text 60915.8302120172,352 3.5 90 ZG121+833.660 </v>
      </c>
      <c r="BF788" t="str">
        <f t="shared" si="516"/>
        <v>-text 60915.8302120172,280 3.5 90 IP419 </v>
      </c>
      <c r="BG788" t="str">
        <f t="shared" si="517"/>
        <v>-TEXT 60917.8302120172,300 3.5 0 R=30</v>
      </c>
      <c r="BH788" t="str">
        <f t="shared" si="518"/>
        <v>-TEXT 60917.8302120172,295 3.5 0 α=9.69° </v>
      </c>
      <c r="BI788" t="str">
        <f t="shared" si="519"/>
        <v>-TEXT 60917.8302120172,290 3.5 0 T=2.54 </v>
      </c>
      <c r="BJ788" t="str">
        <f t="shared" si="520"/>
        <v>-TEXT 60917.8302120172,285 3.5 0 S=5.07 </v>
      </c>
    </row>
    <row r="789" spans="1:62">
      <c r="A789">
        <v>0</v>
      </c>
      <c r="B789">
        <v>788</v>
      </c>
      <c r="C789" t="s">
        <v>751</v>
      </c>
      <c r="D789">
        <v>515734.3619</v>
      </c>
      <c r="E789">
        <v>3330123.0303</v>
      </c>
      <c r="F789">
        <v>30</v>
      </c>
      <c r="G789">
        <f t="shared" ref="G789:G791" si="531">ROUND(IF((2*SQRT((D788-D789)^2+(E788-E789)^2)*SQRT((D790-D789)^2+(E790-E789)^2))=0,0,180-ACOS(((D788-D789)^2+(E788-E789)^2+(D790-D789)^2+(E790-E789)^2-(D790-D788)^2-(E790-E788)^2)/(2*SQRT((D788-D789)^2+(E788-E789)^2)*SQRT((D790-D789)^2+(E790-E789)^2)))/PI()*180),3)</f>
        <v>24.946</v>
      </c>
      <c r="H789">
        <f t="shared" ref="H789:H791" si="532">F789*TAN(PI()/180*G789/2)</f>
        <v>6.63600943972147</v>
      </c>
      <c r="I789">
        <f t="shared" ref="I789:I791" si="533">F789*G789/180*PI()</f>
        <v>13.0616950560752</v>
      </c>
      <c r="J789">
        <f t="shared" ref="J789:J791" si="534">SQRT((D789-D788)^2+(E789-E788)^2)</f>
        <v>61.0340176135464</v>
      </c>
      <c r="K789" s="40">
        <f t="shared" ref="K789:K791" si="535">L789-I789/2</f>
        <v>121888.052368232</v>
      </c>
      <c r="L789" s="40">
        <f t="shared" ref="L789:L791" si="536">L788+J789-H789+I789/2+I788/2-H788</f>
        <v>121894.58321576</v>
      </c>
      <c r="M789" s="40">
        <f t="shared" ref="M789:M791" si="537">K789+I789</f>
        <v>121901.114063288</v>
      </c>
      <c r="N789">
        <v>430.494</v>
      </c>
      <c r="O789">
        <v>427.817</v>
      </c>
      <c r="P789">
        <v>0.001</v>
      </c>
      <c r="Q789" s="39">
        <f t="shared" si="526"/>
        <v>515727.780277424</v>
      </c>
      <c r="R789" s="39">
        <f t="shared" si="527"/>
        <v>3330123.87815939</v>
      </c>
      <c r="S789" s="39">
        <f t="shared" si="528"/>
        <v>515734.116092422</v>
      </c>
      <c r="T789" s="39">
        <f t="shared" si="529"/>
        <v>3330122.34805006</v>
      </c>
      <c r="U789" s="39">
        <f t="shared" si="521"/>
        <v>515739.971895417</v>
      </c>
      <c r="V789" s="39">
        <f t="shared" si="522"/>
        <v>3330119.4856459</v>
      </c>
      <c r="AI789" t="str">
        <f t="array" ref="AI789">IFERROR(INDEX($L$2:$L$189,SMALL(IF(ISNUMBER(FIND($AH$2,$C$2:$C$189)),ROW($2:$189)-1,4^8),ROW(A788)))&amp;"","")</f>
        <v/>
      </c>
      <c r="AS789" t="str">
        <f t="shared" si="530"/>
        <v>-text 515734.3619,3330123.0303 10 0 IP420</v>
      </c>
      <c r="AT789" t="str">
        <f t="shared" si="507"/>
        <v>515734.3619,3330123.0303</v>
      </c>
      <c r="AV789">
        <f t="shared" si="506"/>
        <v>431.667</v>
      </c>
      <c r="AX789" t="str">
        <f t="shared" si="508"/>
        <v>pl 60947.2916078802,279 60947.2916078802,400 </v>
      </c>
      <c r="AY789" t="str">
        <f t="shared" si="509"/>
        <v>60947.2916078802,427.817</v>
      </c>
      <c r="AZ789" t="str">
        <f t="shared" si="510"/>
        <v>60947.2916078802,430.494</v>
      </c>
      <c r="BA789" t="str">
        <f t="shared" si="511"/>
        <v>60947.2916078802,431.667</v>
      </c>
      <c r="BB789" t="str">
        <f t="shared" si="512"/>
        <v>-text 60946.2916078802,337 3.5 90 427.817 </v>
      </c>
      <c r="BC789" t="str">
        <f t="shared" si="513"/>
        <v>-text 60946.2916078802,320 3.5 90 431.667 </v>
      </c>
      <c r="BD789" t="str">
        <f t="shared" si="514"/>
        <v>-text 60946.2916078802,306 3.5 90 430.494 </v>
      </c>
      <c r="BE789" t="str">
        <f t="shared" si="515"/>
        <v>-text 60946.2916078802,352 3.5 90 ZG121+894.583 </v>
      </c>
      <c r="BF789" t="str">
        <f t="shared" si="516"/>
        <v>-text 60946.2916078802,280 3.5 90 IP420 </v>
      </c>
      <c r="BG789" t="str">
        <f t="shared" si="517"/>
        <v>-TEXT 60948.2916078802,300 3.5 0 R=30</v>
      </c>
      <c r="BH789" t="str">
        <f t="shared" si="518"/>
        <v>-TEXT 60948.2916078802,295 3.5 0 α=24.95° </v>
      </c>
      <c r="BI789" t="str">
        <f t="shared" si="519"/>
        <v>-TEXT 60948.2916078802,290 3.5 0 T=6.64 </v>
      </c>
      <c r="BJ789" t="str">
        <f t="shared" si="520"/>
        <v>-TEXT 60948.2916078802,285 3.5 0 S=13.06 </v>
      </c>
    </row>
    <row r="790" spans="1:62">
      <c r="A790">
        <v>1</v>
      </c>
      <c r="B790">
        <v>789</v>
      </c>
      <c r="C790" t="str">
        <f>Sheet1!C735</f>
        <v>乌木厅1#隧进</v>
      </c>
      <c r="D790">
        <v>515757.4259</v>
      </c>
      <c r="E790">
        <v>3330108.4574</v>
      </c>
      <c r="G790">
        <f t="shared" si="531"/>
        <v>0</v>
      </c>
      <c r="H790">
        <f t="shared" si="532"/>
        <v>0</v>
      </c>
      <c r="I790">
        <f t="shared" si="533"/>
        <v>0</v>
      </c>
      <c r="J790">
        <f t="shared" si="534"/>
        <v>27.2821830213189</v>
      </c>
      <c r="K790" s="40">
        <f t="shared" si="535"/>
        <v>121921.76023687</v>
      </c>
      <c r="L790" s="40">
        <f t="shared" si="536"/>
        <v>121921.76023687</v>
      </c>
      <c r="M790" s="40">
        <f t="shared" si="537"/>
        <v>121921.76023687</v>
      </c>
      <c r="N790">
        <v>430.444</v>
      </c>
      <c r="O790">
        <v>427.76</v>
      </c>
      <c r="P790">
        <v>0</v>
      </c>
      <c r="Q790" s="39">
        <f t="shared" ref="Q790:Q791" si="538">IF(G790=0,D790,D789+(D790-D789)/J790*(J790-H790))</f>
        <v>515757.4259</v>
      </c>
      <c r="R790" s="39">
        <f t="shared" ref="R790:R791" si="539">IF(G790=0,E790,E789+(E790-E789)/J790*(J790-H790))</f>
        <v>3330108.4574</v>
      </c>
      <c r="S790" s="39" t="str">
        <f t="shared" ref="S790:S791" si="540">IF(G790=0," ",(Q790+U790)/2+(D790-(Q790+U790)/2)/(H790*SIN(G790/360*PI()))*(F790-F790*COS(G790/360*PI())))</f>
        <v> </v>
      </c>
      <c r="T790" s="39" t="str">
        <f t="shared" ref="T790:T791" si="541">IF(G790=0," ",(R790+V790)/2+(E790-(R790+V790)/2)/(H790*SIN(G790/360*PI()))*(F790-F790*COS(G790/360*PI())))</f>
        <v> </v>
      </c>
      <c r="U790" s="39" t="str">
        <f t="shared" ref="U790:U791" si="542">IF(G790=0," ",D790+(D791-D790)/J791*H790)</f>
        <v> </v>
      </c>
      <c r="V790" s="39" t="str">
        <f t="shared" ref="V790:V791" si="543">IF(G790=0," ",E790+(E791-E790)/J791*H790)</f>
        <v> </v>
      </c>
      <c r="AI790" t="str">
        <f t="array" ref="AI790">IFERROR(INDEX($L$2:$L$189,SMALL(IF(ISNUMBER(FIND($AH$2,$C$2:$C$189)),ROW($2:$189)-1,4^8),ROW(A789)))&amp;"","")</f>
        <v/>
      </c>
      <c r="AT790" t="str">
        <f t="shared" si="507"/>
        <v>515757.4259,3330108.4574</v>
      </c>
      <c r="AV790">
        <f t="shared" si="506"/>
        <v>431.26</v>
      </c>
      <c r="AX790" t="str">
        <f t="shared" si="508"/>
        <v>pl 60960.880118435,279 60960.880118435,400 </v>
      </c>
      <c r="AY790" t="str">
        <f t="shared" si="509"/>
        <v>60960.880118435,427.76</v>
      </c>
      <c r="AZ790" t="str">
        <f t="shared" si="510"/>
        <v>60960.880118435,430.444</v>
      </c>
      <c r="BA790" t="str">
        <f t="shared" si="511"/>
        <v>60960.880118435,431.26</v>
      </c>
      <c r="BB790" t="str">
        <f t="shared" si="512"/>
        <v>-text 60959.880118435,337 3.5 90 427.760 </v>
      </c>
      <c r="BC790" t="str">
        <f t="shared" si="513"/>
        <v>-text 60959.880118435,320 3.5 90 431.260 </v>
      </c>
      <c r="BD790" t="str">
        <f t="shared" si="514"/>
        <v>-text 60959.880118435,306 3.5 90 430.444 </v>
      </c>
      <c r="BE790" t="str">
        <f t="shared" si="515"/>
        <v>-text 60959.880118435,352 3.5 90 ZG121+921.760 </v>
      </c>
      <c r="BF790" t="str">
        <f t="shared" si="516"/>
        <v>-text 60959.880118435,280 3.5 90 乌木厅1#隧进 </v>
      </c>
      <c r="BG790" t="str">
        <f t="shared" si="517"/>
        <v/>
      </c>
      <c r="BH790" t="str">
        <f t="shared" si="518"/>
        <v> </v>
      </c>
      <c r="BI790" t="str">
        <f t="shared" si="519"/>
        <v> </v>
      </c>
      <c r="BJ790" t="str">
        <f t="shared" si="520"/>
        <v> </v>
      </c>
    </row>
    <row r="791" spans="1:62">
      <c r="A791">
        <v>1</v>
      </c>
      <c r="B791">
        <v>790</v>
      </c>
      <c r="C791" t="s">
        <v>752</v>
      </c>
      <c r="D791">
        <v>515992.3431</v>
      </c>
      <c r="E791">
        <v>3329960.0257</v>
      </c>
      <c r="F791">
        <v>40</v>
      </c>
      <c r="G791">
        <f t="shared" si="531"/>
        <v>45.812</v>
      </c>
      <c r="H791">
        <f t="shared" si="532"/>
        <v>16.9015979699408</v>
      </c>
      <c r="I791">
        <f t="shared" si="533"/>
        <v>31.9828094769457</v>
      </c>
      <c r="J791">
        <f t="shared" si="534"/>
        <v>277.881378326731</v>
      </c>
      <c r="K791" s="40">
        <f t="shared" si="535"/>
        <v>122182.740017227</v>
      </c>
      <c r="L791" s="40">
        <f t="shared" si="536"/>
        <v>122198.731421965</v>
      </c>
      <c r="M791" s="40">
        <f t="shared" si="537"/>
        <v>122214.722826704</v>
      </c>
      <c r="N791">
        <v>430.344</v>
      </c>
      <c r="O791">
        <v>427.66</v>
      </c>
      <c r="P791">
        <v>0.002</v>
      </c>
      <c r="Q791" s="39">
        <f t="shared" si="538"/>
        <v>515978.05471517</v>
      </c>
      <c r="R791" s="39">
        <f t="shared" si="539"/>
        <v>3329969.05377138</v>
      </c>
      <c r="S791" s="39">
        <f t="shared" si="540"/>
        <v>515989.531548655</v>
      </c>
      <c r="T791" s="39">
        <f t="shared" si="541"/>
        <v>3329958.07108209</v>
      </c>
      <c r="U791" s="39">
        <f t="shared" si="542"/>
        <v>515995.828691172</v>
      </c>
      <c r="V791" s="39">
        <f t="shared" si="543"/>
        <v>3329943.48742113</v>
      </c>
      <c r="AI791" t="str">
        <f t="array" ref="AI791">IFERROR(INDEX($L$2:$L$189,SMALL(IF(ISNUMBER(FIND($AH$2,$C$2:$C$189)),ROW($2:$189)-1,4^8),ROW(A790)))&amp;"","")</f>
        <v/>
      </c>
      <c r="AS791" t="str">
        <f>"-text"&amp;" "&amp;D791&amp;","&amp;E791&amp;" "&amp;"10"&amp;" "&amp;"0"&amp;" "&amp;C791</f>
        <v>-text 515992.3431,3329960.0257 10 0 IP421</v>
      </c>
      <c r="AT791" t="str">
        <f t="shared" si="507"/>
        <v>515992.3431,3329960.0257</v>
      </c>
      <c r="AV791">
        <f t="shared" si="506"/>
        <v>431.16</v>
      </c>
      <c r="AX791" t="str">
        <f t="shared" si="508"/>
        <v>pl 61099.3657109826,279 61099.3657109826,400 </v>
      </c>
      <c r="AY791" t="str">
        <f t="shared" si="509"/>
        <v>61099.3657109826,427.66</v>
      </c>
      <c r="AZ791" t="str">
        <f t="shared" si="510"/>
        <v>61099.3657109826,430.344</v>
      </c>
      <c r="BA791" t="str">
        <f t="shared" si="511"/>
        <v>61099.3657109826,431.16</v>
      </c>
      <c r="BB791" t="str">
        <f t="shared" si="512"/>
        <v>-text 61098.3657109826,337 3.5 90 427.660 </v>
      </c>
      <c r="BC791" t="str">
        <f t="shared" si="513"/>
        <v>-text 61098.3657109826,320 3.5 90 431.160 </v>
      </c>
      <c r="BD791" t="str">
        <f t="shared" si="514"/>
        <v>-text 61098.3657109826,306 3.5 90 430.344 </v>
      </c>
      <c r="BE791" t="str">
        <f t="shared" si="515"/>
        <v>-text 61098.3657109826,352 3.5 90 ZG122+198.731 </v>
      </c>
      <c r="BF791" t="str">
        <f t="shared" si="516"/>
        <v>-text 61098.3657109826,280 3.5 90 IP421 </v>
      </c>
      <c r="BG791" t="str">
        <f t="shared" si="517"/>
        <v>-TEXT 61100.3657109826,300 3.5 0 R=40</v>
      </c>
      <c r="BH791" t="str">
        <f t="shared" si="518"/>
        <v>-TEXT 61100.3657109826,295 3.5 0 α=45.81° </v>
      </c>
      <c r="BI791" t="str">
        <f t="shared" si="519"/>
        <v>-TEXT 61100.3657109826,290 3.5 0 T=16.90 </v>
      </c>
      <c r="BJ791" t="str">
        <f t="shared" si="520"/>
        <v>-TEXT 61100.3657109826,285 3.5 0 S=31.98 </v>
      </c>
    </row>
    <row r="792" spans="1:62">
      <c r="A792">
        <v>1</v>
      </c>
      <c r="B792">
        <v>791</v>
      </c>
      <c r="C792" t="str">
        <f>Sheet1!C737</f>
        <v>乌木厅1#隧出</v>
      </c>
      <c r="D792">
        <v>516000.1231</v>
      </c>
      <c r="E792">
        <v>3329923.1115</v>
      </c>
      <c r="G792">
        <f t="shared" ref="G792:G805" si="544">ROUND(IF((2*SQRT((D791-D792)^2+(E791-E792)^2)*SQRT((D793-D792)^2+(E793-E792)^2))=0,0,180-ACOS(((D791-D792)^2+(E791-E792)^2+(D793-D792)^2+(E793-E792)^2-(D793-D791)^2-(E793-E791)^2)/(2*SQRT((D791-D792)^2+(E791-E792)^2)*SQRT((D793-D792)^2+(E793-E792)^2)))/PI()*180),3)</f>
        <v>0</v>
      </c>
      <c r="H792">
        <f t="shared" ref="H792:H805" si="545">F792*TAN(PI()/180*G792/2)</f>
        <v>0</v>
      </c>
      <c r="I792">
        <f t="shared" ref="I792:I805" si="546">F792*G792/180*PI()</f>
        <v>0</v>
      </c>
      <c r="J792">
        <f t="shared" ref="J792:J805" si="547">SQRT((D792-D791)^2+(E792-E791)^2)</f>
        <v>37.7251449518803</v>
      </c>
      <c r="K792" s="40">
        <f t="shared" ref="K792:K805" si="548">L792-I792/2</f>
        <v>122235.546373686</v>
      </c>
      <c r="L792" s="40">
        <f t="shared" ref="L792:L805" si="549">L791+J792-H792+I792/2+I791/2-H791</f>
        <v>122235.546373686</v>
      </c>
      <c r="M792" s="40">
        <f t="shared" ref="M792:M805" si="550">K792+I792</f>
        <v>122235.546373686</v>
      </c>
      <c r="N792">
        <v>430.33</v>
      </c>
      <c r="O792">
        <v>427.646</v>
      </c>
      <c r="P792">
        <v>0</v>
      </c>
      <c r="Q792" s="39">
        <f t="shared" ref="Q792:Q805" si="551">IF(G792=0,D792,D791+(D792-D791)/J792*(J792-H792))</f>
        <v>516000.1231</v>
      </c>
      <c r="R792" s="39">
        <f t="shared" ref="R792:R805" si="552">IF(G792=0,E792,E791+(E792-E791)/J792*(J792-H792))</f>
        <v>3329923.1115</v>
      </c>
      <c r="S792" s="39" t="str">
        <f t="shared" ref="S792:S805" si="553">IF(G792=0," ",(Q792+U792)/2+(D792-(Q792+U792)/2)/(H792*SIN(G792/360*PI()))*(F792-F792*COS(G792/360*PI())))</f>
        <v> </v>
      </c>
      <c r="T792" s="39" t="str">
        <f t="shared" ref="T792:T805" si="554">IF(G792=0," ",(R792+V792)/2+(E792-(R792+V792)/2)/(H792*SIN(G792/360*PI()))*(F792-F792*COS(G792/360*PI())))</f>
        <v> </v>
      </c>
      <c r="U792" s="39" t="str">
        <f t="shared" ref="U792:U805" si="555">IF(G792=0," ",D792+(D793-D792)/J793*H792)</f>
        <v> </v>
      </c>
      <c r="V792" s="39" t="str">
        <f t="shared" ref="V792:V805" si="556">IF(G792=0," ",E792+(E793-E792)/J793*H792)</f>
        <v> </v>
      </c>
      <c r="AI792" t="str">
        <f t="array" ref="AI792">IFERROR(INDEX($L$2:$L$189,SMALL(IF(ISNUMBER(FIND($AH$2,$C$2:$C$189)),ROW($2:$189)-1,4^8),ROW(A791)))&amp;"","")</f>
        <v/>
      </c>
      <c r="AT792" t="str">
        <f t="shared" si="507"/>
        <v>516000.1231,3329923.1115</v>
      </c>
      <c r="AV792">
        <f t="shared" si="506"/>
        <v>431.146</v>
      </c>
      <c r="AX792" t="str">
        <f t="shared" si="508"/>
        <v>pl 61117.7731868428,279 61117.7731868428,400 </v>
      </c>
      <c r="AY792" t="str">
        <f t="shared" si="509"/>
        <v>61117.7731868428,427.646</v>
      </c>
      <c r="AZ792" t="str">
        <f t="shared" si="510"/>
        <v>61117.7731868428,430.33</v>
      </c>
      <c r="BA792" t="str">
        <f t="shared" si="511"/>
        <v>61117.7731868428,431.146</v>
      </c>
      <c r="BB792" t="str">
        <f t="shared" si="512"/>
        <v>-text 61116.7731868428,337 3.5 90 427.646 </v>
      </c>
      <c r="BC792" t="str">
        <f t="shared" si="513"/>
        <v>-text 61116.7731868428,320 3.5 90 431.146 </v>
      </c>
      <c r="BD792" t="str">
        <f t="shared" si="514"/>
        <v>-text 61116.7731868428,306 3.5 90 430.330 </v>
      </c>
      <c r="BE792" t="str">
        <f t="shared" si="515"/>
        <v>-text 61116.7731868428,352 3.5 90 ZG122+235.546 </v>
      </c>
      <c r="BF792" t="str">
        <f t="shared" si="516"/>
        <v>-text 61116.7731868428,280 3.5 90 乌木厅1#隧出 </v>
      </c>
      <c r="BG792" t="str">
        <f t="shared" si="517"/>
        <v/>
      </c>
      <c r="BH792" t="str">
        <f t="shared" si="518"/>
        <v> </v>
      </c>
      <c r="BI792" t="str">
        <f t="shared" si="519"/>
        <v> </v>
      </c>
      <c r="BJ792" t="str">
        <f t="shared" si="520"/>
        <v> </v>
      </c>
    </row>
    <row r="793" spans="1:62">
      <c r="A793">
        <v>1</v>
      </c>
      <c r="B793">
        <v>792</v>
      </c>
      <c r="C793" t="str">
        <f>Sheet1!C738</f>
        <v>乌木厅2#隧进</v>
      </c>
      <c r="D793">
        <v>516011.6051</v>
      </c>
      <c r="E793">
        <v>3329868.6318</v>
      </c>
      <c r="G793">
        <f t="shared" si="544"/>
        <v>0</v>
      </c>
      <c r="H793">
        <f t="shared" si="545"/>
        <v>0</v>
      </c>
      <c r="I793">
        <f t="shared" si="546"/>
        <v>0</v>
      </c>
      <c r="J793">
        <f t="shared" si="547"/>
        <v>55.6765124275205</v>
      </c>
      <c r="K793" s="40">
        <f t="shared" si="548"/>
        <v>122291.222886113</v>
      </c>
      <c r="L793" s="40">
        <f t="shared" si="549"/>
        <v>122291.222886113</v>
      </c>
      <c r="M793" s="40">
        <f t="shared" si="550"/>
        <v>122291.222886113</v>
      </c>
      <c r="N793">
        <v>430.299</v>
      </c>
      <c r="O793">
        <v>427.615</v>
      </c>
      <c r="P793">
        <v>0</v>
      </c>
      <c r="Q793" s="39">
        <f t="shared" si="551"/>
        <v>516011.6051</v>
      </c>
      <c r="R793" s="39">
        <f t="shared" si="552"/>
        <v>3329868.6318</v>
      </c>
      <c r="S793" s="39" t="str">
        <f t="shared" si="553"/>
        <v> </v>
      </c>
      <c r="T793" s="39" t="str">
        <f t="shared" si="554"/>
        <v> </v>
      </c>
      <c r="U793" s="39" t="str">
        <f t="shared" si="555"/>
        <v> </v>
      </c>
      <c r="V793" s="39" t="str">
        <f t="shared" si="556"/>
        <v> </v>
      </c>
      <c r="AI793" t="str">
        <f t="array" ref="AI793">IFERROR(INDEX($L$2:$L$189,SMALL(IF(ISNUMBER(FIND($AH$2,$C$2:$C$189)),ROW($2:$189)-1,4^8),ROW(A792)))&amp;"","")</f>
        <v/>
      </c>
      <c r="AT793" t="str">
        <f t="shared" si="507"/>
        <v>516011.6051,3329868.6318</v>
      </c>
      <c r="AV793">
        <f t="shared" si="506"/>
        <v>431.115</v>
      </c>
      <c r="AX793" t="str">
        <f t="shared" si="508"/>
        <v>pl 61145.6114430566,279 61145.6114430566,400 </v>
      </c>
      <c r="AY793" t="str">
        <f t="shared" si="509"/>
        <v>61145.6114430566,427.615</v>
      </c>
      <c r="AZ793" t="str">
        <f t="shared" si="510"/>
        <v>61145.6114430566,430.299</v>
      </c>
      <c r="BA793" t="str">
        <f t="shared" si="511"/>
        <v>61145.6114430566,431.115</v>
      </c>
      <c r="BB793" t="str">
        <f t="shared" si="512"/>
        <v>-text 61144.6114430566,337 3.5 90 427.615 </v>
      </c>
      <c r="BC793" t="str">
        <f t="shared" si="513"/>
        <v>-text 61144.6114430566,320 3.5 90 431.115 </v>
      </c>
      <c r="BD793" t="str">
        <f t="shared" si="514"/>
        <v>-text 61144.6114430566,306 3.5 90 430.299 </v>
      </c>
      <c r="BE793" t="str">
        <f t="shared" si="515"/>
        <v>-text 61144.6114430566,352 3.5 90 ZG122+291.223 </v>
      </c>
      <c r="BF793" t="str">
        <f t="shared" si="516"/>
        <v>-text 61144.6114430566,280 3.5 90 乌木厅2#隧进 </v>
      </c>
      <c r="BG793" t="str">
        <f t="shared" si="517"/>
        <v/>
      </c>
      <c r="BH793" t="str">
        <f t="shared" si="518"/>
        <v> </v>
      </c>
      <c r="BI793" t="str">
        <f t="shared" si="519"/>
        <v> </v>
      </c>
      <c r="BJ793" t="str">
        <f t="shared" si="520"/>
        <v> </v>
      </c>
    </row>
    <row r="794" spans="1:62">
      <c r="A794">
        <v>1</v>
      </c>
      <c r="B794">
        <v>793</v>
      </c>
      <c r="C794" t="s">
        <v>753</v>
      </c>
      <c r="D794">
        <v>516034.1957</v>
      </c>
      <c r="E794">
        <v>3329761.4449</v>
      </c>
      <c r="F794">
        <v>40</v>
      </c>
      <c r="G794">
        <f t="shared" si="544"/>
        <v>25.642</v>
      </c>
      <c r="H794">
        <f t="shared" si="545"/>
        <v>9.10319583154393</v>
      </c>
      <c r="I794">
        <f t="shared" si="546"/>
        <v>17.9014930718554</v>
      </c>
      <c r="J794">
        <f t="shared" si="547"/>
        <v>109.541621039624</v>
      </c>
      <c r="K794" s="40">
        <f t="shared" si="548"/>
        <v>122391.661311321</v>
      </c>
      <c r="L794" s="40">
        <f t="shared" si="549"/>
        <v>122400.612057857</v>
      </c>
      <c r="M794" s="40">
        <f t="shared" si="550"/>
        <v>122409.562804393</v>
      </c>
      <c r="N794">
        <v>430.259</v>
      </c>
      <c r="O794">
        <v>427.575</v>
      </c>
      <c r="P794">
        <v>0.001</v>
      </c>
      <c r="Q794" s="39">
        <f t="shared" si="551"/>
        <v>516032.318361927</v>
      </c>
      <c r="R794" s="39">
        <f t="shared" si="552"/>
        <v>3329770.35241234</v>
      </c>
      <c r="S794" s="39">
        <f t="shared" si="553"/>
        <v>516033.173061491</v>
      </c>
      <c r="T794" s="39">
        <f t="shared" si="554"/>
        <v>3329761.46131304</v>
      </c>
      <c r="U794" s="39">
        <f t="shared" si="555"/>
        <v>516032.033476707</v>
      </c>
      <c r="V794" s="39">
        <f t="shared" si="556"/>
        <v>3329752.6022214</v>
      </c>
      <c r="AI794" t="str">
        <f t="array" ref="AI794">IFERROR(INDEX($L$2:$L$189,SMALL(IF(ISNUMBER(FIND($AH$2,$C$2:$C$189)),ROW($2:$189)-1,4^8),ROW(A793)))&amp;"","")</f>
        <v/>
      </c>
      <c r="AS794" t="str">
        <f>"-text"&amp;" "&amp;D794&amp;","&amp;E794&amp;" "&amp;"10"&amp;" "&amp;"0"&amp;" "&amp;C794</f>
        <v>-text 516034.1957,3329761.4449 10 0 IP422</v>
      </c>
      <c r="AT794" t="str">
        <f t="shared" si="507"/>
        <v>516034.1957,3329761.4449</v>
      </c>
      <c r="AV794">
        <f t="shared" si="506"/>
        <v>431.075</v>
      </c>
      <c r="AX794" t="str">
        <f t="shared" si="508"/>
        <v>pl 61200.3060289286,279 61200.3060289286,400 </v>
      </c>
      <c r="AY794" t="str">
        <f t="shared" si="509"/>
        <v>61200.3060289286,427.575</v>
      </c>
      <c r="AZ794" t="str">
        <f t="shared" si="510"/>
        <v>61200.3060289286,430.259</v>
      </c>
      <c r="BA794" t="str">
        <f t="shared" si="511"/>
        <v>61200.3060289286,431.075</v>
      </c>
      <c r="BB794" t="str">
        <f t="shared" si="512"/>
        <v>-text 61199.3060289286,337 3.5 90 427.575 </v>
      </c>
      <c r="BC794" t="str">
        <f t="shared" si="513"/>
        <v>-text 61199.3060289286,320 3.5 90 431.075 </v>
      </c>
      <c r="BD794" t="str">
        <f t="shared" si="514"/>
        <v>-text 61199.3060289286,306 3.5 90 430.259 </v>
      </c>
      <c r="BE794" t="str">
        <f t="shared" si="515"/>
        <v>-text 61199.3060289286,352 3.5 90 ZG122+400.612 </v>
      </c>
      <c r="BF794" t="str">
        <f t="shared" si="516"/>
        <v>-text 61199.3060289286,280 3.5 90 IP422 </v>
      </c>
      <c r="BG794" t="str">
        <f t="shared" si="517"/>
        <v>-TEXT 61201.3060289286,300 3.5 0 R=40</v>
      </c>
      <c r="BH794" t="str">
        <f t="shared" si="518"/>
        <v>-TEXT 61201.3060289286,295 3.5 0 α=25.64° </v>
      </c>
      <c r="BI794" t="str">
        <f t="shared" si="519"/>
        <v>-TEXT 61201.3060289286,290 3.5 0 T=9.10 </v>
      </c>
      <c r="BJ794" t="str">
        <f t="shared" si="520"/>
        <v>-TEXT 61201.3060289286,285 3.5 0 S=17.90 </v>
      </c>
    </row>
    <row r="795" spans="1:62">
      <c r="A795">
        <v>1</v>
      </c>
      <c r="B795">
        <v>794</v>
      </c>
      <c r="C795" t="str">
        <f>Sheet1!C740</f>
        <v>乌木厅2#隧出</v>
      </c>
      <c r="D795">
        <v>516025.3018</v>
      </c>
      <c r="E795">
        <v>3329725.0722</v>
      </c>
      <c r="G795">
        <f t="shared" si="544"/>
        <v>0</v>
      </c>
      <c r="H795">
        <f t="shared" si="545"/>
        <v>0</v>
      </c>
      <c r="I795">
        <f t="shared" si="546"/>
        <v>0</v>
      </c>
      <c r="J795">
        <f t="shared" si="547"/>
        <v>37.44428878364</v>
      </c>
      <c r="K795" s="40">
        <f t="shared" si="548"/>
        <v>122437.903897345</v>
      </c>
      <c r="L795" s="40">
        <f t="shared" si="549"/>
        <v>122437.903897345</v>
      </c>
      <c r="M795" s="40">
        <f t="shared" si="550"/>
        <v>122437.903897345</v>
      </c>
      <c r="N795">
        <v>430.245</v>
      </c>
      <c r="O795">
        <v>427.561</v>
      </c>
      <c r="P795">
        <v>0</v>
      </c>
      <c r="Q795" s="39">
        <f t="shared" si="551"/>
        <v>516025.3018</v>
      </c>
      <c r="R795" s="39">
        <f t="shared" si="552"/>
        <v>3329725.0722</v>
      </c>
      <c r="S795" s="39" t="str">
        <f t="shared" si="553"/>
        <v> </v>
      </c>
      <c r="T795" s="39" t="str">
        <f t="shared" si="554"/>
        <v> </v>
      </c>
      <c r="U795" s="39" t="str">
        <f t="shared" si="555"/>
        <v> </v>
      </c>
      <c r="V795" s="39" t="str">
        <f t="shared" si="556"/>
        <v> </v>
      </c>
      <c r="AI795" t="str">
        <f t="array" ref="AI795">IFERROR(INDEX($L$2:$L$189,SMALL(IF(ISNUMBER(FIND($AH$2,$C$2:$C$189)),ROW($2:$189)-1,4^8),ROW(A794)))&amp;"","")</f>
        <v/>
      </c>
      <c r="AT795" t="str">
        <f t="shared" si="507"/>
        <v>516025.3018,3329725.0722</v>
      </c>
      <c r="AV795">
        <f t="shared" si="506"/>
        <v>431.061</v>
      </c>
      <c r="AX795" t="str">
        <f t="shared" si="508"/>
        <v>pl 61218.9519486726,279 61218.9519486726,400 </v>
      </c>
      <c r="AY795" t="str">
        <f t="shared" si="509"/>
        <v>61218.9519486726,427.561</v>
      </c>
      <c r="AZ795" t="str">
        <f t="shared" si="510"/>
        <v>61218.9519486726,430.245</v>
      </c>
      <c r="BA795" t="str">
        <f t="shared" si="511"/>
        <v>61218.9519486726,431.061</v>
      </c>
      <c r="BB795" t="str">
        <f t="shared" si="512"/>
        <v>-text 61217.9519486726,337 3.5 90 427.561 </v>
      </c>
      <c r="BC795" t="str">
        <f t="shared" si="513"/>
        <v>-text 61217.9519486726,320 3.5 90 431.061 </v>
      </c>
      <c r="BD795" t="str">
        <f t="shared" si="514"/>
        <v>-text 61217.9519486726,306 3.5 90 430.245 </v>
      </c>
      <c r="BE795" t="str">
        <f t="shared" si="515"/>
        <v>-text 61217.9519486726,352 3.5 90 ZG122+437.904 </v>
      </c>
      <c r="BF795" t="str">
        <f t="shared" si="516"/>
        <v>-text 61217.9519486726,280 3.5 90 乌木厅2#隧出 </v>
      </c>
      <c r="BG795" t="str">
        <f t="shared" si="517"/>
        <v/>
      </c>
      <c r="BH795" t="str">
        <f t="shared" si="518"/>
        <v> </v>
      </c>
      <c r="BI795" t="str">
        <f t="shared" si="519"/>
        <v> </v>
      </c>
      <c r="BJ795" t="str">
        <f t="shared" si="520"/>
        <v> </v>
      </c>
    </row>
    <row r="796" spans="1:62">
      <c r="A796">
        <v>0</v>
      </c>
      <c r="B796">
        <v>795</v>
      </c>
      <c r="C796" t="s">
        <v>754</v>
      </c>
      <c r="D796">
        <v>516005.7059</v>
      </c>
      <c r="E796">
        <v>3329644.9328</v>
      </c>
      <c r="F796">
        <v>40</v>
      </c>
      <c r="G796">
        <f t="shared" si="544"/>
        <v>21.015</v>
      </c>
      <c r="H796">
        <f t="shared" si="545"/>
        <v>7.41897777556421</v>
      </c>
      <c r="I796">
        <f t="shared" si="546"/>
        <v>14.6712376922643</v>
      </c>
      <c r="J796">
        <f t="shared" si="547"/>
        <v>82.5004407814342</v>
      </c>
      <c r="K796" s="40">
        <f t="shared" si="548"/>
        <v>122512.985360351</v>
      </c>
      <c r="L796" s="40">
        <f t="shared" si="549"/>
        <v>122520.320979197</v>
      </c>
      <c r="M796" s="40">
        <f t="shared" si="550"/>
        <v>122527.656598043</v>
      </c>
      <c r="N796">
        <v>430.255</v>
      </c>
      <c r="O796">
        <v>427.578</v>
      </c>
      <c r="P796">
        <v>0.001</v>
      </c>
      <c r="Q796" s="39">
        <f t="shared" si="551"/>
        <v>516007.46809115</v>
      </c>
      <c r="R796" s="39">
        <f t="shared" si="552"/>
        <v>3329652.13945759</v>
      </c>
      <c r="S796" s="39">
        <f t="shared" si="553"/>
        <v>516006.387021645</v>
      </c>
      <c r="T796" s="39">
        <f t="shared" si="554"/>
        <v>3329644.89432762</v>
      </c>
      <c r="U796" s="39">
        <f t="shared" si="555"/>
        <v>516006.645352034</v>
      </c>
      <c r="V796" s="39">
        <f t="shared" si="556"/>
        <v>3329637.57354317</v>
      </c>
      <c r="AI796" t="str">
        <f t="array" ref="AI796">IFERROR(INDEX($L$2:$L$189,SMALL(IF(ISNUMBER(FIND($AH$2,$C$2:$C$189)),ROW($2:$189)-1,4^8),ROW(A795)))&amp;"","")</f>
        <v/>
      </c>
      <c r="AS796" t="str">
        <f>"-text"&amp;" "&amp;D796&amp;","&amp;E796&amp;" "&amp;"10"&amp;" "&amp;"0"&amp;" "&amp;C796</f>
        <v>-text 516005.7059,3329644.9328 10 0 IP423</v>
      </c>
      <c r="AT796" t="str">
        <f t="shared" si="507"/>
        <v>516005.7059,3329644.9328</v>
      </c>
      <c r="AV796">
        <f t="shared" si="506"/>
        <v>431.428</v>
      </c>
      <c r="AX796" t="str">
        <f t="shared" si="508"/>
        <v>pl 61260.1604895986,279 61260.1604895986,400 </v>
      </c>
      <c r="AY796" t="str">
        <f t="shared" si="509"/>
        <v>61260.1604895986,427.578</v>
      </c>
      <c r="AZ796" t="str">
        <f t="shared" si="510"/>
        <v>61260.1604895986,430.255</v>
      </c>
      <c r="BA796" t="str">
        <f t="shared" si="511"/>
        <v>61260.1604895986,431.428</v>
      </c>
      <c r="BB796" t="str">
        <f t="shared" si="512"/>
        <v>-text 61259.1604895986,337 3.5 90 427.578 </v>
      </c>
      <c r="BC796" t="str">
        <f t="shared" si="513"/>
        <v>-text 61259.1604895986,320 3.5 90 431.428 </v>
      </c>
      <c r="BD796" t="str">
        <f t="shared" si="514"/>
        <v>-text 61259.1604895986,306 3.5 90 430.255 </v>
      </c>
      <c r="BE796" t="str">
        <f t="shared" si="515"/>
        <v>-text 61259.1604895986,352 3.5 90 ZG122+520.321 </v>
      </c>
      <c r="BF796" t="str">
        <f t="shared" si="516"/>
        <v>-text 61259.1604895986,280 3.5 90 IP423 </v>
      </c>
      <c r="BG796" t="str">
        <f t="shared" si="517"/>
        <v>-TEXT 61261.1604895986,300 3.5 0 R=40</v>
      </c>
      <c r="BH796" t="str">
        <f t="shared" si="518"/>
        <v>-TEXT 61261.1604895986,295 3.5 0 α=21.02° </v>
      </c>
      <c r="BI796" t="str">
        <f t="shared" si="519"/>
        <v>-TEXT 61261.1604895986,290 3.5 0 T=7.42 </v>
      </c>
      <c r="BJ796" t="str">
        <f t="shared" si="520"/>
        <v>-TEXT 61261.1604895986,285 3.5 0 S=14.67 </v>
      </c>
    </row>
    <row r="797" spans="1:62">
      <c r="A797">
        <v>0</v>
      </c>
      <c r="B797">
        <v>796</v>
      </c>
      <c r="C797" t="s">
        <v>756</v>
      </c>
      <c r="D797">
        <v>516016.0041</v>
      </c>
      <c r="E797">
        <v>3329564.2612</v>
      </c>
      <c r="F797">
        <v>40</v>
      </c>
      <c r="G797">
        <f t="shared" si="544"/>
        <v>15.709</v>
      </c>
      <c r="H797">
        <f t="shared" si="545"/>
        <v>5.51808561487637</v>
      </c>
      <c r="I797">
        <f t="shared" si="546"/>
        <v>10.9669508878316</v>
      </c>
      <c r="J797">
        <f t="shared" si="547"/>
        <v>81.3262563370566</v>
      </c>
      <c r="K797" s="40">
        <f t="shared" si="548"/>
        <v>122596.04579099</v>
      </c>
      <c r="L797" s="40">
        <f t="shared" si="549"/>
        <v>122601.529266434</v>
      </c>
      <c r="M797" s="40">
        <f t="shared" si="550"/>
        <v>122607.012741878</v>
      </c>
      <c r="N797">
        <v>430.239</v>
      </c>
      <c r="O797">
        <v>427.562</v>
      </c>
      <c r="P797">
        <v>0</v>
      </c>
      <c r="Q797" s="39">
        <f t="shared" si="551"/>
        <v>516015.305354578</v>
      </c>
      <c r="R797" s="39">
        <f t="shared" si="552"/>
        <v>3329569.73486638</v>
      </c>
      <c r="S797" s="39">
        <f t="shared" si="553"/>
        <v>516015.625305997</v>
      </c>
      <c r="T797" s="39">
        <f t="shared" si="554"/>
        <v>3329564.26503149</v>
      </c>
      <c r="U797" s="39">
        <f t="shared" si="555"/>
        <v>516015.194776875</v>
      </c>
      <c r="V797" s="39">
        <f t="shared" si="556"/>
        <v>3329558.80278769</v>
      </c>
      <c r="AI797" t="str">
        <f t="array" ref="AI797">IFERROR(INDEX($L$2:$L$189,SMALL(IF(ISNUMBER(FIND($AH$2,$C$2:$C$189)),ROW($2:$189)-1,4^8),ROW(A796)))&amp;"","")</f>
        <v/>
      </c>
      <c r="AS797" t="str">
        <f>"-text"&amp;" "&amp;D797&amp;","&amp;E797&amp;" "&amp;"10"&amp;" "&amp;"0"&amp;" "&amp;C797</f>
        <v>-text 516016.0041,3329564.2612 10 0 IP424</v>
      </c>
      <c r="AT797" t="str">
        <f t="shared" si="507"/>
        <v>516016.0041,3329564.2612</v>
      </c>
      <c r="AV797">
        <f t="shared" si="506"/>
        <v>431.412</v>
      </c>
      <c r="AX797" t="str">
        <f t="shared" si="508"/>
        <v>pl 61300.764633217,279 61300.764633217,400 </v>
      </c>
      <c r="AY797" t="str">
        <f t="shared" si="509"/>
        <v>61300.764633217,427.562</v>
      </c>
      <c r="AZ797" t="str">
        <f t="shared" si="510"/>
        <v>61300.764633217,430.239</v>
      </c>
      <c r="BA797" t="str">
        <f t="shared" si="511"/>
        <v>61300.764633217,431.412</v>
      </c>
      <c r="BB797" t="str">
        <f t="shared" si="512"/>
        <v>-text 61299.764633217,337 3.5 90 427.562 </v>
      </c>
      <c r="BC797" t="str">
        <f t="shared" si="513"/>
        <v>-text 61299.764633217,320 3.5 90 431.412 </v>
      </c>
      <c r="BD797" t="str">
        <f t="shared" si="514"/>
        <v>-text 61299.764633217,306 3.5 90 430.239 </v>
      </c>
      <c r="BE797" t="str">
        <f t="shared" si="515"/>
        <v>-text 61299.764633217,352 3.5 90 ZG122+601.529 </v>
      </c>
      <c r="BF797" t="str">
        <f t="shared" si="516"/>
        <v>-text 61299.764633217,280 3.5 90 IP424 </v>
      </c>
      <c r="BG797" t="str">
        <f t="shared" si="517"/>
        <v>-TEXT 61301.764633217,300 3.5 0 R=40</v>
      </c>
      <c r="BH797" t="str">
        <f t="shared" si="518"/>
        <v>-TEXT 61301.764633217,295 3.5 0 α=15.71° </v>
      </c>
      <c r="BI797" t="str">
        <f t="shared" si="519"/>
        <v>-TEXT 61301.764633217,290 3.5 0 T=5.52 </v>
      </c>
      <c r="BJ797" t="str">
        <f t="shared" si="520"/>
        <v>-TEXT 61301.764633217,285 3.5 0 S=10.97 </v>
      </c>
    </row>
    <row r="798" spans="1:62">
      <c r="A798">
        <v>0</v>
      </c>
      <c r="B798">
        <v>797</v>
      </c>
      <c r="C798" t="s">
        <v>759</v>
      </c>
      <c r="D798">
        <v>516007.2684</v>
      </c>
      <c r="E798">
        <v>3329505.344</v>
      </c>
      <c r="F798">
        <v>40</v>
      </c>
      <c r="G798">
        <f t="shared" si="544"/>
        <v>52.034</v>
      </c>
      <c r="H798">
        <f t="shared" si="545"/>
        <v>19.523997161542</v>
      </c>
      <c r="I798">
        <f t="shared" si="546"/>
        <v>36.3265849193092</v>
      </c>
      <c r="J798">
        <f t="shared" si="547"/>
        <v>59.5613037998105</v>
      </c>
      <c r="K798" s="40">
        <f t="shared" si="548"/>
        <v>122641.531962901</v>
      </c>
      <c r="L798" s="40">
        <f t="shared" si="549"/>
        <v>122659.695255361</v>
      </c>
      <c r="M798" s="40">
        <f t="shared" si="550"/>
        <v>122677.858547821</v>
      </c>
      <c r="N798">
        <v>430.227</v>
      </c>
      <c r="O798">
        <v>427.55</v>
      </c>
      <c r="P798">
        <v>0.002</v>
      </c>
      <c r="Q798" s="39">
        <f t="shared" si="551"/>
        <v>516010.131933387</v>
      </c>
      <c r="R798" s="39">
        <f t="shared" si="552"/>
        <v>3329524.65686208</v>
      </c>
      <c r="S798" s="39">
        <f t="shared" si="553"/>
        <v>516011.568180036</v>
      </c>
      <c r="T798" s="39">
        <f t="shared" si="554"/>
        <v>3329506.70657483</v>
      </c>
      <c r="U798" s="39">
        <f t="shared" si="555"/>
        <v>516020.732541216</v>
      </c>
      <c r="V798" s="39">
        <f t="shared" si="556"/>
        <v>3329491.2052813</v>
      </c>
      <c r="AI798" t="str">
        <f t="array" ref="AI798">IFERROR(INDEX($L$2:$L$189,SMALL(IF(ISNUMBER(FIND($AH$2,$C$2:$C$189)),ROW($2:$189)-1,4^8),ROW(A797)))&amp;"","")</f>
        <v/>
      </c>
      <c r="AS798" t="str">
        <f>"-text"&amp;" "&amp;D798&amp;","&amp;E798&amp;" "&amp;"10"&amp;" "&amp;"0"&amp;" "&amp;C798</f>
        <v>-text 516007.2684,3329505.344 10 0 IP425</v>
      </c>
      <c r="AT798" t="str">
        <f t="shared" si="507"/>
        <v>516007.2684,3329505.344</v>
      </c>
      <c r="AV798">
        <f t="shared" si="506"/>
        <v>431.4</v>
      </c>
      <c r="AX798" t="str">
        <f t="shared" si="508"/>
        <v>pl 61329.8476276804,279 61329.8476276804,400 </v>
      </c>
      <c r="AY798" t="str">
        <f t="shared" si="509"/>
        <v>61329.8476276804,427.55</v>
      </c>
      <c r="AZ798" t="str">
        <f t="shared" si="510"/>
        <v>61329.8476276804,430.227</v>
      </c>
      <c r="BA798" t="str">
        <f t="shared" si="511"/>
        <v>61329.8476276804,431.4</v>
      </c>
      <c r="BB798" t="str">
        <f t="shared" si="512"/>
        <v>-text 61328.8476276804,337 3.5 90 427.550 </v>
      </c>
      <c r="BC798" t="str">
        <f t="shared" si="513"/>
        <v>-text 61328.8476276804,320 3.5 90 431.400 </v>
      </c>
      <c r="BD798" t="str">
        <f t="shared" si="514"/>
        <v>-text 61328.8476276804,306 3.5 90 430.227 </v>
      </c>
      <c r="BE798" t="str">
        <f t="shared" si="515"/>
        <v>-text 61328.8476276804,352 3.5 90 ZG122+659.695 </v>
      </c>
      <c r="BF798" t="str">
        <f t="shared" si="516"/>
        <v>-text 61328.8476276804,280 3.5 90 IP425 </v>
      </c>
      <c r="BG798" t="str">
        <f t="shared" si="517"/>
        <v>-TEXT 61330.8476276804,300 3.5 0 R=40</v>
      </c>
      <c r="BH798" t="str">
        <f t="shared" si="518"/>
        <v>-TEXT 61330.8476276804,295 3.5 0 α=52.03° </v>
      </c>
      <c r="BI798" t="str">
        <f t="shared" si="519"/>
        <v>-TEXT 61330.8476276804,290 3.5 0 T=19.52 </v>
      </c>
      <c r="BJ798" t="str">
        <f t="shared" si="520"/>
        <v>-TEXT 61330.8476276804,285 3.5 0 S=36.33 </v>
      </c>
    </row>
    <row r="799" spans="1:62">
      <c r="A799">
        <v>0</v>
      </c>
      <c r="B799">
        <v>798</v>
      </c>
      <c r="C799" t="s">
        <v>761</v>
      </c>
      <c r="D799">
        <v>516075.8947</v>
      </c>
      <c r="E799">
        <v>3329433.2794</v>
      </c>
      <c r="F799">
        <v>40</v>
      </c>
      <c r="G799">
        <f t="shared" si="544"/>
        <v>26.116</v>
      </c>
      <c r="H799">
        <f t="shared" si="545"/>
        <v>9.27738747735662</v>
      </c>
      <c r="I799">
        <f t="shared" si="546"/>
        <v>18.2324074980336</v>
      </c>
      <c r="J799">
        <f t="shared" si="547"/>
        <v>99.5131932201618</v>
      </c>
      <c r="K799" s="40">
        <f t="shared" si="548"/>
        <v>122748.570356402</v>
      </c>
      <c r="L799" s="40">
        <f t="shared" si="549"/>
        <v>122757.686560151</v>
      </c>
      <c r="M799" s="40">
        <f t="shared" si="550"/>
        <v>122766.8027639</v>
      </c>
      <c r="N799">
        <v>430.208</v>
      </c>
      <c r="O799">
        <v>427.531</v>
      </c>
      <c r="P799">
        <v>0.001</v>
      </c>
      <c r="Q799" s="39">
        <f t="shared" si="551"/>
        <v>516069.496826958</v>
      </c>
      <c r="R799" s="39">
        <f t="shared" si="552"/>
        <v>3329439.99781789</v>
      </c>
      <c r="S799" s="39">
        <f t="shared" si="553"/>
        <v>516074.980245056</v>
      </c>
      <c r="T799" s="39">
        <f t="shared" si="554"/>
        <v>3329432.73983744</v>
      </c>
      <c r="U799" s="39">
        <f t="shared" si="555"/>
        <v>516078.682045492</v>
      </c>
      <c r="V799" s="39">
        <f t="shared" si="556"/>
        <v>3329424.43063605</v>
      </c>
      <c r="AI799" t="str">
        <f t="array" ref="AI799">IFERROR(INDEX($L$2:$L$189,SMALL(IF(ISNUMBER(FIND($AH$2,$C$2:$C$189)),ROW($2:$189)-1,4^8),ROW(A798)))&amp;"","")</f>
        <v/>
      </c>
      <c r="AS799" t="str">
        <f>"-text"&amp;" "&amp;D799&amp;","&amp;E799&amp;" "&amp;"10"&amp;" "&amp;"0"&amp;" "&amp;C799</f>
        <v>-text 516075.8947,3329433.2794 10 0 IP426</v>
      </c>
      <c r="AT799" t="str">
        <f t="shared" si="507"/>
        <v>516075.8947,3329433.2794</v>
      </c>
      <c r="AV799">
        <f t="shared" si="506"/>
        <v>431.381</v>
      </c>
      <c r="AX799" t="str">
        <f t="shared" si="508"/>
        <v>pl 61378.8432800754,279 61378.8432800754,400 </v>
      </c>
      <c r="AY799" t="str">
        <f t="shared" si="509"/>
        <v>61378.8432800754,427.531</v>
      </c>
      <c r="AZ799" t="str">
        <f t="shared" si="510"/>
        <v>61378.8432800754,430.208</v>
      </c>
      <c r="BA799" t="str">
        <f t="shared" si="511"/>
        <v>61378.8432800754,431.381</v>
      </c>
      <c r="BB799" t="str">
        <f t="shared" si="512"/>
        <v>-text 61377.8432800754,337 3.5 90 427.531 </v>
      </c>
      <c r="BC799" t="str">
        <f t="shared" si="513"/>
        <v>-text 61377.8432800754,320 3.5 90 431.381 </v>
      </c>
      <c r="BD799" t="str">
        <f t="shared" si="514"/>
        <v>-text 61377.8432800754,306 3.5 90 430.208 </v>
      </c>
      <c r="BE799" t="str">
        <f t="shared" si="515"/>
        <v>-text 61377.8432800754,352 3.5 90 ZG122+757.687 </v>
      </c>
      <c r="BF799" t="str">
        <f t="shared" si="516"/>
        <v>-text 61377.8432800754,280 3.5 90 IP426 </v>
      </c>
      <c r="BG799" t="str">
        <f t="shared" si="517"/>
        <v>-TEXT 61379.8432800754,300 3.5 0 R=40</v>
      </c>
      <c r="BH799" t="str">
        <f t="shared" si="518"/>
        <v>-TEXT 61379.8432800754,295 3.5 0 α=26.12° </v>
      </c>
      <c r="BI799" t="str">
        <f t="shared" si="519"/>
        <v>-TEXT 61379.8432800754,290 3.5 0 T=9.28 </v>
      </c>
      <c r="BJ799" t="str">
        <f t="shared" si="520"/>
        <v>-TEXT 61379.8432800754,285 3.5 0 S=18.23 </v>
      </c>
    </row>
    <row r="800" spans="1:62">
      <c r="A800">
        <v>0</v>
      </c>
      <c r="B800">
        <v>799</v>
      </c>
      <c r="C800" t="s">
        <v>762</v>
      </c>
      <c r="D800">
        <v>516088.5868</v>
      </c>
      <c r="E800">
        <v>3329392.9868</v>
      </c>
      <c r="F800">
        <v>40</v>
      </c>
      <c r="G800">
        <f t="shared" si="544"/>
        <v>30.894</v>
      </c>
      <c r="H800">
        <f t="shared" si="545"/>
        <v>11.053145285437</v>
      </c>
      <c r="I800">
        <f t="shared" si="546"/>
        <v>21.5680807644451</v>
      </c>
      <c r="J800">
        <f t="shared" si="547"/>
        <v>42.2443252657022</v>
      </c>
      <c r="K800" s="40">
        <f t="shared" si="548"/>
        <v>122788.716556403</v>
      </c>
      <c r="L800" s="40">
        <f t="shared" si="549"/>
        <v>122799.500596785</v>
      </c>
      <c r="M800" s="40">
        <f t="shared" si="550"/>
        <v>122810.284637167</v>
      </c>
      <c r="N800">
        <v>430.199</v>
      </c>
      <c r="O800">
        <v>427.522</v>
      </c>
      <c r="P800">
        <v>0.001</v>
      </c>
      <c r="Q800" s="39">
        <f t="shared" si="551"/>
        <v>516085.265936798</v>
      </c>
      <c r="R800" s="39">
        <f t="shared" si="552"/>
        <v>3329403.52928018</v>
      </c>
      <c r="S800" s="39">
        <f t="shared" si="553"/>
        <v>516089.844982445</v>
      </c>
      <c r="T800" s="39">
        <f t="shared" si="554"/>
        <v>3329393.80172505</v>
      </c>
      <c r="U800" s="39">
        <f t="shared" si="555"/>
        <v>516096.849494946</v>
      </c>
      <c r="V800" s="39">
        <f t="shared" si="556"/>
        <v>3329385.64514535</v>
      </c>
      <c r="AI800" t="str">
        <f t="array" ref="AI800">IFERROR(INDEX($L$2:$L$189,SMALL(IF(ISNUMBER(FIND($AH$2,$C$2:$C$189)),ROW($2:$189)-1,4^8),ROW(A799)))&amp;"","")</f>
        <v/>
      </c>
      <c r="AS800" t="str">
        <f>"-text"&amp;" "&amp;D800&amp;","&amp;E800&amp;" "&amp;"10"&amp;" "&amp;"0"&amp;" "&amp;C800</f>
        <v>-text 516088.5868,3329392.9868 10 0 IP427</v>
      </c>
      <c r="AT800" t="str">
        <f t="shared" si="507"/>
        <v>516088.5868,3329392.9868</v>
      </c>
      <c r="AV800">
        <f t="shared" si="506"/>
        <v>431.372</v>
      </c>
      <c r="AX800" t="str">
        <f t="shared" si="508"/>
        <v>pl 61399.7502983925,279 61399.7502983925,400 </v>
      </c>
      <c r="AY800" t="str">
        <f t="shared" si="509"/>
        <v>61399.7502983925,427.522</v>
      </c>
      <c r="AZ800" t="str">
        <f t="shared" si="510"/>
        <v>61399.7502983925,430.199</v>
      </c>
      <c r="BA800" t="str">
        <f t="shared" si="511"/>
        <v>61399.7502983925,431.372</v>
      </c>
      <c r="BB800" t="str">
        <f t="shared" si="512"/>
        <v>-text 61398.7502983925,337 3.5 90 427.522 </v>
      </c>
      <c r="BC800" t="str">
        <f t="shared" si="513"/>
        <v>-text 61398.7502983925,320 3.5 90 431.372 </v>
      </c>
      <c r="BD800" t="str">
        <f t="shared" si="514"/>
        <v>-text 61398.7502983925,306 3.5 90 430.199 </v>
      </c>
      <c r="BE800" t="str">
        <f t="shared" si="515"/>
        <v>-text 61398.7502983925,352 3.5 90 ZG122+799.501 </v>
      </c>
      <c r="BF800" t="str">
        <f t="shared" si="516"/>
        <v>-text 61398.7502983925,280 3.5 90 IP427 </v>
      </c>
      <c r="BG800" t="str">
        <f t="shared" si="517"/>
        <v>-TEXT 61400.7502983925,300 3.5 0 R=40</v>
      </c>
      <c r="BH800" t="str">
        <f t="shared" si="518"/>
        <v>-TEXT 61400.7502983925,295 3.5 0 α=30.89° </v>
      </c>
      <c r="BI800" t="str">
        <f t="shared" si="519"/>
        <v>-TEXT 61400.7502983925,290 3.5 0 T=11.05 </v>
      </c>
      <c r="BJ800" t="str">
        <f t="shared" si="520"/>
        <v>-TEXT 61400.7502983925,285 3.5 0 S=21.57 </v>
      </c>
    </row>
    <row r="801" spans="1:62">
      <c r="A801">
        <v>2</v>
      </c>
      <c r="B801">
        <v>800</v>
      </c>
      <c r="C801" t="str">
        <f>Sheet1!C746</f>
        <v>马尾坡渡槽进</v>
      </c>
      <c r="D801">
        <v>516105.0702</v>
      </c>
      <c r="E801">
        <v>3329378.3408</v>
      </c>
      <c r="G801">
        <f t="shared" si="544"/>
        <v>0</v>
      </c>
      <c r="H801">
        <f t="shared" si="545"/>
        <v>0</v>
      </c>
      <c r="I801">
        <f t="shared" si="546"/>
        <v>0</v>
      </c>
      <c r="J801">
        <f t="shared" si="547"/>
        <v>22.0501199898372</v>
      </c>
      <c r="K801" s="40">
        <f t="shared" si="548"/>
        <v>122821.281611872</v>
      </c>
      <c r="L801" s="40">
        <f t="shared" si="549"/>
        <v>122821.281611872</v>
      </c>
      <c r="M801" s="40">
        <f t="shared" si="550"/>
        <v>122821.281611872</v>
      </c>
      <c r="N801">
        <v>430.11</v>
      </c>
      <c r="O801">
        <v>427.416</v>
      </c>
      <c r="P801">
        <v>0</v>
      </c>
      <c r="Q801" s="39">
        <f t="shared" si="551"/>
        <v>516105.0702</v>
      </c>
      <c r="R801" s="39">
        <f t="shared" si="552"/>
        <v>3329378.3408</v>
      </c>
      <c r="S801" s="39" t="str">
        <f t="shared" si="553"/>
        <v> </v>
      </c>
      <c r="T801" s="39" t="str">
        <f t="shared" si="554"/>
        <v> </v>
      </c>
      <c r="U801" s="39" t="str">
        <f t="shared" si="555"/>
        <v> </v>
      </c>
      <c r="V801" s="39" t="str">
        <f t="shared" si="556"/>
        <v> </v>
      </c>
      <c r="AI801" t="str">
        <f t="array" ref="AI801">IFERROR(INDEX($L$2:$L$189,SMALL(IF(ISNUMBER(FIND($AH$2,$C$2:$C$189)),ROW($2:$189)-1,4^8),ROW(A800)))&amp;"","")</f>
        <v/>
      </c>
      <c r="AT801" t="str">
        <f t="shared" si="507"/>
        <v>516105.0702,3329378.3408</v>
      </c>
      <c r="AV801">
        <f t="shared" si="506"/>
        <v>430.666</v>
      </c>
      <c r="AX801" t="str">
        <f t="shared" si="508"/>
        <v>pl 61410.6408059358,279 61410.6408059358,400 </v>
      </c>
      <c r="AY801" t="str">
        <f t="shared" si="509"/>
        <v>61410.6408059358,427.416</v>
      </c>
      <c r="AZ801" t="str">
        <f t="shared" si="510"/>
        <v>61410.6408059358,430.11</v>
      </c>
      <c r="BA801" t="str">
        <f t="shared" si="511"/>
        <v>61410.6408059358,430.666</v>
      </c>
      <c r="BB801" t="str">
        <f t="shared" si="512"/>
        <v>-text 61409.6408059358,337 3.5 90 427.416 </v>
      </c>
      <c r="BC801" t="str">
        <f t="shared" si="513"/>
        <v>-text 61409.6408059358,320 3.5 90 430.666 </v>
      </c>
      <c r="BD801" t="str">
        <f t="shared" si="514"/>
        <v>-text 61409.6408059358,306 3.5 90 430.110 </v>
      </c>
      <c r="BE801" t="str">
        <f t="shared" si="515"/>
        <v>-text 61409.6408059358,352 3.5 90 ZG122+821.282 </v>
      </c>
      <c r="BF801" t="str">
        <f t="shared" si="516"/>
        <v>-text 61409.6408059358,280 3.5 90 马尾坡渡槽进 </v>
      </c>
      <c r="BG801" t="str">
        <f t="shared" si="517"/>
        <v/>
      </c>
      <c r="BH801" t="str">
        <f t="shared" si="518"/>
        <v> </v>
      </c>
      <c r="BI801" t="str">
        <f t="shared" si="519"/>
        <v> </v>
      </c>
      <c r="BJ801" t="str">
        <f t="shared" si="520"/>
        <v> </v>
      </c>
    </row>
    <row r="802" spans="1:62">
      <c r="A802">
        <v>2</v>
      </c>
      <c r="B802">
        <v>801</v>
      </c>
      <c r="C802" t="str">
        <f>Sheet1!C747</f>
        <v>马尾坡渡槽出</v>
      </c>
      <c r="D802">
        <v>516279.998</v>
      </c>
      <c r="E802">
        <v>3329222.9115</v>
      </c>
      <c r="G802">
        <f t="shared" si="544"/>
        <v>0</v>
      </c>
      <c r="H802">
        <f t="shared" si="545"/>
        <v>0</v>
      </c>
      <c r="I802">
        <f t="shared" si="546"/>
        <v>0</v>
      </c>
      <c r="J802">
        <f t="shared" si="547"/>
        <v>234.00427883122</v>
      </c>
      <c r="K802" s="40">
        <f t="shared" si="548"/>
        <v>123055.285890703</v>
      </c>
      <c r="L802" s="40">
        <f t="shared" si="549"/>
        <v>123055.285890703</v>
      </c>
      <c r="M802" s="40">
        <f t="shared" si="550"/>
        <v>123055.285890703</v>
      </c>
      <c r="N802">
        <v>430.003</v>
      </c>
      <c r="O802">
        <v>427.309</v>
      </c>
      <c r="P802">
        <v>0</v>
      </c>
      <c r="Q802" s="39">
        <f t="shared" si="551"/>
        <v>516279.998</v>
      </c>
      <c r="R802" s="39">
        <f t="shared" si="552"/>
        <v>3329222.9115</v>
      </c>
      <c r="S802" s="39" t="str">
        <f t="shared" si="553"/>
        <v> </v>
      </c>
      <c r="T802" s="39" t="str">
        <f t="shared" si="554"/>
        <v> </v>
      </c>
      <c r="U802" s="39" t="str">
        <f t="shared" si="555"/>
        <v> </v>
      </c>
      <c r="V802" s="39" t="str">
        <f t="shared" si="556"/>
        <v> </v>
      </c>
      <c r="AI802" t="str">
        <f t="array" ref="AI802">IFERROR(INDEX($L$2:$L$189,SMALL(IF(ISNUMBER(FIND($AH$2,$C$2:$C$189)),ROW($2:$189)-1,4^8),ROW(A801)))&amp;"","")</f>
        <v/>
      </c>
      <c r="AT802" t="str">
        <f t="shared" si="507"/>
        <v>516279.998,3329222.9115</v>
      </c>
      <c r="AV802">
        <f t="shared" si="506"/>
        <v>430.559</v>
      </c>
      <c r="AX802" t="str">
        <f t="shared" si="508"/>
        <v>pl 61527.6429453514,279 61527.6429453514,400 </v>
      </c>
      <c r="AY802" t="str">
        <f t="shared" si="509"/>
        <v>61527.6429453514,427.309</v>
      </c>
      <c r="AZ802" t="str">
        <f t="shared" si="510"/>
        <v>61527.6429453514,430.003</v>
      </c>
      <c r="BA802" t="str">
        <f t="shared" si="511"/>
        <v>61527.6429453514,430.559</v>
      </c>
      <c r="BB802" t="str">
        <f t="shared" si="512"/>
        <v>-text 61526.6429453514,337 3.5 90 427.309 </v>
      </c>
      <c r="BC802" t="str">
        <f t="shared" si="513"/>
        <v>-text 61526.6429453514,320 3.5 90 430.559 </v>
      </c>
      <c r="BD802" t="str">
        <f t="shared" si="514"/>
        <v>-text 61526.6429453514,306 3.5 90 430.003 </v>
      </c>
      <c r="BE802" t="str">
        <f t="shared" si="515"/>
        <v>-text 61526.6429453514,352 3.5 90 ZG123+055.286 </v>
      </c>
      <c r="BF802" t="str">
        <f t="shared" si="516"/>
        <v>-text 61526.6429453514,280 3.5 90 马尾坡渡槽出 </v>
      </c>
      <c r="BG802" t="str">
        <f t="shared" si="517"/>
        <v/>
      </c>
      <c r="BH802" t="str">
        <f t="shared" si="518"/>
        <v> </v>
      </c>
      <c r="BI802" t="str">
        <f t="shared" si="519"/>
        <v> </v>
      </c>
      <c r="BJ802" t="str">
        <f t="shared" si="520"/>
        <v> </v>
      </c>
    </row>
    <row r="803" spans="1:62">
      <c r="A803">
        <v>1</v>
      </c>
      <c r="B803">
        <v>802</v>
      </c>
      <c r="C803" t="str">
        <f>Sheet1!C748</f>
        <v>蒋家湾隧进</v>
      </c>
      <c r="D803">
        <v>516315.153</v>
      </c>
      <c r="E803">
        <v>3329191.6751</v>
      </c>
      <c r="G803">
        <f t="shared" si="544"/>
        <v>0</v>
      </c>
      <c r="H803">
        <f t="shared" si="545"/>
        <v>0</v>
      </c>
      <c r="I803">
        <f t="shared" si="546"/>
        <v>0</v>
      </c>
      <c r="J803">
        <f t="shared" si="547"/>
        <v>47.0275101397747</v>
      </c>
      <c r="K803" s="40">
        <f t="shared" si="548"/>
        <v>123102.313400843</v>
      </c>
      <c r="L803" s="40">
        <f t="shared" si="549"/>
        <v>123102.313400843</v>
      </c>
      <c r="M803" s="40">
        <f t="shared" si="550"/>
        <v>123102.313400843</v>
      </c>
      <c r="N803">
        <v>429.995</v>
      </c>
      <c r="O803">
        <v>427.311</v>
      </c>
      <c r="P803">
        <v>0</v>
      </c>
      <c r="Q803" s="39">
        <f t="shared" si="551"/>
        <v>516315.153</v>
      </c>
      <c r="R803" s="39">
        <f t="shared" si="552"/>
        <v>3329191.6751</v>
      </c>
      <c r="S803" s="39" t="str">
        <f t="shared" si="553"/>
        <v> </v>
      </c>
      <c r="T803" s="39" t="str">
        <f t="shared" si="554"/>
        <v> </v>
      </c>
      <c r="U803" s="39" t="str">
        <f t="shared" si="555"/>
        <v> </v>
      </c>
      <c r="V803" s="39" t="str">
        <f t="shared" si="556"/>
        <v> </v>
      </c>
      <c r="AI803" t="str">
        <f t="array" ref="AI803">IFERROR(INDEX($L$2:$L$189,SMALL(IF(ISNUMBER(FIND($AH$2,$C$2:$C$189)),ROW($2:$189)-1,4^8),ROW(A802)))&amp;"","")</f>
        <v/>
      </c>
      <c r="AT803" t="str">
        <f t="shared" si="507"/>
        <v>516315.153,3329191.6751</v>
      </c>
      <c r="AV803">
        <f t="shared" si="506"/>
        <v>430.811</v>
      </c>
      <c r="AX803" t="str">
        <f t="shared" si="508"/>
        <v>pl 61551.1567004213,279 61551.1567004213,400 </v>
      </c>
      <c r="AY803" t="str">
        <f t="shared" si="509"/>
        <v>61551.1567004213,427.311</v>
      </c>
      <c r="AZ803" t="str">
        <f t="shared" si="510"/>
        <v>61551.1567004213,429.995</v>
      </c>
      <c r="BA803" t="str">
        <f t="shared" si="511"/>
        <v>61551.1567004213,430.811</v>
      </c>
      <c r="BB803" t="str">
        <f t="shared" si="512"/>
        <v>-text 61550.1567004213,337 3.5 90 427.311 </v>
      </c>
      <c r="BC803" t="str">
        <f t="shared" si="513"/>
        <v>-text 61550.1567004213,320 3.5 90 430.811 </v>
      </c>
      <c r="BD803" t="str">
        <f t="shared" si="514"/>
        <v>-text 61550.1567004213,306 3.5 90 429.995 </v>
      </c>
      <c r="BE803" t="str">
        <f t="shared" si="515"/>
        <v>-text 61550.1567004213,352 3.5 90 ZG123+102.313 </v>
      </c>
      <c r="BF803" t="str">
        <f t="shared" si="516"/>
        <v>-text 61550.1567004213,280 3.5 90 蒋家湾隧进 </v>
      </c>
      <c r="BG803" t="str">
        <f t="shared" si="517"/>
        <v/>
      </c>
      <c r="BH803" t="str">
        <f t="shared" si="518"/>
        <v> </v>
      </c>
      <c r="BI803" t="str">
        <f t="shared" si="519"/>
        <v> </v>
      </c>
      <c r="BJ803" t="str">
        <f t="shared" si="520"/>
        <v> </v>
      </c>
    </row>
    <row r="804" spans="1:62">
      <c r="A804">
        <v>1</v>
      </c>
      <c r="B804">
        <v>803</v>
      </c>
      <c r="C804" t="str">
        <f>Sheet1!C749</f>
        <v>蒋家湾隧出</v>
      </c>
      <c r="D804">
        <v>516467.2662</v>
      </c>
      <c r="E804">
        <v>3329056.5174</v>
      </c>
      <c r="G804">
        <f t="shared" si="544"/>
        <v>0</v>
      </c>
      <c r="H804">
        <f t="shared" si="545"/>
        <v>0</v>
      </c>
      <c r="I804">
        <f t="shared" si="546"/>
        <v>0</v>
      </c>
      <c r="J804">
        <f t="shared" si="547"/>
        <v>203.484715601998</v>
      </c>
      <c r="K804" s="40">
        <f t="shared" si="548"/>
        <v>123305.798116445</v>
      </c>
      <c r="L804" s="40">
        <f t="shared" si="549"/>
        <v>123305.798116445</v>
      </c>
      <c r="M804" s="40">
        <f t="shared" si="550"/>
        <v>123305.798116445</v>
      </c>
      <c r="N804">
        <v>429.923</v>
      </c>
      <c r="O804">
        <v>427.239</v>
      </c>
      <c r="P804">
        <v>0</v>
      </c>
      <c r="Q804" s="39">
        <f t="shared" si="551"/>
        <v>516467.2662</v>
      </c>
      <c r="R804" s="39">
        <f t="shared" si="552"/>
        <v>3329056.5174</v>
      </c>
      <c r="S804" s="39" t="str">
        <f t="shared" si="553"/>
        <v> </v>
      </c>
      <c r="T804" s="39" t="str">
        <f t="shared" si="554"/>
        <v> </v>
      </c>
      <c r="U804" s="39" t="str">
        <f t="shared" si="555"/>
        <v> </v>
      </c>
      <c r="V804" s="39" t="str">
        <f t="shared" si="556"/>
        <v> </v>
      </c>
      <c r="AI804" t="str">
        <f t="array" ref="AI804">IFERROR(INDEX($L$2:$L$189,SMALL(IF(ISNUMBER(FIND($AH$2,$C$2:$C$189)),ROW($2:$189)-1,4^8),ROW(A803)))&amp;"","")</f>
        <v/>
      </c>
      <c r="AT804" t="str">
        <f t="shared" si="507"/>
        <v>516467.2662,3329056.5174</v>
      </c>
      <c r="AV804">
        <f t="shared" si="506"/>
        <v>430.739</v>
      </c>
      <c r="AX804" t="str">
        <f t="shared" si="508"/>
        <v>pl 61652.8990582223,279 61652.8990582223,400 </v>
      </c>
      <c r="AY804" t="str">
        <f t="shared" si="509"/>
        <v>61652.8990582223,427.239</v>
      </c>
      <c r="AZ804" t="str">
        <f t="shared" si="510"/>
        <v>61652.8990582223,429.923</v>
      </c>
      <c r="BA804" t="str">
        <f t="shared" si="511"/>
        <v>61652.8990582223,430.739</v>
      </c>
      <c r="BB804" t="str">
        <f t="shared" si="512"/>
        <v>-text 61651.8990582223,337 3.5 90 427.239 </v>
      </c>
      <c r="BC804" t="str">
        <f t="shared" si="513"/>
        <v>-text 61651.8990582223,320 3.5 90 430.739 </v>
      </c>
      <c r="BD804" t="str">
        <f t="shared" si="514"/>
        <v>-text 61651.8990582223,306 3.5 90 429.923 </v>
      </c>
      <c r="BE804" t="str">
        <f t="shared" si="515"/>
        <v>-text 61651.8990582223,352 3.5 90 ZG123+305.798 </v>
      </c>
      <c r="BF804" t="str">
        <f t="shared" si="516"/>
        <v>-text 61651.8990582223,280 3.5 90 蒋家湾隧出 </v>
      </c>
      <c r="BG804" t="str">
        <f t="shared" si="517"/>
        <v/>
      </c>
      <c r="BH804" t="str">
        <f t="shared" si="518"/>
        <v> </v>
      </c>
      <c r="BI804" t="str">
        <f t="shared" si="519"/>
        <v> </v>
      </c>
      <c r="BJ804" t="str">
        <f t="shared" si="520"/>
        <v> </v>
      </c>
    </row>
    <row r="805" spans="1:62">
      <c r="A805">
        <v>0</v>
      </c>
      <c r="B805">
        <v>804</v>
      </c>
      <c r="C805" t="s">
        <v>763</v>
      </c>
      <c r="D805">
        <v>516487.6376</v>
      </c>
      <c r="E805">
        <v>3329038.4166</v>
      </c>
      <c r="G805">
        <f t="shared" si="544"/>
        <v>0</v>
      </c>
      <c r="H805">
        <f t="shared" si="545"/>
        <v>0</v>
      </c>
      <c r="I805">
        <f t="shared" si="546"/>
        <v>0</v>
      </c>
      <c r="J805">
        <f t="shared" si="547"/>
        <v>27.2512916865979</v>
      </c>
      <c r="K805" s="40">
        <f t="shared" si="548"/>
        <v>123333.049408131</v>
      </c>
      <c r="L805" s="40">
        <f t="shared" si="549"/>
        <v>123333.049408131</v>
      </c>
      <c r="M805" s="40">
        <f t="shared" si="550"/>
        <v>123333.049408131</v>
      </c>
      <c r="N805">
        <v>429.942</v>
      </c>
      <c r="O805">
        <v>427.265</v>
      </c>
      <c r="P805">
        <v>0</v>
      </c>
      <c r="Q805" s="39">
        <f t="shared" si="551"/>
        <v>516487.6376</v>
      </c>
      <c r="R805" s="39">
        <f t="shared" si="552"/>
        <v>3329038.4166</v>
      </c>
      <c r="S805" s="39" t="str">
        <f t="shared" si="553"/>
        <v> </v>
      </c>
      <c r="T805" s="39" t="str">
        <f t="shared" si="554"/>
        <v> </v>
      </c>
      <c r="U805" s="39" t="str">
        <f t="shared" si="555"/>
        <v> </v>
      </c>
      <c r="V805" s="39" t="str">
        <f t="shared" si="556"/>
        <v> </v>
      </c>
      <c r="AI805" t="str">
        <f t="array" ref="AI805">IFERROR(INDEX($L$2:$L$189,SMALL(IF(ISNUMBER(FIND($AH$2,$C$2:$C$189)),ROW($2:$189)-1,4^8),ROW(A804)))&amp;"","")</f>
        <v/>
      </c>
      <c r="AS805" t="str">
        <f>"-text"&amp;" "&amp;D805&amp;","&amp;E805&amp;" "&amp;"10"&amp;" "&amp;"0"&amp;" "&amp;C805</f>
        <v>-text 516487.6376,3329038.4166 10 0 IP428</v>
      </c>
      <c r="AT805" t="str">
        <f t="shared" si="507"/>
        <v>516487.6376,3329038.4166</v>
      </c>
      <c r="AV805">
        <f t="shared" si="506"/>
        <v>431.115</v>
      </c>
      <c r="AX805" t="str">
        <f t="shared" si="508"/>
        <v>pl 61666.5247040656,279 61666.5247040656,400 </v>
      </c>
      <c r="AY805" t="str">
        <f t="shared" si="509"/>
        <v>61666.5247040656,427.265</v>
      </c>
      <c r="AZ805" t="str">
        <f t="shared" si="510"/>
        <v>61666.5247040656,429.942</v>
      </c>
      <c r="BA805" t="str">
        <f t="shared" si="511"/>
        <v>61666.5247040656,431.115</v>
      </c>
      <c r="BB805" t="str">
        <f t="shared" si="512"/>
        <v>-text 61665.5247040656,337 3.5 90 427.265 </v>
      </c>
      <c r="BC805" t="str">
        <f t="shared" si="513"/>
        <v>-text 61665.5247040656,320 3.5 90 431.115 </v>
      </c>
      <c r="BD805" t="str">
        <f t="shared" si="514"/>
        <v>-text 61665.5247040656,306 3.5 90 429.942 </v>
      </c>
      <c r="BE805" t="str">
        <f t="shared" si="515"/>
        <v>-text 61665.5247040656,352 3.5 90 ZG123+333.049 </v>
      </c>
      <c r="BF805" t="str">
        <f t="shared" si="516"/>
        <v>-text 61665.5247040656,280 3.5 90 IP428 </v>
      </c>
      <c r="BG805" t="str">
        <f t="shared" si="517"/>
        <v/>
      </c>
      <c r="BH805" t="str">
        <f t="shared" si="518"/>
        <v> </v>
      </c>
      <c r="BI805" t="str">
        <f t="shared" si="519"/>
        <v> </v>
      </c>
      <c r="BJ805" t="str">
        <f t="shared" si="520"/>
        <v> </v>
      </c>
    </row>
    <row r="806" spans="1:62">
      <c r="D806">
        <v>516487.6376</v>
      </c>
      <c r="E806">
        <v>3329038.4166</v>
      </c>
      <c r="K806" s="66"/>
      <c r="L806" s="66"/>
      <c r="M806" s="66"/>
      <c r="Q806" s="39"/>
      <c r="R806" s="39"/>
      <c r="S806" s="39"/>
      <c r="T806" s="39"/>
      <c r="U806" s="39"/>
      <c r="V806" s="39"/>
      <c r="AI806" t="str">
        <f t="array" ref="AI806">IFERROR(INDEX($L$2:$L$189,SMALL(IF(ISNUMBER(FIND($AH$2,$C$2:$C$189)),ROW($2:$189)-1,4^8),ROW(A805)))&amp;"","")</f>
        <v/>
      </c>
    </row>
    <row r="807" spans="1:62">
      <c r="AI807" t="str">
        <f t="array" ref="AI807">IFERROR(INDEX($L$2:$L$189,SMALL(IF(ISNUMBER(FIND($AH$2,$C$2:$C$189)),ROW($2:$189)-1,4^8),ROW(A806)))&amp;"","")</f>
        <v/>
      </c>
    </row>
    <row r="808" spans="1:62">
      <c r="AI808" t="str">
        <f t="array" ref="AI808">IFERROR(INDEX($L$2:$L$189,SMALL(IF(ISNUMBER(FIND($AH$2,$C$2:$C$189)),ROW($2:$189)-1,4^8),ROW(A807)))&amp;"","")</f>
        <v/>
      </c>
    </row>
    <row r="809" spans="1:62">
      <c r="AI809" t="str">
        <f t="array" ref="AI809">IFERROR(INDEX($L$2:$L$189,SMALL(IF(ISNUMBER(FIND($AH$2,$C$2:$C$189)),ROW($2:$189)-1,4^8),ROW(A808)))&amp;"","")</f>
        <v/>
      </c>
    </row>
    <row r="810" spans="1:62">
      <c r="AI810" t="str">
        <f t="array" ref="AI810">IFERROR(INDEX($L$2:$L$189,SMALL(IF(ISNUMBER(FIND($AH$2,$C$2:$C$189)),ROW($2:$189)-1,4^8),ROW(A809)))&amp;"","")</f>
        <v/>
      </c>
    </row>
    <row r="811" spans="1:62">
      <c r="AI811" t="str">
        <f t="array" ref="AI811">IFERROR(INDEX($L$2:$L$189,SMALL(IF(ISNUMBER(FIND($AH$2,$C$2:$C$189)),ROW($2:$189)-1,4^8),ROW(A810)))&amp;"","")</f>
        <v/>
      </c>
    </row>
    <row r="812" spans="1:62">
      <c r="AI812" t="str">
        <f t="array" ref="AI812">IFERROR(INDEX($L$2:$L$189,SMALL(IF(ISNUMBER(FIND($AH$2,$C$2:$C$189)),ROW($2:$189)-1,4^8),ROW(A811)))&amp;"","")</f>
        <v/>
      </c>
    </row>
    <row r="813" spans="1:62">
      <c r="AI813" t="str">
        <f t="array" ref="AI813">IFERROR(INDEX($L$2:$L$189,SMALL(IF(ISNUMBER(FIND($AH$2,$C$2:$C$189)),ROW($2:$189)-1,4^8),ROW(A812)))&amp;"","")</f>
        <v/>
      </c>
    </row>
    <row r="814" spans="1:62">
      <c r="AI814" t="str">
        <f t="array" ref="AI814">IFERROR(INDEX($L$2:$L$189,SMALL(IF(ISNUMBER(FIND($AH$2,$C$2:$C$189)),ROW($2:$189)-1,4^8),ROW(A813)))&amp;"","")</f>
        <v/>
      </c>
    </row>
    <row r="815" spans="1:62">
      <c r="AI815" t="str">
        <f t="array" ref="AI815">IFERROR(INDEX($L$2:$L$189,SMALL(IF(ISNUMBER(FIND($AH$2,$C$2:$C$189)),ROW($2:$189)-1,4^8),ROW(A814)))&amp;"","")</f>
        <v/>
      </c>
    </row>
    <row r="816" spans="1:62">
      <c r="AI816" t="str">
        <f t="array" ref="AI816">IFERROR(INDEX($L$2:$L$189,SMALL(IF(ISNUMBER(FIND($AH$2,$C$2:$C$189)),ROW($2:$189)-1,4^8),ROW(A815)))&amp;"","")</f>
        <v/>
      </c>
    </row>
    <row r="817" spans="35:35">
      <c r="AI817" t="str">
        <f t="array" ref="AI817">IFERROR(INDEX($L$2:$L$189,SMALL(IF(ISNUMBER(FIND($AH$2,$C$2:$C$189)),ROW($2:$189)-1,4^8),ROW(A816)))&amp;"","")</f>
        <v/>
      </c>
    </row>
    <row r="818" spans="35:35">
      <c r="AI818" t="str">
        <f t="array" ref="AI818">IFERROR(INDEX($L$2:$L$189,SMALL(IF(ISNUMBER(FIND($AH$2,$C$2:$C$189)),ROW($2:$189)-1,4^8),ROW(A817)))&amp;"","")</f>
        <v/>
      </c>
    </row>
    <row r="819" spans="35:35">
      <c r="AI819" t="str">
        <f t="array" ref="AI819">IFERROR(INDEX($L$2:$L$189,SMALL(IF(ISNUMBER(FIND($AH$2,$C$2:$C$189)),ROW($2:$189)-1,4^8),ROW(A818)))&amp;"","")</f>
        <v/>
      </c>
    </row>
    <row r="820" spans="35:35">
      <c r="AI820" t="str">
        <f t="array" ref="AI820">IFERROR(INDEX($L$2:$L$189,SMALL(IF(ISNUMBER(FIND($AH$2,$C$2:$C$189)),ROW($2:$189)-1,4^8),ROW(A819)))&amp;"","")</f>
        <v/>
      </c>
    </row>
    <row r="821" spans="35:35">
      <c r="AI821" t="str">
        <f t="array" ref="AI821">IFERROR(INDEX($L$2:$L$189,SMALL(IF(ISNUMBER(FIND($AH$2,$C$2:$C$189)),ROW($2:$189)-1,4^8),ROW(A820)))&amp;"","")</f>
        <v/>
      </c>
    </row>
    <row r="822" spans="35:35">
      <c r="AI822" t="str">
        <f t="array" ref="AI822">IFERROR(INDEX($L$2:$L$189,SMALL(IF(ISNUMBER(FIND($AH$2,$C$2:$C$189)),ROW($2:$189)-1,4^8),ROW(A821)))&amp;"","")</f>
        <v/>
      </c>
    </row>
    <row r="823" spans="35:35">
      <c r="AI823" t="str">
        <f t="array" ref="AI823">IFERROR(INDEX($L$2:$L$189,SMALL(IF(ISNUMBER(FIND($AH$2,$C$2:$C$189)),ROW($2:$189)-1,4^8),ROW(A822)))&amp;"","")</f>
        <v/>
      </c>
    </row>
    <row r="824" spans="35:35">
      <c r="AI824" t="str">
        <f t="array" ref="AI824">IFERROR(INDEX($L$2:$L$189,SMALL(IF(ISNUMBER(FIND($AH$2,$C$2:$C$189)),ROW($2:$189)-1,4^8),ROW(A823)))&amp;"","")</f>
        <v/>
      </c>
    </row>
    <row r="825" spans="35:35">
      <c r="AI825" t="str">
        <f t="array" ref="AI825">IFERROR(INDEX($L$2:$L$189,SMALL(IF(ISNUMBER(FIND($AH$2,$C$2:$C$189)),ROW($2:$189)-1,4^8),ROW(A824)))&amp;"","")</f>
        <v/>
      </c>
    </row>
    <row r="826" spans="35:35">
      <c r="AI826" t="str">
        <f t="array" ref="AI826">IFERROR(INDEX($L$2:$L$189,SMALL(IF(ISNUMBER(FIND($AH$2,$C$2:$C$189)),ROW($2:$189)-1,4^8),ROW(A825)))&amp;"","")</f>
        <v/>
      </c>
    </row>
    <row r="827" spans="35:35">
      <c r="AI827" t="str">
        <f t="array" ref="AI827">IFERROR(INDEX($L$2:$L$189,SMALL(IF(ISNUMBER(FIND($AH$2,$C$2:$C$189)),ROW($2:$189)-1,4^8),ROW(A826)))&amp;"","")</f>
        <v/>
      </c>
    </row>
    <row r="828" spans="35:35">
      <c r="AI828" t="str">
        <f t="array" ref="AI828">IFERROR(INDEX($L$2:$L$189,SMALL(IF(ISNUMBER(FIND($AH$2,$C$2:$C$189)),ROW($2:$189)-1,4^8),ROW(A827)))&amp;"","")</f>
        <v/>
      </c>
    </row>
    <row r="829" spans="35:35">
      <c r="AI829" t="str">
        <f t="array" ref="AI829">IFERROR(INDEX($L$2:$L$189,SMALL(IF(ISNUMBER(FIND($AH$2,$C$2:$C$189)),ROW($2:$189)-1,4^8),ROW(A828)))&amp;"","")</f>
        <v/>
      </c>
    </row>
    <row r="830" spans="35:35">
      <c r="AI830" t="str">
        <f t="array" ref="AI830">IFERROR(INDEX($L$2:$L$189,SMALL(IF(ISNUMBER(FIND($AH$2,$C$2:$C$189)),ROW($2:$189)-1,4^8),ROW(A829)))&amp;"","")</f>
        <v/>
      </c>
    </row>
    <row r="831" spans="35:35">
      <c r="AI831" t="str">
        <f t="array" ref="AI831">IFERROR(INDEX($L$2:$L$189,SMALL(IF(ISNUMBER(FIND($AH$2,$C$2:$C$189)),ROW($2:$189)-1,4^8),ROW(A830)))&amp;"","")</f>
        <v/>
      </c>
    </row>
    <row r="832" spans="35:35">
      <c r="AI832" t="str">
        <f t="array" ref="AI832">IFERROR(INDEX($L$2:$L$189,SMALL(IF(ISNUMBER(FIND($AH$2,$C$2:$C$189)),ROW($2:$189)-1,4^8),ROW(A831)))&amp;"","")</f>
        <v/>
      </c>
    </row>
    <row r="833" spans="35:35">
      <c r="AI833" t="str">
        <f t="array" ref="AI833">IFERROR(INDEX($L$2:$L$189,SMALL(IF(ISNUMBER(FIND($AH$2,$C$2:$C$189)),ROW($2:$189)-1,4^8),ROW(A832)))&amp;"","")</f>
        <v/>
      </c>
    </row>
    <row r="834" spans="35:35">
      <c r="AI834" t="str">
        <f t="array" ref="AI834">IFERROR(INDEX($L$2:$L$189,SMALL(IF(ISNUMBER(FIND($AH$2,$C$2:$C$189)),ROW($2:$189)-1,4^8),ROW(A833)))&amp;"","")</f>
        <v/>
      </c>
    </row>
    <row r="835" spans="35:35">
      <c r="AI835" t="str">
        <f t="array" ref="AI835">IFERROR(INDEX($L$2:$L$189,SMALL(IF(ISNUMBER(FIND($AH$2,$C$2:$C$189)),ROW($2:$189)-1,4^8),ROW(A834)))&amp;"","")</f>
        <v/>
      </c>
    </row>
    <row r="836" spans="35:35">
      <c r="AI836" t="str">
        <f t="array" ref="AI836">IFERROR(INDEX($L$2:$L$189,SMALL(IF(ISNUMBER(FIND($AH$2,$C$2:$C$189)),ROW($2:$189)-1,4^8),ROW(A835)))&amp;"","")</f>
        <v/>
      </c>
    </row>
    <row r="837" spans="35:35">
      <c r="AI837" t="str">
        <f t="array" ref="AI837">IFERROR(INDEX($L$2:$L$189,SMALL(IF(ISNUMBER(FIND($AH$2,$C$2:$C$189)),ROW($2:$189)-1,4^8),ROW(A836)))&amp;"","")</f>
        <v/>
      </c>
    </row>
  </sheetData>
  <autoFilter xmlns:etc="http://www.wps.cn/officeDocument/2017/etCustomData" ref="A1:AF806" etc:filterBottomFollowUsedRange="0">
    <extLst/>
  </autoFilter>
  <pageMargins left="0.7" right="0.7" top="0.75" bottom="0.75" header="0.3" footer="0.3"/>
  <pageSetup paperSize="9" orientation="portrait" horizontalDpi="1200" verticalDpi="12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>
                  <from>
                    <xdr:col>21</xdr:col>
                    <xdr:colOff>160020</xdr:colOff>
                    <xdr:row>0</xdr:row>
                    <xdr:rowOff>167640</xdr:rowOff>
                  </from>
                  <to>
                    <xdr:col>22</xdr:col>
                    <xdr:colOff>396240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3:K800"/>
  <sheetViews>
    <sheetView topLeftCell="B1" workbookViewId="0">
      <selection activeCell="D465" sqref="D465"/>
    </sheetView>
  </sheetViews>
  <sheetFormatPr defaultColWidth="9" defaultRowHeight="13.8"/>
  <cols>
    <col min="1" max="1" width="8.88888888888889" style="1"/>
    <col min="2" max="2" width="26.8888888888889" style="1" customWidth="1"/>
    <col min="3" max="3" width="18.1111111111111" style="1" customWidth="1"/>
    <col min="4" max="4" width="17.1111111111111" style="1" customWidth="1"/>
    <col min="5" max="5" width="18.1111111111111" style="1" customWidth="1"/>
    <col min="6" max="6" width="17.7777777777778" style="1" customWidth="1"/>
    <col min="7" max="7" width="10.7777777777778" style="1" customWidth="1"/>
    <col min="8" max="8" width="11.3333333333333" style="1" customWidth="1"/>
    <col min="9" max="9" width="11" style="1" customWidth="1"/>
    <col min="10" max="10" width="11.2222222222222" style="1" customWidth="1"/>
    <col min="11" max="11" width="14.3333333333333" style="1" customWidth="1"/>
    <col min="12" max="16384" width="8.88888888888889" style="1"/>
  </cols>
  <sheetData>
    <row r="3" spans="2:11">
      <c r="B3" s="1" t="s">
        <v>1</v>
      </c>
      <c r="C3" s="1" t="s">
        <v>872</v>
      </c>
      <c r="E3" s="1" t="s">
        <v>806</v>
      </c>
      <c r="G3" s="1" t="s">
        <v>873</v>
      </c>
      <c r="K3" s="1" t="s">
        <v>874</v>
      </c>
    </row>
    <row r="4" spans="2:11">
      <c r="C4" s="1" t="s">
        <v>875</v>
      </c>
      <c r="D4" s="1" t="s">
        <v>876</v>
      </c>
      <c r="E4" s="1" t="s">
        <v>877</v>
      </c>
      <c r="F4" s="1" t="s">
        <v>878</v>
      </c>
      <c r="G4" s="1" t="s">
        <v>879</v>
      </c>
      <c r="H4" s="1" t="s">
        <v>880</v>
      </c>
      <c r="I4" s="1" t="s">
        <v>881</v>
      </c>
      <c r="J4" s="1" t="s">
        <v>882</v>
      </c>
    </row>
    <row r="5" spans="2:11">
      <c r="B5" s="1" t="s">
        <v>21</v>
      </c>
      <c r="C5" s="31">
        <v>437990.2047</v>
      </c>
      <c r="D5" s="31">
        <v>3399778.1403</v>
      </c>
      <c r="E5" s="20">
        <v>0</v>
      </c>
      <c r="F5" s="20">
        <v>0</v>
      </c>
      <c r="G5" s="32">
        <v>0</v>
      </c>
      <c r="H5" s="32">
        <v>0</v>
      </c>
      <c r="I5" s="32">
        <v>0</v>
      </c>
      <c r="J5" s="32">
        <v>0</v>
      </c>
      <c r="K5" s="33">
        <v>473.721</v>
      </c>
    </row>
    <row r="6" spans="2:11">
      <c r="B6" s="1" t="s">
        <v>23</v>
      </c>
      <c r="C6" s="31">
        <v>438004.2888</v>
      </c>
      <c r="D6" s="31">
        <v>3399744.8331</v>
      </c>
      <c r="E6" s="20">
        <v>36.1625696633931</v>
      </c>
      <c r="F6" s="20">
        <v>36.1625696633931</v>
      </c>
      <c r="G6" s="32">
        <v>0</v>
      </c>
      <c r="H6" s="32">
        <v>0</v>
      </c>
      <c r="I6" s="32">
        <v>0</v>
      </c>
      <c r="J6" s="32">
        <v>0</v>
      </c>
      <c r="K6" s="33">
        <v>473.666</v>
      </c>
    </row>
    <row r="7" spans="2:11">
      <c r="B7" s="1" t="s">
        <v>24</v>
      </c>
      <c r="C7" s="31">
        <v>438016.9796</v>
      </c>
      <c r="D7" s="31">
        <v>3399714.8206</v>
      </c>
      <c r="E7" s="20">
        <v>48.5017259354944</v>
      </c>
      <c r="F7" s="20">
        <v>85.9865113464271</v>
      </c>
      <c r="G7" s="32">
        <v>53.693</v>
      </c>
      <c r="H7" s="32">
        <v>40</v>
      </c>
      <c r="I7" s="32">
        <v>20.2462171471838</v>
      </c>
      <c r="J7" s="32">
        <v>37.4847854109326</v>
      </c>
      <c r="K7" s="33">
        <v>473.652</v>
      </c>
    </row>
    <row r="8" spans="2:11">
      <c r="B8" s="1" t="s">
        <v>25</v>
      </c>
      <c r="C8" s="31">
        <v>438870.4108</v>
      </c>
      <c r="D8" s="31">
        <v>3399511.727</v>
      </c>
      <c r="E8" s="20">
        <v>940.710829592636</v>
      </c>
      <c r="F8" s="20">
        <v>945.296158603476</v>
      </c>
      <c r="G8" s="32">
        <v>3.284</v>
      </c>
      <c r="H8" s="32">
        <v>80</v>
      </c>
      <c r="I8" s="32">
        <v>2.29329236567399</v>
      </c>
      <c r="J8" s="32">
        <v>4.5853290108395</v>
      </c>
      <c r="K8" s="33">
        <v>473.299</v>
      </c>
    </row>
    <row r="9" spans="2:11">
      <c r="C9" s="31"/>
      <c r="D9" s="31"/>
      <c r="E9" s="20"/>
      <c r="F9" s="20"/>
      <c r="G9" s="32"/>
      <c r="H9" s="32"/>
      <c r="I9" s="32"/>
      <c r="J9" s="32"/>
      <c r="K9" s="33"/>
    </row>
    <row r="10" spans="2:11">
      <c r="B10" s="1" t="s">
        <v>1</v>
      </c>
      <c r="C10" s="1" t="s">
        <v>872</v>
      </c>
      <c r="E10" s="1" t="s">
        <v>806</v>
      </c>
      <c r="G10" s="1" t="s">
        <v>873</v>
      </c>
      <c r="K10" s="1" t="s">
        <v>874</v>
      </c>
    </row>
    <row r="11" spans="2:11">
      <c r="C11" s="1" t="s">
        <v>875</v>
      </c>
      <c r="D11" s="1" t="s">
        <v>876</v>
      </c>
      <c r="E11" s="1" t="s">
        <v>877</v>
      </c>
      <c r="F11" s="1" t="s">
        <v>878</v>
      </c>
      <c r="G11" s="1" t="s">
        <v>879</v>
      </c>
      <c r="H11" s="1" t="s">
        <v>880</v>
      </c>
      <c r="I11" s="1" t="s">
        <v>881</v>
      </c>
      <c r="J11" s="1" t="s">
        <v>882</v>
      </c>
    </row>
    <row r="12" spans="2:11">
      <c r="B12" s="1" t="s">
        <v>26</v>
      </c>
      <c r="C12" s="31">
        <v>439771.8093</v>
      </c>
      <c r="D12" s="31">
        <v>3399241.8116</v>
      </c>
      <c r="E12" s="20">
        <v>1876.75953049528</v>
      </c>
      <c r="F12" s="20">
        <v>1891.09357057606</v>
      </c>
      <c r="G12" s="32">
        <v>10.266</v>
      </c>
      <c r="H12" s="32">
        <v>80</v>
      </c>
      <c r="I12" s="32">
        <v>7.18625588132158</v>
      </c>
      <c r="J12" s="32">
        <v>14.334040080779</v>
      </c>
      <c r="K12" s="33">
        <v>472.922</v>
      </c>
    </row>
    <row r="13" spans="2:11">
      <c r="C13" s="31"/>
      <c r="D13" s="31"/>
      <c r="E13" s="20"/>
      <c r="F13" s="20"/>
      <c r="G13" s="32"/>
      <c r="H13" s="32"/>
      <c r="I13" s="32"/>
      <c r="J13" s="32"/>
      <c r="K13" s="33"/>
    </row>
    <row r="14" spans="2:11">
      <c r="B14" s="1" t="s">
        <v>1</v>
      </c>
      <c r="C14" s="1" t="s">
        <v>872</v>
      </c>
      <c r="E14" s="1" t="s">
        <v>806</v>
      </c>
      <c r="G14" s="1" t="s">
        <v>873</v>
      </c>
      <c r="K14" s="1" t="s">
        <v>874</v>
      </c>
    </row>
    <row r="15" spans="2:11">
      <c r="C15" s="1" t="s">
        <v>875</v>
      </c>
      <c r="D15" s="1" t="s">
        <v>876</v>
      </c>
      <c r="E15" s="1" t="s">
        <v>877</v>
      </c>
      <c r="F15" s="1" t="s">
        <v>878</v>
      </c>
      <c r="G15" s="1" t="s">
        <v>879</v>
      </c>
      <c r="H15" s="1" t="s">
        <v>880</v>
      </c>
      <c r="I15" s="1" t="s">
        <v>881</v>
      </c>
      <c r="J15" s="1" t="s">
        <v>882</v>
      </c>
    </row>
    <row r="16" spans="2:11">
      <c r="B16" s="1" t="s">
        <v>27</v>
      </c>
      <c r="C16" s="31">
        <v>446605.0642</v>
      </c>
      <c r="D16" s="31">
        <v>3398474.8603</v>
      </c>
      <c r="E16" s="20">
        <v>8742.40426959656</v>
      </c>
      <c r="F16" s="20">
        <v>8777.17402082309</v>
      </c>
      <c r="G16" s="32">
        <v>24.902</v>
      </c>
      <c r="H16" s="32">
        <v>80</v>
      </c>
      <c r="I16" s="32">
        <v>17.6638071038328</v>
      </c>
      <c r="J16" s="32">
        <v>34.7697512265302</v>
      </c>
      <c r="K16" s="33">
        <v>470.17</v>
      </c>
    </row>
    <row r="17" spans="2:11">
      <c r="C17" s="31"/>
      <c r="D17" s="31"/>
      <c r="E17" s="20"/>
      <c r="F17" s="20"/>
      <c r="G17" s="32"/>
      <c r="H17" s="32"/>
      <c r="I17" s="32"/>
      <c r="J17" s="32"/>
      <c r="K17" s="33"/>
    </row>
    <row r="18" spans="2:11">
      <c r="B18" s="1" t="s">
        <v>1</v>
      </c>
      <c r="C18" s="1" t="s">
        <v>872</v>
      </c>
      <c r="E18" s="1" t="s">
        <v>806</v>
      </c>
      <c r="G18" s="1" t="s">
        <v>873</v>
      </c>
      <c r="K18" s="1" t="s">
        <v>874</v>
      </c>
    </row>
    <row r="19" spans="2:11">
      <c r="C19" s="1" t="s">
        <v>875</v>
      </c>
      <c r="D19" s="1" t="s">
        <v>876</v>
      </c>
      <c r="E19" s="1" t="s">
        <v>877</v>
      </c>
      <c r="F19" s="1" t="s">
        <v>878</v>
      </c>
      <c r="G19" s="1" t="s">
        <v>879</v>
      </c>
      <c r="H19" s="1" t="s">
        <v>880</v>
      </c>
      <c r="I19" s="1" t="s">
        <v>881</v>
      </c>
      <c r="J19" s="1" t="s">
        <v>882</v>
      </c>
    </row>
    <row r="20" spans="2:11">
      <c r="B20" s="1" t="s">
        <v>28</v>
      </c>
      <c r="C20" s="31">
        <v>448883.2453</v>
      </c>
      <c r="D20" s="31">
        <v>3397089.3703</v>
      </c>
      <c r="E20" s="20">
        <v>11401.849441595</v>
      </c>
      <c r="F20" s="20">
        <v>11448.5949440171</v>
      </c>
      <c r="G20" s="32">
        <v>33.479</v>
      </c>
      <c r="H20" s="32">
        <v>80</v>
      </c>
      <c r="I20" s="32">
        <v>24.0612792679755</v>
      </c>
      <c r="J20" s="32">
        <v>46.7455024220145</v>
      </c>
      <c r="K20" s="33">
        <v>469.101</v>
      </c>
    </row>
    <row r="21" spans="2:11">
      <c r="B21" s="1" t="s">
        <v>29</v>
      </c>
      <c r="C21" s="31">
        <v>448941.969</v>
      </c>
      <c r="D21" s="31">
        <v>3396964.6625</v>
      </c>
      <c r="E21" s="20">
        <v>11562.3759961372</v>
      </c>
      <c r="F21" s="20">
        <v>11562.3759961372</v>
      </c>
      <c r="G21" s="32">
        <v>0</v>
      </c>
      <c r="H21" s="32">
        <v>0</v>
      </c>
      <c r="I21" s="32">
        <v>0</v>
      </c>
      <c r="J21" s="32">
        <v>0</v>
      </c>
      <c r="K21" s="33">
        <v>469.045</v>
      </c>
    </row>
    <row r="22" spans="2:11">
      <c r="B22" s="1" t="s">
        <v>883</v>
      </c>
      <c r="C22" s="31">
        <v>448952.1282</v>
      </c>
      <c r="D22" s="31">
        <v>3396943.088</v>
      </c>
      <c r="E22" s="20">
        <v>11586.2227652034</v>
      </c>
      <c r="F22" s="20">
        <v>11586.2227652034</v>
      </c>
      <c r="G22" s="32">
        <v>0</v>
      </c>
      <c r="H22" s="32">
        <v>0</v>
      </c>
      <c r="I22" s="32">
        <v>0</v>
      </c>
      <c r="J22" s="32">
        <v>0</v>
      </c>
      <c r="K22" s="33">
        <v>469.044</v>
      </c>
    </row>
    <row r="23" spans="2:11">
      <c r="B23" s="1" t="s">
        <v>32</v>
      </c>
      <c r="C23" s="31">
        <v>448963.9261</v>
      </c>
      <c r="D23" s="31">
        <v>3396918.0335</v>
      </c>
      <c r="E23" s="20">
        <v>11613.9160570746</v>
      </c>
      <c r="F23" s="20">
        <v>11613.9160570746</v>
      </c>
      <c r="G23" s="32">
        <v>0</v>
      </c>
      <c r="H23" s="32">
        <v>0</v>
      </c>
      <c r="I23" s="32">
        <v>0</v>
      </c>
      <c r="J23" s="32">
        <v>0</v>
      </c>
      <c r="K23" s="33">
        <v>468.975</v>
      </c>
    </row>
    <row r="24" spans="2:11">
      <c r="B24" s="1" t="s">
        <v>33</v>
      </c>
      <c r="C24" s="31">
        <v>449017.1788</v>
      </c>
      <c r="D24" s="31">
        <v>3396804.9442</v>
      </c>
      <c r="E24" s="20">
        <v>11738.9162164017</v>
      </c>
      <c r="F24" s="20">
        <v>11738.9162164017</v>
      </c>
      <c r="G24" s="32">
        <v>0</v>
      </c>
      <c r="H24" s="32">
        <v>0</v>
      </c>
      <c r="I24" s="32">
        <v>0</v>
      </c>
      <c r="J24" s="32">
        <v>0</v>
      </c>
      <c r="K24" s="33">
        <v>468.918</v>
      </c>
    </row>
    <row r="25" spans="2:11">
      <c r="B25" s="1" t="s">
        <v>34</v>
      </c>
      <c r="C25" s="31">
        <v>449027.6145</v>
      </c>
      <c r="D25" s="31">
        <v>3396782.7825</v>
      </c>
      <c r="E25" s="20">
        <v>11763.4120279082</v>
      </c>
      <c r="F25" s="20">
        <v>11763.4120279082</v>
      </c>
      <c r="G25" s="32">
        <v>0</v>
      </c>
      <c r="H25" s="32">
        <v>0</v>
      </c>
      <c r="I25" s="32">
        <v>0</v>
      </c>
      <c r="J25" s="32">
        <v>0</v>
      </c>
      <c r="K25" s="33">
        <v>468.843</v>
      </c>
    </row>
    <row r="26" spans="2:11">
      <c r="B26" s="1" t="s">
        <v>35</v>
      </c>
      <c r="C26" s="31">
        <v>449155.0898</v>
      </c>
      <c r="D26" s="31">
        <v>3396512.0717</v>
      </c>
      <c r="E26" s="20">
        <v>12038.0793992164</v>
      </c>
      <c r="F26" s="20">
        <v>12085.7296803227</v>
      </c>
      <c r="G26" s="32">
        <v>34.127</v>
      </c>
      <c r="H26" s="32">
        <v>80</v>
      </c>
      <c r="I26" s="32">
        <v>24.5554375595825</v>
      </c>
      <c r="J26" s="32">
        <v>47.6502811062484</v>
      </c>
      <c r="K26" s="33">
        <v>468.722</v>
      </c>
    </row>
    <row r="27" spans="2:11">
      <c r="C27" s="31"/>
      <c r="D27" s="31"/>
      <c r="E27" s="20"/>
      <c r="F27" s="20"/>
      <c r="G27" s="32"/>
      <c r="H27" s="32"/>
      <c r="I27" s="32"/>
      <c r="J27" s="32"/>
      <c r="K27" s="33"/>
    </row>
    <row r="28" spans="2:11">
      <c r="B28" s="1" t="s">
        <v>1</v>
      </c>
      <c r="C28" s="1" t="s">
        <v>872</v>
      </c>
      <c r="E28" s="1" t="s">
        <v>806</v>
      </c>
      <c r="G28" s="1" t="s">
        <v>873</v>
      </c>
      <c r="K28" s="1" t="s">
        <v>874</v>
      </c>
    </row>
    <row r="29" spans="2:11">
      <c r="C29" s="1" t="s">
        <v>875</v>
      </c>
      <c r="D29" s="1" t="s">
        <v>876</v>
      </c>
      <c r="E29" s="1" t="s">
        <v>877</v>
      </c>
      <c r="F29" s="1" t="s">
        <v>878</v>
      </c>
      <c r="G29" s="1" t="s">
        <v>879</v>
      </c>
      <c r="H29" s="1" t="s">
        <v>880</v>
      </c>
      <c r="I29" s="1" t="s">
        <v>881</v>
      </c>
      <c r="J29" s="1" t="s">
        <v>882</v>
      </c>
    </row>
    <row r="30" spans="2:11">
      <c r="B30" s="1" t="s">
        <v>36</v>
      </c>
      <c r="C30" s="31">
        <v>451577.1078</v>
      </c>
      <c r="D30" s="31">
        <v>3395076.3759</v>
      </c>
      <c r="E30" s="20">
        <v>14857.8744431072</v>
      </c>
      <c r="F30" s="20">
        <v>14894.9228962051</v>
      </c>
      <c r="G30" s="32">
        <v>26.534</v>
      </c>
      <c r="H30" s="32">
        <v>80</v>
      </c>
      <c r="I30" s="32">
        <v>18.8625537892209</v>
      </c>
      <c r="J30" s="32">
        <v>37.048453097934</v>
      </c>
      <c r="K30" s="33">
        <v>467.594</v>
      </c>
    </row>
    <row r="31" spans="2:11">
      <c r="B31" s="1" t="s">
        <v>37</v>
      </c>
      <c r="C31" s="31">
        <v>451855.8872</v>
      </c>
      <c r="D31" s="31">
        <v>3395056.2758</v>
      </c>
      <c r="E31" s="20">
        <v>15155.5634155374</v>
      </c>
      <c r="F31" s="20">
        <v>15155.5634155374</v>
      </c>
      <c r="G31" s="32">
        <v>0</v>
      </c>
      <c r="H31" s="32">
        <v>0</v>
      </c>
      <c r="I31" s="32">
        <v>0</v>
      </c>
      <c r="J31" s="32">
        <v>0</v>
      </c>
      <c r="K31" s="33">
        <v>467.481</v>
      </c>
    </row>
    <row r="32" spans="2:11">
      <c r="B32" s="1" t="s">
        <v>38</v>
      </c>
      <c r="C32" s="31">
        <v>451870.866</v>
      </c>
      <c r="D32" s="31">
        <v>3395055.1959</v>
      </c>
      <c r="E32" s="20">
        <v>15170.5810929027</v>
      </c>
      <c r="F32" s="20">
        <v>15170.5810929027</v>
      </c>
      <c r="G32" s="32">
        <v>0</v>
      </c>
      <c r="H32" s="32">
        <v>0</v>
      </c>
      <c r="I32" s="32">
        <v>0</v>
      </c>
      <c r="J32" s="32">
        <v>0</v>
      </c>
      <c r="K32" s="33">
        <v>467.447</v>
      </c>
    </row>
    <row r="33" spans="2:11">
      <c r="B33" s="1" t="s">
        <v>39</v>
      </c>
      <c r="C33" s="31">
        <v>452045.4181</v>
      </c>
      <c r="D33" s="31">
        <v>3395042.6105</v>
      </c>
      <c r="E33" s="20">
        <v>15345.5863154179</v>
      </c>
      <c r="F33" s="20">
        <v>15345.5863154179</v>
      </c>
      <c r="G33" s="32">
        <v>0</v>
      </c>
      <c r="H33" s="32">
        <v>0</v>
      </c>
      <c r="I33" s="32">
        <v>0</v>
      </c>
      <c r="J33" s="32">
        <v>0</v>
      </c>
      <c r="K33" s="33">
        <v>467.368</v>
      </c>
    </row>
    <row r="34" spans="2:11">
      <c r="B34" s="1" t="s">
        <v>884</v>
      </c>
      <c r="C34" s="31">
        <v>452091.5816</v>
      </c>
      <c r="D34" s="31">
        <v>3395039.2822</v>
      </c>
      <c r="E34" s="20">
        <v>15391.8696419312</v>
      </c>
      <c r="F34" s="20">
        <v>15391.8696419312</v>
      </c>
      <c r="G34" s="32">
        <v>0</v>
      </c>
      <c r="H34" s="32">
        <v>0</v>
      </c>
      <c r="I34" s="32">
        <v>0</v>
      </c>
      <c r="J34" s="32">
        <v>0</v>
      </c>
      <c r="K34" s="33">
        <v>467.289</v>
      </c>
    </row>
    <row r="35" spans="2:11">
      <c r="B35" s="1" t="s">
        <v>41</v>
      </c>
      <c r="C35" s="31">
        <v>452210.2102</v>
      </c>
      <c r="D35" s="31">
        <v>3395030.729</v>
      </c>
      <c r="E35" s="20">
        <v>15481.7960465948</v>
      </c>
      <c r="F35" s="20">
        <v>15537.456690836</v>
      </c>
      <c r="G35" s="32">
        <v>39.864</v>
      </c>
      <c r="H35" s="32">
        <v>80</v>
      </c>
      <c r="I35" s="32">
        <v>29.0101413102746</v>
      </c>
      <c r="J35" s="32">
        <v>55.6606442412016</v>
      </c>
      <c r="K35" s="33">
        <v>467.24</v>
      </c>
    </row>
    <row r="36" spans="2:11">
      <c r="B36" s="1" t="s">
        <v>885</v>
      </c>
      <c r="C36" s="31">
        <v>452332.7543</v>
      </c>
      <c r="D36" s="31">
        <v>3394912.4389</v>
      </c>
      <c r="E36" s="20">
        <v>15678.768609761</v>
      </c>
      <c r="F36" s="20">
        <v>15678.768609761</v>
      </c>
      <c r="G36" s="32">
        <v>0</v>
      </c>
      <c r="H36" s="32">
        <v>0</v>
      </c>
      <c r="I36" s="32">
        <v>0</v>
      </c>
      <c r="J36" s="32">
        <v>0</v>
      </c>
      <c r="K36" s="33">
        <v>467.17</v>
      </c>
    </row>
    <row r="37" spans="2:11">
      <c r="B37" s="1" t="s">
        <v>43</v>
      </c>
      <c r="C37" s="31">
        <v>452346.8878</v>
      </c>
      <c r="D37" s="31">
        <v>3394898.796</v>
      </c>
      <c r="E37" s="20">
        <v>15698.4125539336</v>
      </c>
      <c r="F37" s="20">
        <v>15698.4125539336</v>
      </c>
      <c r="G37" s="32">
        <v>0</v>
      </c>
      <c r="H37" s="32">
        <v>0</v>
      </c>
      <c r="I37" s="32">
        <v>0</v>
      </c>
      <c r="J37" s="32">
        <v>0</v>
      </c>
      <c r="K37" s="33">
        <v>467.136</v>
      </c>
    </row>
    <row r="38" spans="2:11">
      <c r="C38" s="31"/>
      <c r="D38" s="31"/>
      <c r="E38" s="20"/>
      <c r="F38" s="20"/>
      <c r="G38" s="32"/>
      <c r="H38" s="32"/>
      <c r="I38" s="32"/>
      <c r="J38" s="32"/>
      <c r="K38" s="33"/>
    </row>
    <row r="39" spans="2:11">
      <c r="B39" s="1" t="s">
        <v>1</v>
      </c>
      <c r="C39" s="1" t="s">
        <v>872</v>
      </c>
      <c r="E39" s="1" t="s">
        <v>806</v>
      </c>
      <c r="G39" s="1" t="s">
        <v>873</v>
      </c>
      <c r="K39" s="1" t="s">
        <v>874</v>
      </c>
    </row>
    <row r="40" spans="2:11">
      <c r="C40" s="1" t="s">
        <v>875</v>
      </c>
      <c r="D40" s="1" t="s">
        <v>876</v>
      </c>
      <c r="E40" s="1" t="s">
        <v>877</v>
      </c>
      <c r="F40" s="1" t="s">
        <v>878</v>
      </c>
      <c r="G40" s="1" t="s">
        <v>879</v>
      </c>
      <c r="H40" s="1" t="s">
        <v>880</v>
      </c>
      <c r="I40" s="1" t="s">
        <v>881</v>
      </c>
      <c r="J40" s="1" t="s">
        <v>882</v>
      </c>
    </row>
    <row r="41" spans="2:11">
      <c r="B41" s="1" t="s">
        <v>44</v>
      </c>
      <c r="C41" s="31">
        <v>452469.2017</v>
      </c>
      <c r="D41" s="31">
        <v>3394780.728</v>
      </c>
      <c r="E41" s="20">
        <v>15868.4147384996</v>
      </c>
      <c r="F41" s="20">
        <v>15868.4147384996</v>
      </c>
      <c r="G41" s="32">
        <v>0</v>
      </c>
      <c r="H41" s="32">
        <v>0</v>
      </c>
      <c r="I41" s="32">
        <v>0</v>
      </c>
      <c r="J41" s="32">
        <v>0</v>
      </c>
      <c r="K41" s="33">
        <v>467.059</v>
      </c>
    </row>
    <row r="42" spans="2:11">
      <c r="B42" s="1" t="s">
        <v>45</v>
      </c>
      <c r="C42" s="31">
        <v>452479.3029</v>
      </c>
      <c r="D42" s="31">
        <v>3394770.9774</v>
      </c>
      <c r="E42" s="20">
        <v>15882.4542698948</v>
      </c>
      <c r="F42" s="20">
        <v>15882.4542698948</v>
      </c>
      <c r="G42" s="32">
        <v>0</v>
      </c>
      <c r="H42" s="32">
        <v>0</v>
      </c>
      <c r="I42" s="32">
        <v>0</v>
      </c>
      <c r="J42" s="32">
        <v>0</v>
      </c>
      <c r="K42" s="33">
        <v>466.986</v>
      </c>
    </row>
    <row r="43" spans="2:11">
      <c r="B43" s="1" t="s">
        <v>46</v>
      </c>
      <c r="C43" s="31">
        <v>452645.3297</v>
      </c>
      <c r="D43" s="31">
        <v>3394610.7139</v>
      </c>
      <c r="E43" s="20">
        <v>16105.3236831536</v>
      </c>
      <c r="F43" s="20">
        <v>16120.9010957934</v>
      </c>
      <c r="G43" s="32">
        <v>22.313</v>
      </c>
      <c r="H43" s="32">
        <v>40</v>
      </c>
      <c r="I43" s="32">
        <v>7.88865864908585</v>
      </c>
      <c r="J43" s="32">
        <v>15.5774126398998</v>
      </c>
      <c r="K43" s="33">
        <v>466.893</v>
      </c>
    </row>
    <row r="44" spans="2:11">
      <c r="B44" s="1" t="s">
        <v>47</v>
      </c>
      <c r="C44" s="31">
        <v>452653.8154</v>
      </c>
      <c r="D44" s="31">
        <v>3394591.3818</v>
      </c>
      <c r="E44" s="20">
        <v>16134.1249262182</v>
      </c>
      <c r="F44" s="20">
        <v>16134.1249262182</v>
      </c>
      <c r="G44" s="32">
        <v>0</v>
      </c>
      <c r="H44" s="32">
        <v>0</v>
      </c>
      <c r="I44" s="32">
        <v>0</v>
      </c>
      <c r="J44" s="32">
        <v>0</v>
      </c>
      <c r="K44" s="33">
        <v>466.884</v>
      </c>
    </row>
    <row r="45" spans="2:11">
      <c r="B45" s="1" t="s">
        <v>48</v>
      </c>
      <c r="C45" s="31">
        <v>452659.067</v>
      </c>
      <c r="D45" s="31">
        <v>3394579.4175</v>
      </c>
      <c r="E45" s="20">
        <v>16147.1910571318</v>
      </c>
      <c r="F45" s="20">
        <v>16147.1910571318</v>
      </c>
      <c r="G45" s="32">
        <v>0</v>
      </c>
      <c r="H45" s="32">
        <v>0</v>
      </c>
      <c r="I45" s="32">
        <v>0</v>
      </c>
      <c r="J45" s="32">
        <v>0</v>
      </c>
      <c r="K45" s="33">
        <v>466.851</v>
      </c>
    </row>
    <row r="46" spans="2:11">
      <c r="B46" s="1" t="s">
        <v>49</v>
      </c>
      <c r="C46" s="31">
        <v>452687.3033</v>
      </c>
      <c r="D46" s="31">
        <v>3394515.0897</v>
      </c>
      <c r="E46" s="20">
        <v>16217.4431353256</v>
      </c>
      <c r="F46" s="20">
        <v>16217.4431353256</v>
      </c>
      <c r="G46" s="32">
        <v>0</v>
      </c>
      <c r="H46" s="32">
        <v>0</v>
      </c>
      <c r="I46" s="32">
        <v>0</v>
      </c>
      <c r="J46" s="32">
        <v>0</v>
      </c>
      <c r="K46" s="33">
        <v>466.819</v>
      </c>
    </row>
    <row r="47" spans="2:11">
      <c r="B47" s="1" t="s">
        <v>50</v>
      </c>
      <c r="C47" s="31">
        <v>452692.7894</v>
      </c>
      <c r="D47" s="31">
        <v>3394502.5913</v>
      </c>
      <c r="E47" s="20">
        <v>16231.0925783826</v>
      </c>
      <c r="F47" s="20">
        <v>16231.0925783826</v>
      </c>
      <c r="G47" s="32">
        <v>0</v>
      </c>
      <c r="H47" s="32">
        <v>0</v>
      </c>
      <c r="I47" s="32">
        <v>0</v>
      </c>
      <c r="J47" s="32">
        <v>0</v>
      </c>
      <c r="K47" s="33">
        <v>466.747</v>
      </c>
    </row>
    <row r="48" spans="2:11">
      <c r="B48" s="1" t="s">
        <v>51</v>
      </c>
      <c r="C48" s="31">
        <v>452700.5564</v>
      </c>
      <c r="D48" s="31">
        <v>3394484.8965</v>
      </c>
      <c r="E48" s="20">
        <v>16238.549066492</v>
      </c>
      <c r="F48" s="20">
        <v>16261.623017335</v>
      </c>
      <c r="G48" s="32">
        <v>33.051</v>
      </c>
      <c r="H48" s="32">
        <v>40</v>
      </c>
      <c r="I48" s="32">
        <v>11.8679067335882</v>
      </c>
      <c r="J48" s="32">
        <v>23.0739508430658</v>
      </c>
      <c r="K48" s="33">
        <v>466.738</v>
      </c>
    </row>
    <row r="49" spans="2:11">
      <c r="B49" s="1" t="s">
        <v>52</v>
      </c>
      <c r="C49" s="31">
        <v>452684.0253</v>
      </c>
      <c r="D49" s="31">
        <v>3394384.524</v>
      </c>
      <c r="E49" s="20">
        <v>16351.4798176464</v>
      </c>
      <c r="F49" s="20">
        <v>16351.4798176464</v>
      </c>
      <c r="G49" s="32">
        <v>0</v>
      </c>
      <c r="H49" s="32">
        <v>0</v>
      </c>
      <c r="I49" s="32">
        <v>0</v>
      </c>
      <c r="J49" s="32">
        <v>0</v>
      </c>
      <c r="K49" s="33">
        <v>466.696</v>
      </c>
    </row>
    <row r="50" spans="2:11">
      <c r="B50" s="1" t="s">
        <v>53</v>
      </c>
      <c r="C50" s="31">
        <v>452682.255</v>
      </c>
      <c r="D50" s="31">
        <v>3394373.7756</v>
      </c>
      <c r="E50" s="20">
        <v>16362.3730295078</v>
      </c>
      <c r="F50" s="20">
        <v>16362.3730295078</v>
      </c>
      <c r="G50" s="32">
        <v>0</v>
      </c>
      <c r="H50" s="32">
        <v>0</v>
      </c>
      <c r="I50" s="32">
        <v>0</v>
      </c>
      <c r="J50" s="32">
        <v>0</v>
      </c>
      <c r="K50" s="33">
        <v>466.664</v>
      </c>
    </row>
    <row r="51" spans="2:11">
      <c r="B51" s="1" t="s">
        <v>54</v>
      </c>
      <c r="C51" s="31">
        <v>452662.8585</v>
      </c>
      <c r="D51" s="31">
        <v>3394256.0049</v>
      </c>
      <c r="E51" s="20">
        <v>16481.7303166364</v>
      </c>
      <c r="F51" s="20">
        <v>16481.7303166364</v>
      </c>
      <c r="G51" s="32">
        <v>0</v>
      </c>
      <c r="H51" s="32">
        <v>0</v>
      </c>
      <c r="I51" s="32">
        <v>0</v>
      </c>
      <c r="J51" s="32">
        <v>0</v>
      </c>
      <c r="K51" s="33">
        <v>466.609</v>
      </c>
    </row>
    <row r="52" spans="2:11">
      <c r="B52" s="1" t="s">
        <v>55</v>
      </c>
      <c r="C52" s="31">
        <v>452660.1965</v>
      </c>
      <c r="D52" s="31">
        <v>3394239.8424</v>
      </c>
      <c r="E52" s="20">
        <v>16488.6697108071</v>
      </c>
      <c r="F52" s="20">
        <v>16507.2120887803</v>
      </c>
      <c r="G52" s="32">
        <v>26.56</v>
      </c>
      <c r="H52" s="32">
        <v>40</v>
      </c>
      <c r="I52" s="32">
        <v>9.44085766653619</v>
      </c>
      <c r="J52" s="32">
        <v>18.5423779731878</v>
      </c>
      <c r="K52" s="33">
        <v>466.584</v>
      </c>
    </row>
    <row r="53" spans="2:11">
      <c r="B53" s="1" t="s">
        <v>56</v>
      </c>
      <c r="C53" s="31">
        <v>452644.5835</v>
      </c>
      <c r="D53" s="31">
        <v>3394218.2844</v>
      </c>
      <c r="E53" s="20">
        <v>16524.3891411183</v>
      </c>
      <c r="F53" s="20">
        <v>16524.3891411183</v>
      </c>
      <c r="G53" s="32">
        <v>0</v>
      </c>
      <c r="H53" s="32">
        <v>0</v>
      </c>
      <c r="I53" s="32">
        <v>0</v>
      </c>
      <c r="J53" s="32">
        <v>0</v>
      </c>
      <c r="K53" s="33">
        <v>466.593</v>
      </c>
    </row>
    <row r="54" spans="2:11">
      <c r="B54" s="1" t="s">
        <v>812</v>
      </c>
      <c r="C54" s="31">
        <v>452574.9386</v>
      </c>
      <c r="D54" s="31">
        <v>3394122.1207</v>
      </c>
      <c r="E54" s="20">
        <v>16641.3690679303</v>
      </c>
      <c r="F54" s="20">
        <v>16644.8691512122</v>
      </c>
      <c r="G54" s="32">
        <v>10.027</v>
      </c>
      <c r="H54" s="32">
        <v>20</v>
      </c>
      <c r="I54" s="32">
        <v>1.75452182735354</v>
      </c>
      <c r="J54" s="32">
        <v>3.50008328194943</v>
      </c>
      <c r="K54" s="33" t="s">
        <v>886</v>
      </c>
    </row>
    <row r="55" spans="2:11">
      <c r="B55" s="1" t="s">
        <v>813</v>
      </c>
      <c r="C55" s="31">
        <v>452521.3433</v>
      </c>
      <c r="D55" s="31">
        <v>3394011.6776</v>
      </c>
      <c r="E55" s="20">
        <v>16758.7461485749</v>
      </c>
      <c r="F55" s="20">
        <v>16772.442445347</v>
      </c>
      <c r="G55" s="32">
        <v>39.237</v>
      </c>
      <c r="H55" s="32">
        <v>20</v>
      </c>
      <c r="I55" s="32">
        <v>7.12895702139123</v>
      </c>
      <c r="J55" s="32">
        <v>13.6962967721003</v>
      </c>
      <c r="K55" s="33" t="s">
        <v>886</v>
      </c>
    </row>
    <row r="56" spans="2:11">
      <c r="B56" s="1" t="s">
        <v>814</v>
      </c>
      <c r="C56" s="31">
        <v>452549.1184</v>
      </c>
      <c r="D56" s="31">
        <v>3393894.6456</v>
      </c>
      <c r="E56" s="20">
        <v>16883.06488487</v>
      </c>
      <c r="F56" s="20">
        <v>16888.1008578937</v>
      </c>
      <c r="G56" s="32">
        <v>14.427</v>
      </c>
      <c r="H56" s="32">
        <v>20</v>
      </c>
      <c r="I56" s="32">
        <v>2.53137530604415</v>
      </c>
      <c r="J56" s="32">
        <v>5.03597302370444</v>
      </c>
      <c r="K56" s="33" t="s">
        <v>886</v>
      </c>
    </row>
    <row r="57" spans="2:11">
      <c r="B57" s="1" t="s">
        <v>59</v>
      </c>
      <c r="C57" s="31">
        <v>452546.4904</v>
      </c>
      <c r="D57" s="31">
        <v>3393754.681</v>
      </c>
      <c r="E57" s="20">
        <v>17024.2394692514</v>
      </c>
      <c r="F57" s="20">
        <v>17026.8742182902</v>
      </c>
      <c r="G57" s="32">
        <v>7.548</v>
      </c>
      <c r="H57" s="32">
        <v>20</v>
      </c>
      <c r="I57" s="32">
        <v>1.31928305783452</v>
      </c>
      <c r="J57" s="32">
        <v>2.63474903881064</v>
      </c>
      <c r="K57" s="33" t="s">
        <v>886</v>
      </c>
    </row>
    <row r="58" spans="2:11">
      <c r="B58" s="1" t="s">
        <v>61</v>
      </c>
      <c r="C58" s="31">
        <v>452555.6035</v>
      </c>
      <c r="D58" s="31">
        <v>3393674.357</v>
      </c>
      <c r="E58" s="20">
        <v>17096.7321080634</v>
      </c>
      <c r="F58" s="20">
        <v>17114.7337830343</v>
      </c>
      <c r="G58" s="32">
        <v>51.571</v>
      </c>
      <c r="H58" s="32">
        <v>20</v>
      </c>
      <c r="I58" s="32">
        <v>9.66213423938244</v>
      </c>
      <c r="J58" s="32">
        <v>18.0016749709199</v>
      </c>
      <c r="K58" s="33" t="s">
        <v>886</v>
      </c>
    </row>
    <row r="59" spans="2:11">
      <c r="B59" s="1" t="s">
        <v>62</v>
      </c>
      <c r="C59" s="31">
        <v>452633.5115</v>
      </c>
      <c r="D59" s="31">
        <v>3393625.7569</v>
      </c>
      <c r="E59" s="20">
        <v>17185.6993531669</v>
      </c>
      <c r="F59" s="20">
        <v>17206.113073164</v>
      </c>
      <c r="G59" s="32">
        <v>58.481</v>
      </c>
      <c r="H59" s="32">
        <v>20</v>
      </c>
      <c r="I59" s="32">
        <v>11.1961824113974</v>
      </c>
      <c r="J59" s="32">
        <v>20.4137199971761</v>
      </c>
      <c r="K59" s="33" t="s">
        <v>886</v>
      </c>
    </row>
    <row r="60" spans="2:11">
      <c r="B60" s="1" t="s">
        <v>57</v>
      </c>
      <c r="C60" s="31">
        <v>452632.9603</v>
      </c>
      <c r="D60" s="31">
        <v>3393553.5985</v>
      </c>
      <c r="E60" s="20">
        <v>17267.0773959616</v>
      </c>
      <c r="F60" s="20">
        <v>17267.0773959616</v>
      </c>
      <c r="G60" s="32">
        <v>0</v>
      </c>
      <c r="H60" s="32">
        <v>0</v>
      </c>
      <c r="I60" s="32">
        <v>0</v>
      </c>
      <c r="J60" s="32">
        <v>0</v>
      </c>
      <c r="K60" s="33">
        <v>465.893</v>
      </c>
    </row>
    <row r="61" spans="2:11">
      <c r="B61" s="1" t="s">
        <v>58</v>
      </c>
      <c r="C61" s="31">
        <v>452632.8464</v>
      </c>
      <c r="D61" s="31">
        <v>3393538.6819</v>
      </c>
      <c r="E61" s="20">
        <v>17281.994430813</v>
      </c>
      <c r="F61" s="20">
        <v>17281.994430813</v>
      </c>
      <c r="G61" s="32">
        <v>0</v>
      </c>
      <c r="H61" s="32">
        <v>0</v>
      </c>
      <c r="I61" s="32">
        <v>0</v>
      </c>
      <c r="J61" s="32">
        <v>0</v>
      </c>
      <c r="K61" s="33">
        <v>465.828</v>
      </c>
    </row>
    <row r="62" spans="2:11">
      <c r="B62" s="1" t="s">
        <v>65</v>
      </c>
      <c r="C62" s="31">
        <v>452632.422</v>
      </c>
      <c r="D62" s="31">
        <v>3393483.1367</v>
      </c>
      <c r="E62" s="20">
        <v>17325.9247200711</v>
      </c>
      <c r="F62" s="20">
        <v>17348.5358095965</v>
      </c>
      <c r="G62" s="32">
        <v>32.388</v>
      </c>
      <c r="H62" s="32">
        <v>40</v>
      </c>
      <c r="I62" s="32">
        <v>11.6165320588305</v>
      </c>
      <c r="J62" s="32">
        <v>22.6110895254369</v>
      </c>
      <c r="K62" s="33">
        <v>465.804</v>
      </c>
    </row>
    <row r="63" spans="2:11">
      <c r="B63" s="1" t="s">
        <v>60</v>
      </c>
      <c r="C63" s="31">
        <v>452640.5047</v>
      </c>
      <c r="D63" s="31">
        <v>3393470.1765</v>
      </c>
      <c r="E63" s="20">
        <v>17352.1933347371</v>
      </c>
      <c r="F63" s="20">
        <v>17352.1933347371</v>
      </c>
      <c r="G63" s="32">
        <v>0</v>
      </c>
      <c r="H63" s="32">
        <v>0</v>
      </c>
      <c r="I63" s="32">
        <v>0</v>
      </c>
      <c r="J63" s="32">
        <v>0</v>
      </c>
      <c r="K63" s="33">
        <v>465.797</v>
      </c>
    </row>
    <row r="64" spans="2:11">
      <c r="C64" s="31"/>
      <c r="D64" s="31"/>
      <c r="E64" s="20"/>
      <c r="F64" s="20"/>
      <c r="G64" s="32"/>
      <c r="H64" s="32"/>
      <c r="I64" s="32"/>
      <c r="J64" s="32"/>
      <c r="K64" s="33"/>
    </row>
    <row r="65" spans="2:11">
      <c r="B65" s="1" t="s">
        <v>1</v>
      </c>
      <c r="C65" s="1" t="s">
        <v>872</v>
      </c>
      <c r="E65" s="1" t="s">
        <v>806</v>
      </c>
      <c r="G65" s="1" t="s">
        <v>873</v>
      </c>
      <c r="K65" s="1" t="s">
        <v>874</v>
      </c>
    </row>
    <row r="66" spans="2:11">
      <c r="C66" s="1" t="s">
        <v>875</v>
      </c>
      <c r="D66" s="1" t="s">
        <v>876</v>
      </c>
      <c r="E66" s="1" t="s">
        <v>877</v>
      </c>
      <c r="F66" s="1" t="s">
        <v>878</v>
      </c>
      <c r="G66" s="1" t="s">
        <v>879</v>
      </c>
      <c r="H66" s="1" t="s">
        <v>880</v>
      </c>
      <c r="I66" s="1" t="s">
        <v>881</v>
      </c>
      <c r="J66" s="1" t="s">
        <v>882</v>
      </c>
    </row>
    <row r="67" spans="2:11">
      <c r="B67" s="1" t="s">
        <v>66</v>
      </c>
      <c r="C67" s="31">
        <v>452665.3101</v>
      </c>
      <c r="D67" s="31">
        <v>3393430.4022</v>
      </c>
      <c r="E67" s="20">
        <v>17389.8417244934</v>
      </c>
      <c r="F67" s="20">
        <v>17407.9784879484</v>
      </c>
      <c r="G67" s="32">
        <v>25.979</v>
      </c>
      <c r="H67" s="32">
        <v>40</v>
      </c>
      <c r="I67" s="32">
        <v>9.22700687843587</v>
      </c>
      <c r="J67" s="32">
        <v>18.1367634550243</v>
      </c>
      <c r="K67" s="33">
        <v>465.792</v>
      </c>
    </row>
    <row r="68" spans="2:11">
      <c r="B68" s="1" t="s">
        <v>68</v>
      </c>
      <c r="C68" s="31">
        <v>452672.0851</v>
      </c>
      <c r="D68" s="31">
        <v>3393365.6235</v>
      </c>
      <c r="E68" s="20">
        <v>17455.3451174932</v>
      </c>
      <c r="F68" s="20">
        <v>17472.1693933507</v>
      </c>
      <c r="G68" s="32">
        <v>24.099</v>
      </c>
      <c r="H68" s="32">
        <v>40</v>
      </c>
      <c r="I68" s="32">
        <v>8.53838794771038</v>
      </c>
      <c r="J68" s="32">
        <v>16.8242758575245</v>
      </c>
      <c r="K68" s="33">
        <v>465.779</v>
      </c>
    </row>
    <row r="69" spans="2:11">
      <c r="B69" s="1" t="s">
        <v>63</v>
      </c>
      <c r="C69" s="31">
        <v>452679.6681</v>
      </c>
      <c r="D69" s="31">
        <v>3393352.5262</v>
      </c>
      <c r="E69" s="20">
        <v>17478.7651111344</v>
      </c>
      <c r="F69" s="20">
        <v>17478.7651111344</v>
      </c>
      <c r="G69" s="32">
        <v>0</v>
      </c>
      <c r="H69" s="32">
        <v>0</v>
      </c>
      <c r="I69" s="32">
        <v>0</v>
      </c>
      <c r="J69" s="32">
        <v>0</v>
      </c>
      <c r="K69" s="33">
        <v>465.741</v>
      </c>
    </row>
    <row r="70" spans="2:11">
      <c r="B70" s="1" t="s">
        <v>64</v>
      </c>
      <c r="C70" s="31">
        <v>452740.0001</v>
      </c>
      <c r="D70" s="31">
        <v>3393248.3212</v>
      </c>
      <c r="E70" s="20">
        <v>17599.1753775116</v>
      </c>
      <c r="F70" s="20">
        <v>17599.1753775116</v>
      </c>
      <c r="G70" s="32">
        <v>0</v>
      </c>
      <c r="H70" s="32">
        <v>0</v>
      </c>
      <c r="I70" s="32">
        <v>0</v>
      </c>
      <c r="J70" s="32">
        <v>0</v>
      </c>
      <c r="K70" s="33">
        <v>465.687</v>
      </c>
    </row>
    <row r="71" spans="2:11">
      <c r="B71" s="1" t="s">
        <v>70</v>
      </c>
      <c r="C71" s="31">
        <v>452750.4215</v>
      </c>
      <c r="D71" s="31">
        <v>3393230.3213</v>
      </c>
      <c r="E71" s="20">
        <v>17602.1104960129</v>
      </c>
      <c r="F71" s="20">
        <v>17635.712272904</v>
      </c>
      <c r="G71" s="32">
        <v>48.131</v>
      </c>
      <c r="H71" s="32">
        <v>40</v>
      </c>
      <c r="I71" s="32">
        <v>17.8639674875667</v>
      </c>
      <c r="J71" s="32">
        <v>33.6017768910956</v>
      </c>
      <c r="K71" s="33">
        <v>465.66</v>
      </c>
    </row>
    <row r="72" spans="2:11">
      <c r="B72" s="1" t="s">
        <v>71</v>
      </c>
      <c r="C72" s="31">
        <v>452865.7405</v>
      </c>
      <c r="D72" s="31">
        <v>3393206.2313</v>
      </c>
      <c r="E72" s="20">
        <v>17717.705917884</v>
      </c>
      <c r="F72" s="20">
        <v>17751.4522080371</v>
      </c>
      <c r="G72" s="32">
        <v>48.338</v>
      </c>
      <c r="H72" s="32">
        <v>40</v>
      </c>
      <c r="I72" s="32">
        <v>17.9507058338916</v>
      </c>
      <c r="J72" s="32">
        <v>33.7462901531608</v>
      </c>
      <c r="K72" s="33">
        <v>465.637</v>
      </c>
    </row>
    <row r="73" spans="2:11">
      <c r="B73" s="1" t="s">
        <v>67</v>
      </c>
      <c r="C73" s="31">
        <v>452904.5113</v>
      </c>
      <c r="D73" s="31">
        <v>3393138.7046</v>
      </c>
      <c r="E73" s="20">
        <v>17811.3669640304</v>
      </c>
      <c r="F73" s="20">
        <v>17811.3669640304</v>
      </c>
      <c r="G73" s="32">
        <v>0</v>
      </c>
      <c r="H73" s="32">
        <v>0</v>
      </c>
      <c r="I73" s="32">
        <v>0</v>
      </c>
      <c r="J73" s="32">
        <v>0</v>
      </c>
      <c r="K73" s="33">
        <v>465.574</v>
      </c>
    </row>
    <row r="74" spans="2:11">
      <c r="B74" s="1" t="s">
        <v>72</v>
      </c>
      <c r="C74" s="31">
        <v>452922.8022</v>
      </c>
      <c r="D74" s="31">
        <v>3393106.8476</v>
      </c>
      <c r="E74" s="20">
        <v>17828.7823886823</v>
      </c>
      <c r="F74" s="20">
        <v>17864.7773610437</v>
      </c>
      <c r="G74" s="32">
        <v>51.559</v>
      </c>
      <c r="H74" s="32">
        <v>40</v>
      </c>
      <c r="I74" s="32">
        <v>19.3191023193794</v>
      </c>
      <c r="J74" s="32">
        <v>35.9949723614302</v>
      </c>
      <c r="K74" s="33">
        <v>465.558</v>
      </c>
    </row>
    <row r="75" spans="2:11">
      <c r="B75" s="1" t="s">
        <v>69</v>
      </c>
      <c r="C75" s="31">
        <v>452891.9637</v>
      </c>
      <c r="D75" s="31">
        <v>3393029.3385</v>
      </c>
      <c r="E75" s="20">
        <v>17928.8769236923</v>
      </c>
      <c r="F75" s="20">
        <v>17928.8769236923</v>
      </c>
      <c r="G75" s="32">
        <v>0</v>
      </c>
      <c r="H75" s="32">
        <v>0</v>
      </c>
      <c r="I75" s="32">
        <v>0</v>
      </c>
      <c r="J75" s="32">
        <v>0</v>
      </c>
      <c r="K75" s="33">
        <v>465.523</v>
      </c>
    </row>
    <row r="76" spans="2:11">
      <c r="B76" s="1" t="s">
        <v>73</v>
      </c>
      <c r="C76" s="31">
        <v>452871.8398</v>
      </c>
      <c r="D76" s="31">
        <v>3392978.7594</v>
      </c>
      <c r="E76" s="20">
        <v>17970.8705940568</v>
      </c>
      <c r="F76" s="20">
        <v>17994.9952331096</v>
      </c>
      <c r="G76" s="32">
        <v>34.556</v>
      </c>
      <c r="H76" s="32">
        <v>40</v>
      </c>
      <c r="I76" s="32">
        <v>12.441765778191</v>
      </c>
      <c r="J76" s="32">
        <v>24.1246390527664</v>
      </c>
      <c r="K76" s="33">
        <v>465.516</v>
      </c>
    </row>
    <row r="77" spans="2:11">
      <c r="B77" s="1" t="s">
        <v>76</v>
      </c>
      <c r="C77" s="31">
        <v>452900.8982</v>
      </c>
      <c r="D77" s="31">
        <v>3392851.4753</v>
      </c>
      <c r="E77" s="20">
        <v>18098.372662915</v>
      </c>
      <c r="F77" s="20">
        <v>18126.6169771342</v>
      </c>
      <c r="G77" s="32">
        <v>40.457</v>
      </c>
      <c r="H77" s="32">
        <v>40</v>
      </c>
      <c r="I77" s="32">
        <v>14.7397287505961</v>
      </c>
      <c r="J77" s="32">
        <v>28.2443142191738</v>
      </c>
      <c r="K77" s="33">
        <v>465.49</v>
      </c>
    </row>
    <row r="78" spans="2:11">
      <c r="B78" s="1" t="s">
        <v>77</v>
      </c>
      <c r="C78" s="31">
        <v>452955.8249</v>
      </c>
      <c r="D78" s="31">
        <v>3392810.5601</v>
      </c>
      <c r="E78" s="20">
        <v>18163.8588193287</v>
      </c>
      <c r="F78" s="20">
        <v>18195.173516768</v>
      </c>
      <c r="G78" s="32">
        <v>44.855</v>
      </c>
      <c r="H78" s="32">
        <v>40</v>
      </c>
      <c r="I78" s="32">
        <v>16.509274895376</v>
      </c>
      <c r="J78" s="32">
        <v>31.3146974392823</v>
      </c>
      <c r="K78" s="33">
        <v>465.476</v>
      </c>
    </row>
    <row r="79" spans="2:11">
      <c r="B79" s="1" t="s">
        <v>78</v>
      </c>
      <c r="C79" s="31">
        <v>452967.8393</v>
      </c>
      <c r="D79" s="31">
        <v>3392729.8052</v>
      </c>
      <c r="E79" s="20">
        <v>18242.2010404094</v>
      </c>
      <c r="F79" s="20">
        <v>18276.2070355553</v>
      </c>
      <c r="G79" s="32">
        <v>48.71</v>
      </c>
      <c r="H79" s="32">
        <v>40</v>
      </c>
      <c r="I79" s="32">
        <v>18.1069377898991</v>
      </c>
      <c r="J79" s="32">
        <v>34.0059951458575</v>
      </c>
      <c r="K79" s="33">
        <v>465.46</v>
      </c>
    </row>
    <row r="80" spans="2:11">
      <c r="B80" s="1" t="s">
        <v>74</v>
      </c>
      <c r="C80" s="31">
        <v>453079.7429</v>
      </c>
      <c r="D80" s="31">
        <v>3392657.6115</v>
      </c>
      <c r="E80" s="20">
        <v>18391.2704623838</v>
      </c>
      <c r="F80" s="20">
        <v>18391.2704623838</v>
      </c>
      <c r="G80" s="32">
        <v>0</v>
      </c>
      <c r="H80" s="32">
        <v>0</v>
      </c>
      <c r="I80" s="32">
        <v>0</v>
      </c>
      <c r="J80" s="32">
        <v>0</v>
      </c>
      <c r="K80" s="33">
        <v>465.4</v>
      </c>
    </row>
    <row r="81" spans="2:11">
      <c r="B81" s="1" t="s">
        <v>75</v>
      </c>
      <c r="C81" s="31">
        <v>453282.0086</v>
      </c>
      <c r="D81" s="31">
        <v>3392527.1214</v>
      </c>
      <c r="E81" s="20">
        <v>18631.9758416227</v>
      </c>
      <c r="F81" s="20">
        <v>18631.9758416227</v>
      </c>
      <c r="G81" s="32">
        <v>0</v>
      </c>
      <c r="H81" s="32">
        <v>0</v>
      </c>
      <c r="I81" s="32">
        <v>0</v>
      </c>
      <c r="J81" s="32">
        <v>0</v>
      </c>
      <c r="K81" s="33">
        <v>465.291</v>
      </c>
    </row>
    <row r="82" spans="2:11">
      <c r="B82" s="1" t="s">
        <v>79</v>
      </c>
      <c r="C82" s="31">
        <v>453293.3141</v>
      </c>
      <c r="D82" s="31">
        <v>3392519.8278</v>
      </c>
      <c r="E82" s="20">
        <v>18637.331032012</v>
      </c>
      <c r="F82" s="20">
        <v>18653.3126629067</v>
      </c>
      <c r="G82" s="32">
        <v>22.892</v>
      </c>
      <c r="H82" s="32">
        <v>40</v>
      </c>
      <c r="I82" s="32">
        <v>8.09883990680424</v>
      </c>
      <c r="J82" s="32">
        <v>15.9816308946617</v>
      </c>
      <c r="K82" s="33">
        <v>465.266</v>
      </c>
    </row>
    <row r="83" spans="2:11">
      <c r="B83" s="1" t="s">
        <v>815</v>
      </c>
      <c r="C83" s="31">
        <v>453406.423</v>
      </c>
      <c r="D83" s="31">
        <v>3392500.0149</v>
      </c>
      <c r="E83" s="20">
        <v>18735.6091386951</v>
      </c>
      <c r="F83" s="20">
        <v>18779.4804329049</v>
      </c>
      <c r="G83" s="32">
        <v>62.841</v>
      </c>
      <c r="H83" s="32">
        <v>40</v>
      </c>
      <c r="I83" s="32">
        <v>24.4357526862476</v>
      </c>
      <c r="J83" s="32">
        <v>43.8712942098303</v>
      </c>
      <c r="K83" s="33">
        <v>465.243</v>
      </c>
    </row>
    <row r="84" spans="2:11">
      <c r="B84" s="1" t="s">
        <v>816</v>
      </c>
      <c r="C84" s="31">
        <v>453455.9112</v>
      </c>
      <c r="D84" s="31">
        <v>3392340.3717</v>
      </c>
      <c r="E84" s="20">
        <v>18900.1672537681</v>
      </c>
      <c r="F84" s="20">
        <v>18940.4180369776</v>
      </c>
      <c r="G84" s="32">
        <v>57.655</v>
      </c>
      <c r="H84" s="32">
        <v>40</v>
      </c>
      <c r="I84" s="32">
        <v>22.0151937128653</v>
      </c>
      <c r="J84" s="32">
        <v>40.2507832094932</v>
      </c>
      <c r="K84" s="33">
        <v>465.211</v>
      </c>
    </row>
    <row r="85" spans="2:11">
      <c r="C85" s="31"/>
      <c r="D85" s="31"/>
      <c r="E85" s="20"/>
      <c r="F85" s="20"/>
      <c r="G85" s="32"/>
      <c r="H85" s="32"/>
      <c r="I85" s="32"/>
      <c r="J85" s="32"/>
      <c r="K85" s="33"/>
    </row>
    <row r="88" spans="2:11">
      <c r="C88" s="31"/>
      <c r="D88" s="31"/>
      <c r="E88" s="20"/>
      <c r="F88" s="20"/>
      <c r="G88" s="32"/>
      <c r="H88" s="32"/>
      <c r="I88" s="32"/>
      <c r="J88" s="32"/>
      <c r="K88" s="33"/>
    </row>
    <row r="89" spans="2:11">
      <c r="C89" s="31"/>
      <c r="D89" s="31"/>
      <c r="E89" s="20"/>
      <c r="F89" s="20"/>
      <c r="G89" s="32"/>
      <c r="H89" s="32"/>
      <c r="I89" s="32"/>
      <c r="J89" s="32"/>
      <c r="K89" s="33"/>
    </row>
    <row r="90" spans="2:11">
      <c r="C90" s="31"/>
      <c r="D90" s="31"/>
      <c r="E90" s="20"/>
      <c r="F90" s="20"/>
      <c r="G90" s="32"/>
      <c r="H90" s="32"/>
      <c r="I90" s="32"/>
      <c r="J90" s="32"/>
      <c r="K90" s="33"/>
    </row>
    <row r="91" spans="2:11">
      <c r="C91" s="31"/>
      <c r="D91" s="31"/>
      <c r="E91" s="20"/>
      <c r="F91" s="20"/>
      <c r="G91" s="32"/>
      <c r="H91" s="32"/>
      <c r="I91" s="32"/>
      <c r="J91" s="32"/>
      <c r="K91" s="33"/>
    </row>
    <row r="92" spans="2:11">
      <c r="C92" s="31"/>
      <c r="D92" s="31"/>
      <c r="E92" s="20"/>
      <c r="F92" s="20"/>
      <c r="G92" s="32"/>
      <c r="H92" s="32"/>
      <c r="I92" s="32"/>
      <c r="J92" s="32"/>
      <c r="K92" s="33"/>
    </row>
    <row r="93" spans="2:11">
      <c r="C93" s="31"/>
      <c r="D93" s="31"/>
      <c r="E93" s="20"/>
      <c r="F93" s="20"/>
      <c r="G93" s="32"/>
      <c r="H93" s="32"/>
      <c r="I93" s="32"/>
      <c r="J93" s="32"/>
      <c r="K93" s="33"/>
    </row>
    <row r="94" spans="2:11">
      <c r="C94" s="31"/>
      <c r="D94" s="31"/>
      <c r="E94" s="20"/>
      <c r="F94" s="20"/>
      <c r="G94" s="32"/>
      <c r="H94" s="32"/>
      <c r="I94" s="32"/>
      <c r="J94" s="32"/>
      <c r="K94" s="33"/>
    </row>
    <row r="95" spans="2:11">
      <c r="B95" s="1" t="s">
        <v>1</v>
      </c>
      <c r="C95" s="1" t="s">
        <v>872</v>
      </c>
      <c r="E95" s="1" t="s">
        <v>806</v>
      </c>
      <c r="G95" s="1" t="s">
        <v>873</v>
      </c>
      <c r="K95" s="1" t="s">
        <v>874</v>
      </c>
    </row>
    <row r="96" spans="2:11">
      <c r="C96" s="1" t="s">
        <v>875</v>
      </c>
      <c r="D96" s="1" t="s">
        <v>876</v>
      </c>
      <c r="E96" s="1" t="s">
        <v>877</v>
      </c>
      <c r="F96" s="1" t="s">
        <v>878</v>
      </c>
      <c r="G96" s="1" t="s">
        <v>879</v>
      </c>
      <c r="H96" s="1" t="s">
        <v>880</v>
      </c>
      <c r="I96" s="1" t="s">
        <v>881</v>
      </c>
      <c r="J96" s="1" t="s">
        <v>882</v>
      </c>
    </row>
    <row r="97" spans="2:11">
      <c r="B97" s="1" t="s">
        <v>817</v>
      </c>
      <c r="C97" s="31">
        <v>453564.0533</v>
      </c>
      <c r="D97" s="31">
        <v>3392311.1476</v>
      </c>
      <c r="E97" s="20">
        <v>19020.1776544829</v>
      </c>
      <c r="F97" s="20">
        <v>19040.239167037</v>
      </c>
      <c r="G97" s="32">
        <v>28.736</v>
      </c>
      <c r="H97" s="32">
        <v>40</v>
      </c>
      <c r="I97" s="32">
        <v>10.246444859627</v>
      </c>
      <c r="J97" s="32">
        <v>20.0615125541236</v>
      </c>
      <c r="K97" s="33">
        <v>465.189</v>
      </c>
    </row>
    <row r="98" spans="2:11">
      <c r="B98" s="1" t="s">
        <v>80</v>
      </c>
      <c r="C98" s="31">
        <v>453584.7811</v>
      </c>
      <c r="D98" s="31">
        <v>3392291.2298</v>
      </c>
      <c r="E98" s="20">
        <v>19058.7392080439</v>
      </c>
      <c r="F98" s="20">
        <v>19058.7392080439</v>
      </c>
      <c r="G98" s="32">
        <v>0</v>
      </c>
      <c r="H98" s="32">
        <v>0</v>
      </c>
      <c r="I98" s="32">
        <v>0</v>
      </c>
      <c r="J98" s="32">
        <v>0</v>
      </c>
      <c r="K98" s="33">
        <v>465.19</v>
      </c>
    </row>
    <row r="99" spans="2:11">
      <c r="B99" s="1" t="s">
        <v>818</v>
      </c>
      <c r="C99" s="31">
        <v>453690.0395</v>
      </c>
      <c r="D99" s="31">
        <v>3392190.0841</v>
      </c>
      <c r="E99" s="20">
        <v>19195.5478980965</v>
      </c>
      <c r="F99" s="20">
        <v>19212.7439290847</v>
      </c>
      <c r="G99" s="32">
        <v>49.263</v>
      </c>
      <c r="H99" s="32">
        <v>20</v>
      </c>
      <c r="I99" s="32">
        <v>9.17001866553919</v>
      </c>
      <c r="J99" s="32">
        <v>17.1960309881993</v>
      </c>
      <c r="K99" s="33" t="s">
        <v>886</v>
      </c>
    </row>
    <row r="100" spans="2:11">
      <c r="B100" s="1" t="s">
        <v>819</v>
      </c>
      <c r="C100" s="31">
        <v>453919.1821</v>
      </c>
      <c r="D100" s="31">
        <v>3392211.7643</v>
      </c>
      <c r="E100" s="20">
        <v>19426.5687746825</v>
      </c>
      <c r="F100" s="20">
        <v>19440.3397715466</v>
      </c>
      <c r="G100" s="32">
        <v>39.451</v>
      </c>
      <c r="H100" s="32">
        <v>20</v>
      </c>
      <c r="I100" s="32">
        <v>7.17108066941161</v>
      </c>
      <c r="J100" s="32">
        <v>13.7709968640857</v>
      </c>
      <c r="K100" s="33" t="s">
        <v>886</v>
      </c>
    </row>
    <row r="101" spans="2:11">
      <c r="B101" s="1" t="s">
        <v>820</v>
      </c>
      <c r="C101" s="31">
        <v>454680.7167</v>
      </c>
      <c r="D101" s="31">
        <v>3391697.2134</v>
      </c>
      <c r="E101" s="20">
        <v>20349.8503499467</v>
      </c>
      <c r="F101" s="20">
        <v>20354.6130044096</v>
      </c>
      <c r="G101" s="32">
        <v>13.644</v>
      </c>
      <c r="H101" s="32">
        <v>0</v>
      </c>
      <c r="I101" s="32">
        <v>2.39264461218743</v>
      </c>
      <c r="J101" s="32">
        <v>4.76265446284213</v>
      </c>
      <c r="K101" s="33" t="s">
        <v>886</v>
      </c>
    </row>
    <row r="102" spans="2:11">
      <c r="C102" s="31"/>
      <c r="D102" s="31"/>
      <c r="E102" s="20"/>
      <c r="F102" s="20"/>
      <c r="G102" s="32"/>
      <c r="H102" s="32"/>
      <c r="I102" s="32"/>
      <c r="J102" s="32"/>
      <c r="K102" s="33"/>
    </row>
    <row r="103" spans="2:11">
      <c r="C103" s="31"/>
      <c r="D103" s="31"/>
      <c r="E103" s="20"/>
      <c r="F103" s="20"/>
      <c r="G103" s="32"/>
      <c r="H103" s="32"/>
      <c r="I103" s="32"/>
      <c r="J103" s="32"/>
      <c r="K103" s="33"/>
    </row>
    <row r="104" spans="2:11">
      <c r="C104" s="31"/>
      <c r="D104" s="31"/>
      <c r="E104" s="20"/>
      <c r="F104" s="20"/>
      <c r="G104" s="32"/>
      <c r="H104" s="32"/>
      <c r="I104" s="32"/>
      <c r="J104" s="32"/>
      <c r="K104" s="33"/>
    </row>
    <row r="107" spans="2:11">
      <c r="C107" s="31"/>
      <c r="D107" s="31"/>
      <c r="E107" s="20"/>
      <c r="F107" s="20"/>
      <c r="G107" s="32"/>
      <c r="H107" s="32"/>
      <c r="I107" s="32"/>
      <c r="J107" s="32"/>
      <c r="K107" s="33"/>
    </row>
    <row r="108" spans="2:11">
      <c r="C108" s="31"/>
      <c r="D108" s="31"/>
      <c r="E108" s="20"/>
      <c r="F108" s="20"/>
      <c r="G108" s="32"/>
      <c r="H108" s="32"/>
      <c r="I108" s="32"/>
      <c r="J108" s="32"/>
      <c r="K108" s="33"/>
    </row>
    <row r="109" spans="2:11">
      <c r="C109" s="31"/>
      <c r="D109" s="31"/>
      <c r="E109" s="20"/>
      <c r="F109" s="20"/>
      <c r="G109" s="32"/>
      <c r="H109" s="32"/>
      <c r="I109" s="32"/>
      <c r="J109" s="32"/>
      <c r="K109" s="33"/>
    </row>
    <row r="110" spans="2:11">
      <c r="C110" s="31"/>
      <c r="D110" s="31"/>
      <c r="E110" s="20"/>
      <c r="F110" s="20"/>
      <c r="G110" s="32"/>
      <c r="H110" s="32"/>
      <c r="I110" s="32"/>
      <c r="J110" s="32"/>
      <c r="K110" s="33"/>
    </row>
    <row r="111" spans="2:11">
      <c r="C111" s="31"/>
      <c r="D111" s="31"/>
      <c r="E111" s="20"/>
      <c r="F111" s="20"/>
      <c r="G111" s="32"/>
      <c r="H111" s="32"/>
      <c r="I111" s="32"/>
      <c r="J111" s="32"/>
      <c r="K111" s="33"/>
    </row>
    <row r="112" spans="2:11">
      <c r="C112" s="31"/>
      <c r="D112" s="31"/>
      <c r="E112" s="20"/>
      <c r="F112" s="20"/>
      <c r="G112" s="32"/>
      <c r="H112" s="32"/>
      <c r="I112" s="32"/>
      <c r="J112" s="32"/>
      <c r="K112" s="33"/>
    </row>
    <row r="113" spans="2:11">
      <c r="C113" s="31"/>
      <c r="D113" s="31"/>
      <c r="E113" s="20"/>
      <c r="F113" s="20"/>
      <c r="G113" s="32"/>
      <c r="H113" s="32"/>
      <c r="I113" s="32"/>
      <c r="J113" s="32"/>
      <c r="K113" s="33"/>
    </row>
    <row r="114" spans="2:11">
      <c r="C114" s="31"/>
      <c r="D114" s="31"/>
      <c r="E114" s="20"/>
      <c r="F114" s="20"/>
      <c r="G114" s="32"/>
      <c r="H114" s="32"/>
      <c r="I114" s="32"/>
      <c r="J114" s="32"/>
      <c r="K114" s="33"/>
    </row>
    <row r="115" spans="2:11">
      <c r="C115" s="31"/>
      <c r="D115" s="31"/>
      <c r="E115" s="20"/>
      <c r="F115" s="20"/>
      <c r="G115" s="32"/>
      <c r="H115" s="32"/>
      <c r="I115" s="32"/>
      <c r="J115" s="32"/>
      <c r="K115" s="33"/>
    </row>
    <row r="116" spans="2:11">
      <c r="C116" s="31"/>
      <c r="D116" s="31"/>
      <c r="E116" s="20"/>
      <c r="F116" s="20"/>
      <c r="G116" s="32"/>
      <c r="H116" s="32"/>
      <c r="I116" s="32"/>
      <c r="J116" s="32"/>
      <c r="K116" s="33"/>
    </row>
    <row r="117" spans="2:11">
      <c r="C117" s="31"/>
      <c r="D117" s="31"/>
      <c r="E117" s="20"/>
      <c r="F117" s="20"/>
      <c r="G117" s="32"/>
      <c r="H117" s="32"/>
      <c r="I117" s="32"/>
      <c r="J117" s="32"/>
      <c r="K117" s="33"/>
    </row>
    <row r="118" spans="2:11">
      <c r="C118" s="31"/>
      <c r="D118" s="31"/>
      <c r="E118" s="20"/>
      <c r="F118" s="20"/>
      <c r="G118" s="32"/>
      <c r="H118" s="32"/>
      <c r="I118" s="32"/>
      <c r="J118" s="32"/>
      <c r="K118" s="33"/>
    </row>
    <row r="119" spans="2:11">
      <c r="C119" s="31"/>
      <c r="D119" s="31"/>
      <c r="E119" s="20"/>
      <c r="F119" s="20"/>
      <c r="G119" s="32"/>
      <c r="H119" s="32"/>
      <c r="I119" s="32"/>
      <c r="J119" s="32"/>
      <c r="K119" s="33"/>
    </row>
    <row r="120" spans="2:11">
      <c r="B120" s="1" t="s">
        <v>1</v>
      </c>
      <c r="C120" s="1" t="s">
        <v>872</v>
      </c>
      <c r="E120" s="1" t="s">
        <v>806</v>
      </c>
      <c r="G120" s="1" t="s">
        <v>873</v>
      </c>
      <c r="K120" s="1" t="s">
        <v>874</v>
      </c>
    </row>
    <row r="121" spans="2:11">
      <c r="C121" s="1" t="s">
        <v>875</v>
      </c>
      <c r="D121" s="1" t="s">
        <v>876</v>
      </c>
      <c r="E121" s="1" t="s">
        <v>877</v>
      </c>
      <c r="F121" s="1" t="s">
        <v>878</v>
      </c>
      <c r="G121" s="1" t="s">
        <v>879</v>
      </c>
      <c r="H121" s="1" t="s">
        <v>880</v>
      </c>
      <c r="I121" s="1" t="s">
        <v>881</v>
      </c>
      <c r="J121" s="1" t="s">
        <v>882</v>
      </c>
    </row>
    <row r="122" spans="2:11">
      <c r="B122" s="1" t="s">
        <v>821</v>
      </c>
      <c r="C122" s="31">
        <v>455323.834</v>
      </c>
      <c r="D122" s="31">
        <v>3391458.0118</v>
      </c>
      <c r="E122" s="20">
        <v>21027.9511883523</v>
      </c>
      <c r="F122" s="20">
        <v>21047.1798297874</v>
      </c>
      <c r="G122" s="32">
        <v>55.092</v>
      </c>
      <c r="H122" s="32">
        <v>20</v>
      </c>
      <c r="I122" s="32">
        <v>10.4317578727124</v>
      </c>
      <c r="J122" s="32">
        <v>19.2307358301743</v>
      </c>
      <c r="K122" s="33" t="s">
        <v>886</v>
      </c>
    </row>
    <row r="123" spans="2:11">
      <c r="B123" s="1" t="s">
        <v>822</v>
      </c>
      <c r="C123" s="31">
        <v>455357.5071</v>
      </c>
      <c r="D123" s="31">
        <v>3391327.9196</v>
      </c>
      <c r="E123" s="20">
        <v>21166.5295827824</v>
      </c>
      <c r="F123" s="20">
        <v>21175.5710864395</v>
      </c>
      <c r="G123" s="32">
        <v>25.908</v>
      </c>
      <c r="H123" s="32">
        <v>20</v>
      </c>
      <c r="I123" s="32">
        <v>4.60045408242276</v>
      </c>
      <c r="J123" s="32">
        <v>9.04359805213382</v>
      </c>
      <c r="K123" s="33" t="s">
        <v>886</v>
      </c>
    </row>
    <row r="124" spans="2:11">
      <c r="B124" s="1" t="s">
        <v>823</v>
      </c>
      <c r="C124" s="31">
        <v>455428.4972</v>
      </c>
      <c r="D124" s="31">
        <v>3391244.5485</v>
      </c>
      <c r="E124" s="20">
        <v>21277.1121700363</v>
      </c>
      <c r="F124" s="20">
        <v>21283.7699030009</v>
      </c>
      <c r="G124" s="32">
        <v>19.073</v>
      </c>
      <c r="H124" s="32">
        <v>20</v>
      </c>
      <c r="I124" s="32">
        <v>3.35995127388028</v>
      </c>
      <c r="J124" s="32">
        <v>6.65773296465757</v>
      </c>
      <c r="K124" s="33" t="s">
        <v>886</v>
      </c>
    </row>
    <row r="125" spans="2:11">
      <c r="B125" s="1" t="s">
        <v>82</v>
      </c>
      <c r="C125" s="31">
        <v>455557.9706</v>
      </c>
      <c r="D125" s="31">
        <v>3391168.243</v>
      </c>
      <c r="E125" s="20">
        <v>21424.4553630704</v>
      </c>
      <c r="F125" s="34">
        <v>21436.8918811884</v>
      </c>
      <c r="G125" s="32">
        <v>11.877</v>
      </c>
      <c r="H125" s="32">
        <v>60</v>
      </c>
      <c r="I125" s="32">
        <v>6.24061807339082</v>
      </c>
      <c r="J125" s="32">
        <v>12.4365181180108</v>
      </c>
      <c r="K125" s="33" t="s">
        <v>886</v>
      </c>
    </row>
    <row r="126" spans="2:11">
      <c r="B126" s="1" t="s">
        <v>81</v>
      </c>
      <c r="C126" s="31">
        <v>455565.152</v>
      </c>
      <c r="D126" s="31">
        <v>3391161.6881</v>
      </c>
      <c r="E126" s="34">
        <v>21440.3743912109</v>
      </c>
      <c r="F126" s="34">
        <v>21440.3743912109</v>
      </c>
      <c r="G126" s="32">
        <v>0</v>
      </c>
      <c r="H126" s="32">
        <v>0</v>
      </c>
      <c r="I126" s="32">
        <v>0</v>
      </c>
      <c r="J126" s="32">
        <v>0</v>
      </c>
      <c r="K126" s="33">
        <v>463.64</v>
      </c>
    </row>
    <row r="127" spans="2:11">
      <c r="B127" s="1" t="s">
        <v>887</v>
      </c>
      <c r="C127" s="31">
        <v>455589.9069</v>
      </c>
      <c r="D127" s="31">
        <v>3391139.0913</v>
      </c>
      <c r="E127" s="20">
        <v>21473.8918559755</v>
      </c>
      <c r="F127" s="20">
        <v>21473.8918559755</v>
      </c>
      <c r="G127" s="32">
        <v>0</v>
      </c>
      <c r="H127" s="32">
        <v>0</v>
      </c>
      <c r="I127" s="32">
        <v>0</v>
      </c>
      <c r="J127" s="32">
        <v>0</v>
      </c>
      <c r="K127" s="33">
        <v>463.584</v>
      </c>
    </row>
    <row r="128" spans="2:11">
      <c r="B128" s="1" t="s">
        <v>85</v>
      </c>
      <c r="C128" s="31">
        <v>455619.132</v>
      </c>
      <c r="D128" s="31">
        <v>3391112.414</v>
      </c>
      <c r="E128" s="20">
        <v>21513.4618547789</v>
      </c>
      <c r="F128" s="20">
        <v>21513.4618547789</v>
      </c>
      <c r="G128" s="32">
        <v>0</v>
      </c>
      <c r="H128" s="32">
        <v>0</v>
      </c>
      <c r="I128" s="32">
        <v>0</v>
      </c>
      <c r="J128" s="32">
        <v>0</v>
      </c>
      <c r="K128" s="33">
        <v>463.543</v>
      </c>
    </row>
    <row r="129" spans="2:11">
      <c r="B129" s="1" t="s">
        <v>86</v>
      </c>
      <c r="C129" s="31">
        <v>455660.571</v>
      </c>
      <c r="D129" s="31">
        <v>3391074.5876</v>
      </c>
      <c r="E129" s="20">
        <v>21551.3091356495</v>
      </c>
      <c r="F129" s="20">
        <v>21587.2140490215</v>
      </c>
      <c r="G129" s="32">
        <v>25.715</v>
      </c>
      <c r="H129" s="32">
        <v>80</v>
      </c>
      <c r="I129" s="32">
        <v>18.2600025954799</v>
      </c>
      <c r="J129" s="32">
        <v>35.9049133720273</v>
      </c>
      <c r="K129" s="33">
        <v>463.516</v>
      </c>
    </row>
    <row r="130" spans="2:11">
      <c r="B130" s="1" t="s">
        <v>87</v>
      </c>
      <c r="C130" s="31">
        <v>455743.1634</v>
      </c>
      <c r="D130" s="31">
        <v>3390869.0748</v>
      </c>
      <c r="E130" s="20">
        <v>21754.8088768251</v>
      </c>
      <c r="F130" s="20">
        <v>21821.8546528429</v>
      </c>
      <c r="G130" s="32">
        <v>48.018</v>
      </c>
      <c r="H130" s="32">
        <v>80</v>
      </c>
      <c r="I130" s="32">
        <v>35.633353262384</v>
      </c>
      <c r="J130" s="32">
        <v>67.045776017811</v>
      </c>
      <c r="K130" s="33">
        <v>463.412</v>
      </c>
    </row>
    <row r="133" spans="2:11">
      <c r="C133" s="31"/>
      <c r="D133" s="31"/>
      <c r="E133" s="20"/>
      <c r="F133" s="20"/>
      <c r="G133" s="32"/>
      <c r="H133" s="32"/>
      <c r="I133" s="32"/>
      <c r="J133" s="32"/>
      <c r="K133" s="33"/>
    </row>
    <row r="134" spans="2:11">
      <c r="B134" s="1" t="s">
        <v>1</v>
      </c>
      <c r="C134" s="1" t="s">
        <v>872</v>
      </c>
      <c r="E134" s="1" t="s">
        <v>806</v>
      </c>
      <c r="G134" s="1" t="s">
        <v>873</v>
      </c>
      <c r="K134" s="1" t="s">
        <v>874</v>
      </c>
    </row>
    <row r="135" spans="2:11">
      <c r="C135" s="1" t="s">
        <v>875</v>
      </c>
      <c r="D135" s="1" t="s">
        <v>876</v>
      </c>
      <c r="E135" s="1" t="s">
        <v>877</v>
      </c>
      <c r="F135" s="1" t="s">
        <v>878</v>
      </c>
      <c r="G135" s="1" t="s">
        <v>879</v>
      </c>
      <c r="H135" s="1" t="s">
        <v>880</v>
      </c>
      <c r="I135" s="1" t="s">
        <v>881</v>
      </c>
      <c r="J135" s="1" t="s">
        <v>882</v>
      </c>
    </row>
    <row r="136" spans="2:11">
      <c r="B136" s="1" t="s">
        <v>88</v>
      </c>
      <c r="C136" s="31">
        <v>456407.9626</v>
      </c>
      <c r="D136" s="31">
        <v>3390625.9498</v>
      </c>
      <c r="E136" s="20">
        <v>22476.9270601618</v>
      </c>
      <c r="F136" s="20">
        <v>22510.7264083242</v>
      </c>
      <c r="G136" s="32">
        <v>24.207</v>
      </c>
      <c r="H136" s="32">
        <v>80</v>
      </c>
      <c r="I136" s="32">
        <v>17.1556255288053</v>
      </c>
      <c r="J136" s="32">
        <v>33.7993481624214</v>
      </c>
      <c r="K136" s="33">
        <v>463.087</v>
      </c>
    </row>
    <row r="137" spans="2:11">
      <c r="B137" s="1" t="s">
        <v>89</v>
      </c>
      <c r="C137" s="31">
        <v>456638.225</v>
      </c>
      <c r="D137" s="31">
        <v>3390401.2871</v>
      </c>
      <c r="E137" s="20">
        <v>22799.0693733891</v>
      </c>
      <c r="F137" s="20">
        <v>22831.0493903392</v>
      </c>
      <c r="G137" s="32">
        <v>22.904</v>
      </c>
      <c r="H137" s="32">
        <v>80</v>
      </c>
      <c r="I137" s="32">
        <v>16.2064010137242</v>
      </c>
      <c r="J137" s="32">
        <v>31.9800169501425</v>
      </c>
      <c r="K137" s="33">
        <v>462.938</v>
      </c>
    </row>
    <row r="138" spans="2:11">
      <c r="B138" s="1" t="s">
        <v>90</v>
      </c>
      <c r="C138" s="31">
        <v>456773.1372</v>
      </c>
      <c r="D138" s="31">
        <v>3390348.4419</v>
      </c>
      <c r="E138" s="20">
        <v>22949.6365088599</v>
      </c>
      <c r="F138" s="20">
        <v>22969.7287392089</v>
      </c>
      <c r="G138" s="32">
        <v>14.39</v>
      </c>
      <c r="H138" s="32">
        <v>80</v>
      </c>
      <c r="I138" s="32">
        <v>10.0992576212353</v>
      </c>
      <c r="J138" s="32">
        <v>20.0922303489587</v>
      </c>
      <c r="K138" s="33">
        <v>462.87</v>
      </c>
    </row>
    <row r="139" spans="2:11">
      <c r="B139" s="1" t="s">
        <v>91</v>
      </c>
      <c r="C139" s="31">
        <v>457019.6671</v>
      </c>
      <c r="D139" s="31">
        <v>3390170.7684</v>
      </c>
      <c r="E139" s="20">
        <v>23232.6694941937</v>
      </c>
      <c r="F139" s="20">
        <v>23291.5457330487</v>
      </c>
      <c r="G139" s="32">
        <v>42.167</v>
      </c>
      <c r="H139" s="32">
        <v>80</v>
      </c>
      <c r="I139" s="32">
        <v>30.8429651934541</v>
      </c>
      <c r="J139" s="32">
        <v>58.8762388550759</v>
      </c>
      <c r="K139" s="33">
        <v>462.73</v>
      </c>
    </row>
    <row r="140" spans="2:11">
      <c r="B140" s="1" t="s">
        <v>92</v>
      </c>
      <c r="C140" s="31">
        <v>457051.1221</v>
      </c>
      <c r="D140" s="31">
        <v>3390023.4491</v>
      </c>
      <c r="E140" s="20">
        <v>23380.7240696084</v>
      </c>
      <c r="F140" s="20">
        <v>23439.2093547111</v>
      </c>
      <c r="G140" s="32">
        <v>41.887</v>
      </c>
      <c r="H140" s="32">
        <v>80</v>
      </c>
      <c r="I140" s="32">
        <v>30.61864373778</v>
      </c>
      <c r="J140" s="32">
        <v>58.4852851026292</v>
      </c>
      <c r="K140" s="33">
        <v>462.657</v>
      </c>
    </row>
    <row r="141" spans="2:11">
      <c r="C141" s="31"/>
      <c r="D141" s="31"/>
      <c r="E141" s="20"/>
      <c r="F141" s="20"/>
      <c r="G141" s="32"/>
      <c r="H141" s="32"/>
      <c r="I141" s="32"/>
      <c r="J141" s="32"/>
      <c r="K141" s="33"/>
    </row>
    <row r="142" spans="2:11">
      <c r="B142" s="1" t="s">
        <v>1</v>
      </c>
      <c r="C142" s="1" t="s">
        <v>872</v>
      </c>
      <c r="E142" s="1" t="s">
        <v>806</v>
      </c>
      <c r="G142" s="1" t="s">
        <v>873</v>
      </c>
      <c r="K142" s="1" t="s">
        <v>874</v>
      </c>
    </row>
    <row r="143" spans="2:11">
      <c r="C143" s="1" t="s">
        <v>875</v>
      </c>
      <c r="D143" s="1" t="s">
        <v>876</v>
      </c>
      <c r="E143" s="1" t="s">
        <v>877</v>
      </c>
      <c r="F143" s="1" t="s">
        <v>878</v>
      </c>
      <c r="G143" s="1" t="s">
        <v>879</v>
      </c>
      <c r="H143" s="1" t="s">
        <v>880</v>
      </c>
      <c r="I143" s="1" t="s">
        <v>881</v>
      </c>
      <c r="J143" s="1" t="s">
        <v>882</v>
      </c>
    </row>
    <row r="144" spans="2:11">
      <c r="B144" s="1" t="s">
        <v>93</v>
      </c>
      <c r="C144" s="31">
        <v>457422.3435</v>
      </c>
      <c r="D144" s="31">
        <v>3389753.1397</v>
      </c>
      <c r="E144" s="20">
        <v>23832.4107722186</v>
      </c>
      <c r="F144" s="20">
        <v>23899.0474430598</v>
      </c>
      <c r="G144" s="32">
        <v>47.725</v>
      </c>
      <c r="H144" s="32">
        <v>80</v>
      </c>
      <c r="I144" s="32">
        <v>35.3884965431314</v>
      </c>
      <c r="J144" s="32">
        <v>66.6366708411435</v>
      </c>
      <c r="K144" s="33">
        <v>462.445</v>
      </c>
    </row>
    <row r="145" spans="2:11">
      <c r="B145" s="1" t="s">
        <v>94</v>
      </c>
      <c r="C145" s="31">
        <v>457700.5573</v>
      </c>
      <c r="D145" s="31">
        <v>3389810.5718</v>
      </c>
      <c r="E145" s="20">
        <v>24147.7388025797</v>
      </c>
      <c r="F145" s="20">
        <v>24147.7388025797</v>
      </c>
      <c r="G145" s="32">
        <v>0</v>
      </c>
      <c r="H145" s="32">
        <v>0</v>
      </c>
      <c r="I145" s="32">
        <v>0</v>
      </c>
      <c r="J145" s="32">
        <v>0</v>
      </c>
      <c r="K145" s="33">
        <v>462.314</v>
      </c>
    </row>
    <row r="146" spans="2:11">
      <c r="B146" s="1" t="s">
        <v>95</v>
      </c>
      <c r="C146" s="31">
        <v>457885.9477</v>
      </c>
      <c r="D146" s="31">
        <v>3389848.8423</v>
      </c>
      <c r="E146" s="34">
        <v>24313.6520609841</v>
      </c>
      <c r="F146" s="20">
        <v>24359.1562852421</v>
      </c>
      <c r="G146" s="32">
        <v>32.59</v>
      </c>
      <c r="H146" s="32">
        <v>80</v>
      </c>
      <c r="I146" s="32">
        <v>23.3860590334844</v>
      </c>
      <c r="J146" s="32">
        <v>45.5042242579962</v>
      </c>
      <c r="K146" s="33">
        <v>462.256</v>
      </c>
    </row>
    <row r="147" spans="2:11">
      <c r="B147" s="1" t="s">
        <v>96</v>
      </c>
      <c r="C147" s="31">
        <v>457963.8443</v>
      </c>
      <c r="D147" s="31">
        <v>3389924.7347</v>
      </c>
      <c r="E147" s="20">
        <v>24415.4062956955</v>
      </c>
      <c r="F147" s="20">
        <v>24471.2582280228</v>
      </c>
      <c r="G147" s="32">
        <v>40.001</v>
      </c>
      <c r="H147" s="32">
        <v>80</v>
      </c>
      <c r="I147" s="32">
        <v>29.1184093600385</v>
      </c>
      <c r="J147" s="32">
        <v>55.8519323272201</v>
      </c>
      <c r="K147" s="33">
        <v>462.234</v>
      </c>
    </row>
    <row r="148" spans="2:11">
      <c r="B148" s="1" t="s">
        <v>888</v>
      </c>
      <c r="C148" s="31">
        <v>458095.2335</v>
      </c>
      <c r="D148" s="31">
        <v>3389934.5045</v>
      </c>
      <c r="E148" s="35">
        <v>24573.8917479415</v>
      </c>
      <c r="F148" s="35">
        <v>24573.8917479415</v>
      </c>
      <c r="G148" s="32">
        <v>0</v>
      </c>
      <c r="H148" s="32">
        <v>0</v>
      </c>
      <c r="I148" s="32">
        <v>0</v>
      </c>
      <c r="J148" s="32">
        <v>0</v>
      </c>
      <c r="K148" s="33">
        <v>462.179</v>
      </c>
    </row>
    <row r="149" spans="2:11">
      <c r="B149" s="1" t="s">
        <v>99</v>
      </c>
      <c r="C149" s="31">
        <v>458118.7017</v>
      </c>
      <c r="D149" s="31">
        <v>3389936.2495</v>
      </c>
      <c r="E149" s="20">
        <v>24597.4247340725</v>
      </c>
      <c r="F149" s="20">
        <v>24597.4247340725</v>
      </c>
      <c r="G149" s="32">
        <v>0</v>
      </c>
      <c r="H149" s="32">
        <v>0</v>
      </c>
      <c r="I149" s="32">
        <v>0</v>
      </c>
      <c r="J149" s="32">
        <v>0</v>
      </c>
      <c r="K149" s="33">
        <v>462.14</v>
      </c>
    </row>
    <row r="150" spans="2:11">
      <c r="B150" s="1" t="s">
        <v>100</v>
      </c>
      <c r="C150" s="31">
        <v>458198.2413</v>
      </c>
      <c r="D150" s="31">
        <v>3389942.1639</v>
      </c>
      <c r="E150" s="20">
        <v>24662.6930516732</v>
      </c>
      <c r="F150" s="20">
        <v>24691.3639243616</v>
      </c>
      <c r="G150" s="32">
        <v>20.534</v>
      </c>
      <c r="H150" s="32">
        <v>80</v>
      </c>
      <c r="I150" s="32">
        <v>14.4908705566263</v>
      </c>
      <c r="J150" s="32">
        <v>28.6708726883612</v>
      </c>
      <c r="K150" s="33">
        <v>462.103</v>
      </c>
    </row>
    <row r="151" spans="2:11">
      <c r="B151" s="1" t="s">
        <v>101</v>
      </c>
      <c r="C151" s="31">
        <v>458362.46</v>
      </c>
      <c r="D151" s="31">
        <v>3389894.2</v>
      </c>
      <c r="E151" s="20">
        <v>24835.4867485451</v>
      </c>
      <c r="F151" s="20">
        <v>24860.2201584409</v>
      </c>
      <c r="G151" s="32">
        <v>17.714</v>
      </c>
      <c r="H151" s="32">
        <v>80</v>
      </c>
      <c r="I151" s="32">
        <v>12.4661612713258</v>
      </c>
      <c r="J151" s="32">
        <v>24.733409895862</v>
      </c>
      <c r="K151" s="33">
        <v>462.023</v>
      </c>
    </row>
    <row r="152" spans="2:11">
      <c r="B152" s="1" t="s">
        <v>102</v>
      </c>
      <c r="C152" s="31">
        <v>458514.3</v>
      </c>
      <c r="D152" s="31">
        <v>3389791.8</v>
      </c>
      <c r="E152" s="20">
        <v>25002.7114128757</v>
      </c>
      <c r="F152" s="20">
        <v>25056.908773072</v>
      </c>
      <c r="G152" s="32">
        <v>38.816</v>
      </c>
      <c r="H152" s="32">
        <v>80</v>
      </c>
      <c r="I152" s="32">
        <v>28.1850031925698</v>
      </c>
      <c r="J152" s="32">
        <v>54.1973601963295</v>
      </c>
      <c r="K152" s="33">
        <v>461.937</v>
      </c>
    </row>
    <row r="153" spans="2:11">
      <c r="B153" s="1" t="s">
        <v>103</v>
      </c>
      <c r="C153" s="31">
        <v>458540.5</v>
      </c>
      <c r="D153" s="31">
        <v>3389707.1</v>
      </c>
      <c r="E153" s="20">
        <v>25083.0068983207</v>
      </c>
      <c r="F153" s="20">
        <v>25147.9429203387</v>
      </c>
      <c r="G153" s="32">
        <v>46.507</v>
      </c>
      <c r="H153" s="32">
        <v>80</v>
      </c>
      <c r="I153" s="32">
        <v>34.376501605107</v>
      </c>
      <c r="J153" s="32">
        <v>64.9360220180002</v>
      </c>
      <c r="K153" s="33">
        <v>461.893</v>
      </c>
    </row>
    <row r="154" spans="2:11">
      <c r="C154" s="31"/>
      <c r="D154" s="31"/>
      <c r="E154" s="20"/>
      <c r="F154" s="20"/>
      <c r="G154" s="32"/>
      <c r="H154" s="32"/>
      <c r="I154" s="32"/>
      <c r="J154" s="32"/>
      <c r="K154" s="33"/>
    </row>
    <row r="155" spans="2:11">
      <c r="B155" s="1" t="s">
        <v>1</v>
      </c>
      <c r="C155" s="1" t="s">
        <v>872</v>
      </c>
      <c r="E155" s="1" t="s">
        <v>806</v>
      </c>
      <c r="G155" s="1" t="s">
        <v>873</v>
      </c>
      <c r="K155" s="1" t="s">
        <v>874</v>
      </c>
    </row>
    <row r="156" spans="2:11">
      <c r="C156" s="1" t="s">
        <v>875</v>
      </c>
      <c r="D156" s="1" t="s">
        <v>876</v>
      </c>
      <c r="E156" s="1" t="s">
        <v>877</v>
      </c>
      <c r="F156" s="1" t="s">
        <v>878</v>
      </c>
      <c r="G156" s="1" t="s">
        <v>879</v>
      </c>
      <c r="H156" s="1" t="s">
        <v>880</v>
      </c>
      <c r="I156" s="1" t="s">
        <v>881</v>
      </c>
      <c r="J156" s="1" t="s">
        <v>882</v>
      </c>
    </row>
    <row r="157" spans="2:11">
      <c r="B157" s="1" t="s">
        <v>104</v>
      </c>
      <c r="C157" s="31">
        <v>458731.8302</v>
      </c>
      <c r="D157" s="31">
        <v>3389612.518</v>
      </c>
      <c r="E157" s="20">
        <v>25326.9979069354</v>
      </c>
      <c r="F157" s="20">
        <v>25326.9979069354</v>
      </c>
      <c r="G157" s="32">
        <v>0</v>
      </c>
      <c r="H157" s="32">
        <v>0</v>
      </c>
      <c r="I157" s="32">
        <v>0</v>
      </c>
      <c r="J157" s="32">
        <v>0</v>
      </c>
      <c r="K157" s="33">
        <v>461.794</v>
      </c>
    </row>
    <row r="158" spans="2:11">
      <c r="B158" s="1" t="s">
        <v>105</v>
      </c>
      <c r="C158" s="31">
        <v>458759.6422</v>
      </c>
      <c r="D158" s="31">
        <v>3389598.7694</v>
      </c>
      <c r="E158" s="20">
        <v>25338.8096500461</v>
      </c>
      <c r="F158" s="20">
        <v>25376.5213282598</v>
      </c>
      <c r="G158" s="32">
        <v>27.009</v>
      </c>
      <c r="H158" s="32">
        <v>80</v>
      </c>
      <c r="I158" s="32">
        <v>19.2129461860797</v>
      </c>
      <c r="J158" s="32">
        <v>37.7116782136919</v>
      </c>
      <c r="K158" s="33">
        <v>461.766</v>
      </c>
    </row>
    <row r="159" spans="2:11">
      <c r="B159" s="1" t="s">
        <v>106</v>
      </c>
      <c r="C159" s="31">
        <v>458804.4259</v>
      </c>
      <c r="D159" s="31">
        <v>3389538.656</v>
      </c>
      <c r="E159" s="20">
        <v>25432.2697097385</v>
      </c>
      <c r="F159" s="20">
        <v>25432.2697097385</v>
      </c>
      <c r="G159" s="32">
        <v>0</v>
      </c>
      <c r="H159" s="32">
        <v>0</v>
      </c>
      <c r="I159" s="32">
        <v>0</v>
      </c>
      <c r="J159" s="32">
        <v>0</v>
      </c>
      <c r="K159" s="33">
        <v>461.717</v>
      </c>
    </row>
    <row r="160" spans="2:11">
      <c r="B160" s="1" t="s">
        <v>107</v>
      </c>
      <c r="C160" s="31">
        <v>458836.3471</v>
      </c>
      <c r="D160" s="31">
        <v>3389495.8078</v>
      </c>
      <c r="E160" s="20">
        <v>25473.3061913951</v>
      </c>
      <c r="F160" s="20">
        <v>25497.3456583804</v>
      </c>
      <c r="G160" s="32">
        <v>34.434</v>
      </c>
      <c r="H160" s="32">
        <v>40</v>
      </c>
      <c r="I160" s="32">
        <v>12.3950750554193</v>
      </c>
      <c r="J160" s="32">
        <v>24.0394669852691</v>
      </c>
      <c r="K160" s="33">
        <v>461.692</v>
      </c>
    </row>
    <row r="161" spans="2:11">
      <c r="B161" s="1" t="s">
        <v>108</v>
      </c>
      <c r="C161" s="31">
        <v>458909.037</v>
      </c>
      <c r="D161" s="31">
        <v>3389470.9481</v>
      </c>
      <c r="E161" s="20">
        <v>25542.4780666674</v>
      </c>
      <c r="F161" s="20">
        <v>25578.435339917</v>
      </c>
      <c r="G161" s="32">
        <v>51.505</v>
      </c>
      <c r="H161" s="32">
        <v>40</v>
      </c>
      <c r="I161" s="32">
        <v>19.2958610659743</v>
      </c>
      <c r="J161" s="32">
        <v>35.9572732495872</v>
      </c>
      <c r="K161" s="33">
        <v>461.654</v>
      </c>
    </row>
    <row r="162" spans="2:11">
      <c r="B162" s="1" t="s">
        <v>109</v>
      </c>
      <c r="C162" s="31">
        <v>459106.6242</v>
      </c>
      <c r="D162" s="31">
        <v>3389597.4297</v>
      </c>
      <c r="E162" s="20">
        <v>25793.7419015632</v>
      </c>
      <c r="F162" s="20">
        <v>25793.7419015632</v>
      </c>
      <c r="G162" s="32">
        <v>0</v>
      </c>
      <c r="H162" s="32">
        <v>0</v>
      </c>
      <c r="I162" s="32">
        <v>0</v>
      </c>
      <c r="J162" s="32">
        <v>0</v>
      </c>
      <c r="K162" s="33">
        <v>461.546</v>
      </c>
    </row>
    <row r="163" spans="2:11">
      <c r="B163" s="1" t="s">
        <v>110</v>
      </c>
      <c r="C163" s="31">
        <v>459227.6659</v>
      </c>
      <c r="D163" s="31">
        <v>3389674.9123</v>
      </c>
      <c r="E163" s="20">
        <v>25937.4591463239</v>
      </c>
      <c r="F163" s="20">
        <v>25937.4591463239</v>
      </c>
      <c r="G163" s="32">
        <v>0</v>
      </c>
      <c r="H163" s="32">
        <v>0</v>
      </c>
      <c r="I163" s="32">
        <v>0</v>
      </c>
      <c r="J163" s="32">
        <v>0</v>
      </c>
      <c r="K163" s="33">
        <v>461.463</v>
      </c>
    </row>
    <row r="164" spans="2:11">
      <c r="B164" s="1" t="s">
        <v>111</v>
      </c>
      <c r="C164" s="31">
        <v>459265.0425</v>
      </c>
      <c r="D164" s="31">
        <v>3389698.8382</v>
      </c>
      <c r="E164" s="20">
        <v>25981.8377325832</v>
      </c>
      <c r="F164" s="20">
        <v>25981.8377325832</v>
      </c>
      <c r="G164" s="32">
        <v>0</v>
      </c>
      <c r="H164" s="32">
        <v>0</v>
      </c>
      <c r="I164" s="32">
        <v>0</v>
      </c>
      <c r="J164" s="32">
        <v>0</v>
      </c>
      <c r="K164" s="33">
        <v>461.443</v>
      </c>
    </row>
    <row r="165" spans="2:11">
      <c r="B165" s="1" t="s">
        <v>112</v>
      </c>
      <c r="C165" s="31">
        <v>459339.3789</v>
      </c>
      <c r="D165" s="31">
        <v>3389746.4232</v>
      </c>
      <c r="E165" s="20">
        <v>26044.1282481894</v>
      </c>
      <c r="F165" s="20">
        <v>26093.149659956</v>
      </c>
      <c r="G165" s="32">
        <v>46.812</v>
      </c>
      <c r="H165" s="32">
        <v>60</v>
      </c>
      <c r="I165" s="32">
        <v>25.9717786646948</v>
      </c>
      <c r="J165" s="32">
        <v>49.0214117666151</v>
      </c>
      <c r="K165" s="33">
        <v>461.404</v>
      </c>
    </row>
    <row r="166" spans="2:11">
      <c r="B166" s="1" t="s">
        <v>889</v>
      </c>
      <c r="C166" s="31">
        <v>459374.9734</v>
      </c>
      <c r="D166" s="31">
        <v>3389737.4248</v>
      </c>
      <c r="E166" s="20">
        <v>26103.8921786809</v>
      </c>
      <c r="F166" s="20">
        <v>26103.8921786809</v>
      </c>
      <c r="G166" s="32">
        <v>0</v>
      </c>
      <c r="H166" s="32">
        <v>0</v>
      </c>
      <c r="I166" s="32">
        <v>0</v>
      </c>
      <c r="J166" s="32">
        <v>0</v>
      </c>
      <c r="K166" s="33">
        <v>461.366</v>
      </c>
    </row>
    <row r="167" spans="2:11">
      <c r="B167" s="1" t="s">
        <v>115</v>
      </c>
      <c r="C167" s="31">
        <v>459386.1324</v>
      </c>
      <c r="D167" s="31">
        <v>3389734.6039</v>
      </c>
      <c r="E167" s="20">
        <v>26115.4022072565</v>
      </c>
      <c r="F167" s="20">
        <v>26115.4022072565</v>
      </c>
      <c r="G167" s="32">
        <v>0</v>
      </c>
      <c r="H167" s="32">
        <v>0</v>
      </c>
      <c r="I167" s="32">
        <v>0</v>
      </c>
      <c r="J167" s="32">
        <v>0</v>
      </c>
      <c r="K167" s="33">
        <v>461.33</v>
      </c>
    </row>
    <row r="168" spans="2:11">
      <c r="C168" s="31"/>
      <c r="D168" s="31"/>
      <c r="E168" s="20"/>
      <c r="F168" s="20"/>
      <c r="G168" s="32"/>
      <c r="H168" s="32"/>
      <c r="I168" s="32"/>
      <c r="J168" s="32"/>
      <c r="K168" s="33"/>
    </row>
    <row r="169" spans="2:11">
      <c r="B169" s="1" t="s">
        <v>1</v>
      </c>
      <c r="C169" s="1" t="s">
        <v>872</v>
      </c>
      <c r="E169" s="1" t="s">
        <v>806</v>
      </c>
      <c r="G169" s="1" t="s">
        <v>873</v>
      </c>
      <c r="K169" s="1" t="s">
        <v>874</v>
      </c>
    </row>
    <row r="170" spans="2:11">
      <c r="C170" s="1" t="s">
        <v>875</v>
      </c>
      <c r="D170" s="1" t="s">
        <v>876</v>
      </c>
      <c r="E170" s="1" t="s">
        <v>877</v>
      </c>
      <c r="F170" s="1" t="s">
        <v>878</v>
      </c>
      <c r="G170" s="1" t="s">
        <v>879</v>
      </c>
      <c r="H170" s="1" t="s">
        <v>880</v>
      </c>
      <c r="I170" s="1" t="s">
        <v>881</v>
      </c>
      <c r="J170" s="1" t="s">
        <v>882</v>
      </c>
    </row>
    <row r="171" spans="2:11">
      <c r="B171" s="1" t="s">
        <v>116</v>
      </c>
      <c r="C171" s="31">
        <v>460303.6126</v>
      </c>
      <c r="D171" s="31">
        <v>3389502.6675</v>
      </c>
      <c r="E171" s="20">
        <v>27025.8769894493</v>
      </c>
      <c r="F171" s="20">
        <v>27093.3137192195</v>
      </c>
      <c r="G171" s="32">
        <v>48.298</v>
      </c>
      <c r="H171" s="32">
        <v>80</v>
      </c>
      <c r="I171" s="32">
        <v>35.8678677162824</v>
      </c>
      <c r="J171" s="32">
        <v>67.4367297702577</v>
      </c>
      <c r="K171" s="33">
        <v>460.898</v>
      </c>
    </row>
    <row r="172" spans="2:11">
      <c r="B172" s="1" t="s">
        <v>117</v>
      </c>
      <c r="C172" s="31">
        <v>460410.1389</v>
      </c>
      <c r="D172" s="31">
        <v>3389298.1669</v>
      </c>
      <c r="E172" s="20">
        <v>27278.2376019051</v>
      </c>
      <c r="F172" s="35">
        <v>27297.7224576744</v>
      </c>
      <c r="G172" s="32">
        <v>13.955</v>
      </c>
      <c r="H172" s="32">
        <v>80</v>
      </c>
      <c r="I172" s="32">
        <v>9.79087685358528</v>
      </c>
      <c r="J172" s="32">
        <v>19.4848557692647</v>
      </c>
      <c r="K172" s="33">
        <v>460.791</v>
      </c>
    </row>
    <row r="173" spans="2:11">
      <c r="B173" s="1" t="s">
        <v>118</v>
      </c>
      <c r="C173" s="31">
        <v>460498.0837</v>
      </c>
      <c r="D173" s="31">
        <v>3389198.6617</v>
      </c>
      <c r="E173" s="20">
        <v>27420.7305743188</v>
      </c>
      <c r="F173" s="20">
        <v>27420.7305743188</v>
      </c>
      <c r="G173" s="32">
        <v>0</v>
      </c>
      <c r="H173" s="32">
        <v>0</v>
      </c>
      <c r="I173" s="32">
        <v>0</v>
      </c>
      <c r="J173" s="32">
        <v>0</v>
      </c>
      <c r="K173" s="33">
        <v>460.729</v>
      </c>
    </row>
    <row r="174" spans="2:11">
      <c r="B174" s="1" t="s">
        <v>890</v>
      </c>
      <c r="C174" s="31">
        <v>460544.0744</v>
      </c>
      <c r="D174" s="31">
        <v>3389146.6254</v>
      </c>
      <c r="E174" s="20">
        <v>27490.1778277145</v>
      </c>
      <c r="F174" s="20">
        <v>27490.1778277145</v>
      </c>
      <c r="G174" s="32">
        <v>0</v>
      </c>
      <c r="H174" s="32">
        <v>0</v>
      </c>
      <c r="I174" s="32">
        <v>0</v>
      </c>
      <c r="J174" s="32">
        <v>0</v>
      </c>
      <c r="K174" s="33">
        <v>460.695</v>
      </c>
    </row>
    <row r="175" spans="2:11">
      <c r="B175" s="1" t="s">
        <v>121</v>
      </c>
      <c r="C175" s="31">
        <v>460575.7348</v>
      </c>
      <c r="D175" s="31">
        <v>3389110.8031</v>
      </c>
      <c r="E175" s="20">
        <v>27537.9859661997</v>
      </c>
      <c r="F175" s="20">
        <v>27537.9859661997</v>
      </c>
      <c r="G175" s="32">
        <v>0</v>
      </c>
      <c r="H175" s="32">
        <v>0</v>
      </c>
      <c r="I175" s="32">
        <v>0</v>
      </c>
      <c r="J175" s="32">
        <v>0</v>
      </c>
      <c r="K175" s="33">
        <v>460.623</v>
      </c>
    </row>
    <row r="176" spans="2:11">
      <c r="B176" s="1" t="s">
        <v>122</v>
      </c>
      <c r="C176" s="31">
        <v>460671.0839</v>
      </c>
      <c r="D176" s="31">
        <v>3389002.9203</v>
      </c>
      <c r="E176" s="20">
        <v>27657.3895857071</v>
      </c>
      <c r="F176" s="20">
        <v>27705.0775659252</v>
      </c>
      <c r="G176" s="32">
        <v>34.154</v>
      </c>
      <c r="H176" s="32">
        <v>80</v>
      </c>
      <c r="I176" s="32">
        <v>24.5760644994694</v>
      </c>
      <c r="J176" s="32">
        <v>47.6879802180915</v>
      </c>
      <c r="K176" s="33">
        <v>460.556</v>
      </c>
    </row>
    <row r="177" spans="2:11">
      <c r="B177" s="1" t="s">
        <v>123</v>
      </c>
      <c r="C177" s="31">
        <v>460687.6963</v>
      </c>
      <c r="D177" s="31">
        <v>3388873.5458</v>
      </c>
      <c r="E177" s="20">
        <v>27767.7941758128</v>
      </c>
      <c r="F177" s="20">
        <v>27846.9288003617</v>
      </c>
      <c r="G177" s="32">
        <v>56.676</v>
      </c>
      <c r="H177" s="32">
        <v>80</v>
      </c>
      <c r="I177" s="32">
        <v>43.1440270584196</v>
      </c>
      <c r="J177" s="32">
        <v>79.1346245488245</v>
      </c>
      <c r="K177" s="33">
        <v>460.494</v>
      </c>
    </row>
    <row r="178" spans="2:11">
      <c r="C178" s="31"/>
      <c r="D178" s="31"/>
      <c r="E178" s="20"/>
      <c r="F178" s="20"/>
      <c r="G178" s="32"/>
      <c r="H178" s="32"/>
      <c r="I178" s="32"/>
      <c r="J178" s="32"/>
      <c r="K178" s="33"/>
    </row>
    <row r="179" spans="2:11">
      <c r="B179" s="1" t="s">
        <v>1</v>
      </c>
      <c r="C179" s="1" t="s">
        <v>872</v>
      </c>
      <c r="E179" s="1" t="s">
        <v>806</v>
      </c>
      <c r="G179" s="1" t="s">
        <v>873</v>
      </c>
      <c r="K179" s="1" t="s">
        <v>874</v>
      </c>
    </row>
    <row r="180" spans="2:11">
      <c r="C180" s="1" t="s">
        <v>875</v>
      </c>
      <c r="D180" s="1" t="s">
        <v>876</v>
      </c>
      <c r="E180" s="1" t="s">
        <v>877</v>
      </c>
      <c r="F180" s="1" t="s">
        <v>878</v>
      </c>
      <c r="G180" s="1" t="s">
        <v>879</v>
      </c>
      <c r="H180" s="1" t="s">
        <v>880</v>
      </c>
      <c r="I180" s="1" t="s">
        <v>881</v>
      </c>
      <c r="J180" s="1" t="s">
        <v>882</v>
      </c>
    </row>
    <row r="181" spans="2:11">
      <c r="B181" s="1" t="s">
        <v>124</v>
      </c>
      <c r="C181" s="31">
        <v>461246.7079</v>
      </c>
      <c r="D181" s="31">
        <v>3388600.8155</v>
      </c>
      <c r="E181" s="20">
        <v>28384.9123128785</v>
      </c>
      <c r="F181" s="20">
        <v>28460.475295646</v>
      </c>
      <c r="G181" s="32">
        <v>54.118</v>
      </c>
      <c r="H181" s="32">
        <v>80</v>
      </c>
      <c r="I181" s="32">
        <v>40.8658570718686</v>
      </c>
      <c r="J181" s="32">
        <v>75.5629827675433</v>
      </c>
      <c r="K181" s="33">
        <v>460.208</v>
      </c>
    </row>
    <row r="182" spans="2:11">
      <c r="B182" s="1" t="s">
        <v>125</v>
      </c>
      <c r="C182" s="31">
        <v>461285.58</v>
      </c>
      <c r="D182" s="31">
        <v>3388377.51</v>
      </c>
      <c r="E182" s="20">
        <v>28634.780489291</v>
      </c>
      <c r="F182" s="20">
        <v>28657.6093959071</v>
      </c>
      <c r="G182" s="32">
        <v>16.35</v>
      </c>
      <c r="H182" s="32">
        <v>80</v>
      </c>
      <c r="I182" s="32">
        <v>11.4925469091979</v>
      </c>
      <c r="J182" s="32">
        <v>22.8289066160858</v>
      </c>
      <c r="K182" s="33">
        <v>460.102</v>
      </c>
    </row>
    <row r="183" spans="2:11">
      <c r="B183" s="1" t="s">
        <v>126</v>
      </c>
      <c r="C183" s="31">
        <v>461397.7617</v>
      </c>
      <c r="D183" s="31">
        <v>3388149.7808</v>
      </c>
      <c r="E183" s="20">
        <v>28890.7241957216</v>
      </c>
      <c r="F183" s="20">
        <v>28909.149287569</v>
      </c>
      <c r="G183" s="32">
        <v>13.196</v>
      </c>
      <c r="H183" s="32">
        <v>80</v>
      </c>
      <c r="I183" s="32">
        <v>9.25348591394753</v>
      </c>
      <c r="J183" s="32">
        <v>18.4250918474537</v>
      </c>
      <c r="K183" s="33">
        <v>459.985</v>
      </c>
    </row>
    <row r="184" spans="2:11">
      <c r="B184" s="1" t="s">
        <v>127</v>
      </c>
      <c r="C184" s="31">
        <v>461762.5209</v>
      </c>
      <c r="D184" s="31">
        <v>3387706.0571</v>
      </c>
      <c r="E184" s="20">
        <v>29449.217089134</v>
      </c>
      <c r="F184" s="20">
        <v>29497.8293957239</v>
      </c>
      <c r="G184" s="32">
        <v>34.816</v>
      </c>
      <c r="H184" s="32">
        <v>80</v>
      </c>
      <c r="I184" s="32">
        <v>25.0827479581538</v>
      </c>
      <c r="J184" s="32">
        <v>48.6123065899477</v>
      </c>
      <c r="K184" s="33">
        <v>459.721</v>
      </c>
    </row>
    <row r="185" spans="2:11">
      <c r="B185" s="1" t="s">
        <v>128</v>
      </c>
      <c r="C185" s="31">
        <v>462082.391</v>
      </c>
      <c r="D185" s="31">
        <v>3387615.7723</v>
      </c>
      <c r="E185" s="20">
        <v>29784.0870949841</v>
      </c>
      <c r="F185" s="20">
        <v>29825.2112409513</v>
      </c>
      <c r="G185" s="32">
        <v>29.453</v>
      </c>
      <c r="H185" s="32">
        <v>80</v>
      </c>
      <c r="I185" s="32">
        <v>21.0271594840065</v>
      </c>
      <c r="J185" s="32">
        <v>41.1241459671912</v>
      </c>
      <c r="K185" s="33">
        <v>459.567</v>
      </c>
    </row>
    <row r="186" spans="2:11">
      <c r="C186" s="31"/>
      <c r="D186" s="31"/>
      <c r="E186" s="20"/>
      <c r="F186" s="20"/>
      <c r="G186" s="32"/>
      <c r="H186" s="32"/>
      <c r="I186" s="32"/>
      <c r="J186" s="32"/>
      <c r="K186" s="33"/>
    </row>
    <row r="187" spans="2:11">
      <c r="B187" s="1" t="s">
        <v>1</v>
      </c>
      <c r="C187" s="1" t="s">
        <v>872</v>
      </c>
      <c r="E187" s="1" t="s">
        <v>806</v>
      </c>
      <c r="G187" s="1" t="s">
        <v>873</v>
      </c>
      <c r="K187" s="1" t="s">
        <v>874</v>
      </c>
    </row>
    <row r="188" spans="2:11">
      <c r="C188" s="1" t="s">
        <v>875</v>
      </c>
      <c r="D188" s="1" t="s">
        <v>876</v>
      </c>
      <c r="E188" s="1" t="s">
        <v>877</v>
      </c>
      <c r="F188" s="1" t="s">
        <v>878</v>
      </c>
      <c r="G188" s="1" t="s">
        <v>879</v>
      </c>
      <c r="H188" s="1" t="s">
        <v>880</v>
      </c>
      <c r="I188" s="1" t="s">
        <v>881</v>
      </c>
      <c r="J188" s="1" t="s">
        <v>882</v>
      </c>
    </row>
    <row r="189" spans="2:11">
      <c r="B189" s="1" t="s">
        <v>129</v>
      </c>
      <c r="C189" s="31">
        <v>462442.8154</v>
      </c>
      <c r="D189" s="31">
        <v>3387252.6289</v>
      </c>
      <c r="E189" s="20">
        <v>30289.5293716966</v>
      </c>
      <c r="F189" s="20">
        <v>30340.3449819342</v>
      </c>
      <c r="G189" s="32">
        <v>36.394</v>
      </c>
      <c r="H189" s="32">
        <v>80</v>
      </c>
      <c r="I189" s="32">
        <v>26.298020172506</v>
      </c>
      <c r="J189" s="32">
        <v>50.8156102376653</v>
      </c>
      <c r="K189" s="33">
        <v>459.331</v>
      </c>
    </row>
    <row r="190" spans="2:11">
      <c r="B190" s="1" t="s">
        <v>130</v>
      </c>
      <c r="C190" s="31">
        <v>463049.047</v>
      </c>
      <c r="D190" s="31">
        <v>3387158.5441</v>
      </c>
      <c r="E190" s="20">
        <v>30927.5359204477</v>
      </c>
      <c r="F190" s="20">
        <v>30927.5359204477</v>
      </c>
      <c r="G190" s="32">
        <v>0</v>
      </c>
      <c r="H190" s="32">
        <v>0</v>
      </c>
      <c r="I190" s="32">
        <v>0</v>
      </c>
      <c r="J190" s="32">
        <v>0</v>
      </c>
      <c r="K190" s="33">
        <v>459.051</v>
      </c>
    </row>
    <row r="191" spans="2:11">
      <c r="B191" s="1" t="s">
        <v>131</v>
      </c>
      <c r="C191" s="31">
        <v>463083.1912</v>
      </c>
      <c r="D191" s="31">
        <v>3387153.245</v>
      </c>
      <c r="E191" s="20">
        <v>30962.0888776937</v>
      </c>
      <c r="F191" s="20">
        <v>30962.0888776937</v>
      </c>
      <c r="G191" s="32">
        <v>0</v>
      </c>
      <c r="H191" s="32">
        <v>0</v>
      </c>
      <c r="I191" s="32">
        <v>0</v>
      </c>
      <c r="J191" s="32">
        <v>0</v>
      </c>
      <c r="K191" s="33">
        <v>458.974</v>
      </c>
    </row>
    <row r="192" spans="2:11">
      <c r="B192" s="1" t="s">
        <v>132</v>
      </c>
      <c r="C192" s="31">
        <v>463206.8638</v>
      </c>
      <c r="D192" s="31">
        <v>3387134.0514</v>
      </c>
      <c r="E192" s="20">
        <v>31050.7020939155</v>
      </c>
      <c r="F192" s="20">
        <v>31119.2544381436</v>
      </c>
      <c r="G192" s="32">
        <v>49.097</v>
      </c>
      <c r="H192" s="32">
        <v>80</v>
      </c>
      <c r="I192" s="32">
        <v>36.5399150683092</v>
      </c>
      <c r="J192" s="32">
        <v>68.5523442281325</v>
      </c>
      <c r="K192" s="33">
        <v>458.923</v>
      </c>
    </row>
    <row r="193" spans="2:11">
      <c r="B193" s="1" t="s">
        <v>133</v>
      </c>
      <c r="C193" s="31">
        <v>463296.4483</v>
      </c>
      <c r="D193" s="31">
        <v>3386991.139</v>
      </c>
      <c r="E193" s="20">
        <v>31251.3838347894</v>
      </c>
      <c r="F193" s="20">
        <v>31251.3838347894</v>
      </c>
      <c r="G193" s="32">
        <v>0</v>
      </c>
      <c r="H193" s="32">
        <v>0</v>
      </c>
      <c r="I193" s="32">
        <v>0</v>
      </c>
      <c r="J193" s="32">
        <v>0</v>
      </c>
      <c r="K193" s="33">
        <v>458.854</v>
      </c>
    </row>
    <row r="194" spans="2:11">
      <c r="B194" s="1" t="s">
        <v>134</v>
      </c>
      <c r="C194" s="31">
        <v>463385.5443</v>
      </c>
      <c r="D194" s="31">
        <v>3386849.0061</v>
      </c>
      <c r="E194" s="20">
        <v>31407.8949433044</v>
      </c>
      <c r="F194" s="20">
        <v>31430.2253838861</v>
      </c>
      <c r="G194" s="32">
        <v>15.993</v>
      </c>
      <c r="H194" s="32">
        <v>80</v>
      </c>
      <c r="I194" s="32">
        <v>11.2382833719193</v>
      </c>
      <c r="J194" s="32">
        <v>22.3304405817162</v>
      </c>
      <c r="K194" s="33">
        <v>458.826</v>
      </c>
    </row>
    <row r="195" spans="2:11">
      <c r="B195" s="1" t="s">
        <v>135</v>
      </c>
      <c r="C195" s="31">
        <v>463391.7951</v>
      </c>
      <c r="D195" s="31">
        <v>3386827.3336</v>
      </c>
      <c r="E195" s="20">
        <v>31441.543025609</v>
      </c>
      <c r="F195" s="20">
        <v>31441.543025609</v>
      </c>
      <c r="G195" s="32">
        <v>0</v>
      </c>
      <c r="H195" s="32">
        <v>0</v>
      </c>
      <c r="I195" s="32">
        <v>0</v>
      </c>
      <c r="J195" s="32">
        <v>0</v>
      </c>
      <c r="K195" s="33">
        <v>458.773</v>
      </c>
    </row>
    <row r="196" spans="2:11">
      <c r="B196" s="1" t="s">
        <v>136</v>
      </c>
      <c r="C196" s="31">
        <v>463422.8116</v>
      </c>
      <c r="D196" s="31">
        <v>3386719.795</v>
      </c>
      <c r="E196" s="20">
        <v>31553.4652028673</v>
      </c>
      <c r="F196" s="20">
        <v>31553.4652028673</v>
      </c>
      <c r="G196" s="32">
        <v>0</v>
      </c>
      <c r="H196" s="32">
        <v>0</v>
      </c>
      <c r="I196" s="32">
        <v>0</v>
      </c>
      <c r="J196" s="32">
        <v>0</v>
      </c>
      <c r="K196" s="33">
        <v>458.728</v>
      </c>
    </row>
    <row r="197" spans="2:11">
      <c r="C197" s="31"/>
      <c r="D197" s="31"/>
      <c r="E197" s="20"/>
      <c r="F197" s="20"/>
      <c r="G197" s="32"/>
      <c r="H197" s="32"/>
      <c r="I197" s="32"/>
      <c r="J197" s="32"/>
      <c r="K197" s="33"/>
    </row>
    <row r="198" spans="2:11">
      <c r="B198" s="1" t="s">
        <v>1</v>
      </c>
      <c r="C198" s="1" t="s">
        <v>872</v>
      </c>
      <c r="E198" s="1" t="s">
        <v>806</v>
      </c>
      <c r="G198" s="1" t="s">
        <v>873</v>
      </c>
      <c r="K198" s="1" t="s">
        <v>874</v>
      </c>
    </row>
    <row r="199" spans="2:11">
      <c r="C199" s="1" t="s">
        <v>875</v>
      </c>
      <c r="D199" s="1" t="s">
        <v>876</v>
      </c>
      <c r="E199" s="1" t="s">
        <v>877</v>
      </c>
      <c r="F199" s="1" t="s">
        <v>878</v>
      </c>
      <c r="G199" s="1" t="s">
        <v>879</v>
      </c>
      <c r="H199" s="1" t="s">
        <v>880</v>
      </c>
      <c r="I199" s="1" t="s">
        <v>881</v>
      </c>
      <c r="J199" s="1" t="s">
        <v>882</v>
      </c>
    </row>
    <row r="200" spans="2:11">
      <c r="B200" s="1" t="s">
        <v>137</v>
      </c>
      <c r="C200" s="31">
        <v>463440.8268</v>
      </c>
      <c r="D200" s="31">
        <v>3386657.334</v>
      </c>
      <c r="E200" s="35">
        <v>31618.4723098023</v>
      </c>
      <c r="F200" s="35">
        <v>31618.4723098023</v>
      </c>
      <c r="G200" s="32">
        <v>0</v>
      </c>
      <c r="H200" s="32">
        <v>0</v>
      </c>
      <c r="I200" s="32">
        <v>0</v>
      </c>
      <c r="J200" s="32">
        <v>0</v>
      </c>
      <c r="K200" s="33">
        <v>458.685</v>
      </c>
    </row>
    <row r="201" spans="2:11">
      <c r="B201" s="1" t="s">
        <v>138</v>
      </c>
      <c r="C201" s="31">
        <v>463460.2665</v>
      </c>
      <c r="D201" s="31">
        <v>3386589.9337</v>
      </c>
      <c r="E201" s="20">
        <v>31686.0591048873</v>
      </c>
      <c r="F201" s="20">
        <v>31691.179202781</v>
      </c>
      <c r="G201" s="32">
        <v>3.667</v>
      </c>
      <c r="H201" s="32">
        <v>80</v>
      </c>
      <c r="I201" s="32">
        <v>2.56092316837771</v>
      </c>
      <c r="J201" s="32">
        <v>5.12009789365057</v>
      </c>
      <c r="K201" s="33">
        <v>458.653</v>
      </c>
    </row>
    <row r="202" spans="2:11">
      <c r="B202" s="1" t="s">
        <v>139</v>
      </c>
      <c r="C202" s="31">
        <v>463485.2464</v>
      </c>
      <c r="D202" s="31">
        <v>3386520.3824</v>
      </c>
      <c r="E202" s="20">
        <v>31762.5194212525</v>
      </c>
      <c r="F202" s="20">
        <v>31762.5194212525</v>
      </c>
      <c r="G202" s="32">
        <v>0</v>
      </c>
      <c r="H202" s="32">
        <v>0</v>
      </c>
      <c r="I202" s="32">
        <v>0</v>
      </c>
      <c r="J202" s="32">
        <v>0</v>
      </c>
      <c r="K202" s="33">
        <v>458.62</v>
      </c>
    </row>
    <row r="203" spans="2:11">
      <c r="B203" s="1" t="s">
        <v>140</v>
      </c>
      <c r="C203" s="31">
        <v>463531.3641</v>
      </c>
      <c r="D203" s="31">
        <v>3386391.977</v>
      </c>
      <c r="E203" s="20">
        <v>31892.6817881122</v>
      </c>
      <c r="F203" s="20">
        <v>31905.2034782977</v>
      </c>
      <c r="G203" s="32">
        <v>8.968</v>
      </c>
      <c r="H203" s="32">
        <v>80</v>
      </c>
      <c r="I203" s="32">
        <v>6.27365845061111</v>
      </c>
      <c r="J203" s="32">
        <v>12.5216901855081</v>
      </c>
      <c r="K203" s="33">
        <v>458.572</v>
      </c>
    </row>
    <row r="204" spans="2:11">
      <c r="B204" s="1" t="s">
        <v>141</v>
      </c>
      <c r="C204" s="31">
        <v>463565.7897</v>
      </c>
      <c r="D204" s="31">
        <v>3386211.3022</v>
      </c>
      <c r="E204" s="20">
        <v>32062.4856497286</v>
      </c>
      <c r="F204" s="20">
        <v>32102.3768951122</v>
      </c>
      <c r="G204" s="32">
        <v>28.57</v>
      </c>
      <c r="H204" s="32">
        <v>80</v>
      </c>
      <c r="I204" s="32">
        <v>20.3694410587486</v>
      </c>
      <c r="J204" s="32">
        <v>39.8912453835824</v>
      </c>
      <c r="K204" s="33">
        <v>458.537</v>
      </c>
    </row>
    <row r="205" spans="2:11">
      <c r="B205" s="1" t="s">
        <v>142</v>
      </c>
      <c r="C205" s="31">
        <v>463625.2019</v>
      </c>
      <c r="D205" s="31">
        <v>3386138.8642</v>
      </c>
      <c r="E205" s="20">
        <v>32160.7139485065</v>
      </c>
      <c r="F205" s="20">
        <v>32190.3300915177</v>
      </c>
      <c r="G205" s="32">
        <v>21.211</v>
      </c>
      <c r="H205" s="32">
        <v>80</v>
      </c>
      <c r="I205" s="32">
        <v>14.9795416077502</v>
      </c>
      <c r="J205" s="32">
        <v>29.6161430112414</v>
      </c>
      <c r="K205" s="33">
        <v>458.518</v>
      </c>
    </row>
    <row r="206" spans="2:11">
      <c r="B206" s="1" t="s">
        <v>143</v>
      </c>
      <c r="C206" s="31">
        <v>463704.6662</v>
      </c>
      <c r="D206" s="31">
        <v>3385896.4107</v>
      </c>
      <c r="E206" s="20">
        <v>32395.8742649667</v>
      </c>
      <c r="F206" s="20">
        <v>32461.2207884248</v>
      </c>
      <c r="G206" s="32">
        <v>46.801</v>
      </c>
      <c r="H206" s="32">
        <v>80</v>
      </c>
      <c r="I206" s="32">
        <v>34.6199202486749</v>
      </c>
      <c r="J206" s="32">
        <v>65.3465234580693</v>
      </c>
      <c r="K206" s="33">
        <v>458.469</v>
      </c>
    </row>
    <row r="207" spans="2:11">
      <c r="B207" s="1" t="s">
        <v>144</v>
      </c>
      <c r="C207" s="31">
        <v>463816.6313</v>
      </c>
      <c r="D207" s="31">
        <v>3385844.0766</v>
      </c>
      <c r="E207" s="20">
        <v>32539.493957948</v>
      </c>
      <c r="F207" s="20">
        <v>32560.7660308713</v>
      </c>
      <c r="G207" s="32">
        <v>15.235</v>
      </c>
      <c r="H207" s="32">
        <v>80</v>
      </c>
      <c r="I207" s="32">
        <v>10.6991496319013</v>
      </c>
      <c r="J207" s="32">
        <v>21.2720729233069</v>
      </c>
      <c r="K207" s="33">
        <v>458.445</v>
      </c>
    </row>
    <row r="208" spans="2:11">
      <c r="B208" s="1" t="s">
        <v>145</v>
      </c>
      <c r="C208" s="31">
        <v>463946.5791</v>
      </c>
      <c r="D208" s="31">
        <v>3385821.5899</v>
      </c>
      <c r="E208" s="20">
        <v>32680.7932306299</v>
      </c>
      <c r="F208" s="20">
        <v>32683.0984615059</v>
      </c>
      <c r="G208" s="32">
        <v>1.651</v>
      </c>
      <c r="H208" s="32">
        <v>80</v>
      </c>
      <c r="I208" s="32">
        <v>1.15269519856521</v>
      </c>
      <c r="J208" s="32">
        <v>2.30523087603411</v>
      </c>
      <c r="K208" s="33">
        <v>458.42</v>
      </c>
    </row>
    <row r="209" spans="2:11">
      <c r="B209" s="1" t="s">
        <v>146</v>
      </c>
      <c r="C209" s="31">
        <v>463970.0768</v>
      </c>
      <c r="D209" s="31">
        <v>3385816.8227</v>
      </c>
      <c r="E209" s="20">
        <v>32705.9221734846</v>
      </c>
      <c r="F209" s="20">
        <v>32705.9221734846</v>
      </c>
      <c r="G209" s="32">
        <v>0</v>
      </c>
      <c r="H209" s="32">
        <v>0</v>
      </c>
      <c r="I209" s="32">
        <v>0</v>
      </c>
      <c r="J209" s="32">
        <v>0</v>
      </c>
      <c r="K209" s="33">
        <v>458.381</v>
      </c>
    </row>
    <row r="210" spans="2:11">
      <c r="B210" s="1" t="s">
        <v>147</v>
      </c>
      <c r="C210" s="31">
        <v>464163.6458</v>
      </c>
      <c r="D210" s="31">
        <v>3385777.5509</v>
      </c>
      <c r="E210" s="20">
        <v>32885.9729497248</v>
      </c>
      <c r="F210" s="20">
        <v>32920.3573322525</v>
      </c>
      <c r="G210" s="32">
        <v>24.626</v>
      </c>
      <c r="H210" s="32">
        <v>80</v>
      </c>
      <c r="I210" s="32">
        <v>17.4618361070859</v>
      </c>
      <c r="J210" s="32">
        <v>34.3843825276899</v>
      </c>
      <c r="K210" s="33">
        <v>458.29</v>
      </c>
    </row>
    <row r="211" spans="2:11">
      <c r="B211" s="1" t="s">
        <v>148</v>
      </c>
      <c r="C211" s="31">
        <v>464200.3203</v>
      </c>
      <c r="D211" s="31">
        <v>3385786.1242</v>
      </c>
      <c r="E211" s="20">
        <v>32940.5587464451</v>
      </c>
      <c r="F211" s="20">
        <v>32940.5587464451</v>
      </c>
      <c r="G211" s="32">
        <v>0</v>
      </c>
      <c r="H211" s="32">
        <v>0</v>
      </c>
      <c r="I211" s="32">
        <v>0</v>
      </c>
      <c r="J211" s="32">
        <v>0</v>
      </c>
      <c r="K211" s="33">
        <v>458.272</v>
      </c>
    </row>
    <row r="212" spans="2:11">
      <c r="B212" s="1" t="s">
        <v>149</v>
      </c>
      <c r="C212" s="31">
        <v>464240.2664</v>
      </c>
      <c r="D212" s="31">
        <v>3385795.4623</v>
      </c>
      <c r="E212" s="20">
        <v>32981.5818011438</v>
      </c>
      <c r="F212" s="20">
        <v>32981.5818011438</v>
      </c>
      <c r="G212" s="32">
        <v>0</v>
      </c>
      <c r="H212" s="32">
        <v>0</v>
      </c>
      <c r="I212" s="32">
        <v>0</v>
      </c>
      <c r="J212" s="32">
        <v>0</v>
      </c>
      <c r="K212" s="33">
        <v>458.208</v>
      </c>
    </row>
    <row r="213" spans="2:11">
      <c r="B213" s="1" t="s">
        <v>150</v>
      </c>
      <c r="C213" s="31">
        <v>464394.7221</v>
      </c>
      <c r="D213" s="31">
        <v>3385831.5691</v>
      </c>
      <c r="E213" s="20">
        <v>33140.2016746425</v>
      </c>
      <c r="F213" s="20">
        <v>33140.2016746425</v>
      </c>
      <c r="G213" s="32">
        <v>0</v>
      </c>
      <c r="H213" s="32">
        <v>0</v>
      </c>
      <c r="I213" s="32">
        <v>0</v>
      </c>
      <c r="J213" s="32">
        <v>0</v>
      </c>
      <c r="K213" s="33">
        <v>458.136</v>
      </c>
    </row>
    <row r="214" spans="2:11">
      <c r="B214" s="1" t="s">
        <v>151</v>
      </c>
      <c r="C214" s="31">
        <v>464405.8412</v>
      </c>
      <c r="D214" s="31">
        <v>3385834.1683</v>
      </c>
      <c r="E214" s="20">
        <v>33145.2930228292</v>
      </c>
      <c r="F214" s="20">
        <v>33157.8440345462</v>
      </c>
      <c r="G214" s="32">
        <v>17.978</v>
      </c>
      <c r="H214" s="32">
        <v>40</v>
      </c>
      <c r="I214" s="32">
        <v>6.32750575972425</v>
      </c>
      <c r="J214" s="32">
        <v>12.5510117169416</v>
      </c>
      <c r="K214" s="33">
        <v>458.112</v>
      </c>
    </row>
    <row r="215" spans="2:11">
      <c r="C215" s="31"/>
      <c r="D215" s="31"/>
      <c r="E215" s="20"/>
      <c r="F215" s="20"/>
      <c r="G215" s="32"/>
      <c r="H215" s="32"/>
      <c r="I215" s="32"/>
      <c r="J215" s="32"/>
      <c r="K215" s="33"/>
    </row>
    <row r="216" spans="2:11">
      <c r="B216" s="1" t="s">
        <v>1</v>
      </c>
      <c r="C216" s="1" t="s">
        <v>872</v>
      </c>
      <c r="E216" s="1" t="s">
        <v>806</v>
      </c>
      <c r="G216" s="1" t="s">
        <v>873</v>
      </c>
      <c r="K216" s="1" t="s">
        <v>874</v>
      </c>
    </row>
    <row r="217" spans="2:11">
      <c r="C217" s="1" t="s">
        <v>875</v>
      </c>
      <c r="D217" s="1" t="s">
        <v>876</v>
      </c>
      <c r="E217" s="1" t="s">
        <v>877</v>
      </c>
      <c r="F217" s="1" t="s">
        <v>878</v>
      </c>
      <c r="G217" s="1" t="s">
        <v>879</v>
      </c>
      <c r="H217" s="1" t="s">
        <v>880</v>
      </c>
      <c r="I217" s="1" t="s">
        <v>881</v>
      </c>
      <c r="J217" s="1" t="s">
        <v>882</v>
      </c>
    </row>
    <row r="218" spans="2:11">
      <c r="B218" s="1" t="s">
        <v>152</v>
      </c>
      <c r="C218" s="31">
        <v>464445.6896</v>
      </c>
      <c r="D218" s="31">
        <v>3385830.8076</v>
      </c>
      <c r="E218" s="20">
        <v>33191.5063935905</v>
      </c>
      <c r="F218" s="20">
        <v>33191.5063935905</v>
      </c>
      <c r="G218" s="32">
        <v>0</v>
      </c>
      <c r="H218" s="32">
        <v>0</v>
      </c>
      <c r="I218" s="32">
        <v>0</v>
      </c>
      <c r="J218" s="32">
        <v>0</v>
      </c>
      <c r="K218" s="33">
        <v>458.07</v>
      </c>
    </row>
    <row r="219" spans="2:11">
      <c r="B219" s="1" t="s">
        <v>153</v>
      </c>
      <c r="C219" s="31">
        <v>464621.6508</v>
      </c>
      <c r="D219" s="31">
        <v>3385815.9674</v>
      </c>
      <c r="E219" s="20">
        <v>33368.09228046</v>
      </c>
      <c r="F219" s="20">
        <v>33368.09228046</v>
      </c>
      <c r="G219" s="32">
        <v>0</v>
      </c>
      <c r="H219" s="32">
        <v>0</v>
      </c>
      <c r="I219" s="32">
        <v>0</v>
      </c>
      <c r="J219" s="32">
        <v>0</v>
      </c>
      <c r="K219" s="33">
        <v>457.99</v>
      </c>
    </row>
    <row r="220" spans="2:11">
      <c r="B220" s="1" t="s">
        <v>154</v>
      </c>
      <c r="C220" s="31">
        <v>464789.2071</v>
      </c>
      <c r="D220" s="31">
        <v>3385801.8361</v>
      </c>
      <c r="E220" s="20">
        <v>33494.7851057716</v>
      </c>
      <c r="F220" s="20">
        <v>33571.2849812816</v>
      </c>
      <c r="G220" s="32">
        <v>54.789</v>
      </c>
      <c r="H220" s="32">
        <v>80</v>
      </c>
      <c r="I220" s="32">
        <v>41.4583189288653</v>
      </c>
      <c r="J220" s="32">
        <v>76.4998755100139</v>
      </c>
      <c r="K220" s="33">
        <v>457.935</v>
      </c>
    </row>
    <row r="221" spans="2:11">
      <c r="B221" s="1" t="s">
        <v>155</v>
      </c>
      <c r="C221" s="31">
        <v>464830.0338</v>
      </c>
      <c r="D221" s="31">
        <v>3385732.2215</v>
      </c>
      <c r="E221" s="20">
        <v>33610.5298962783</v>
      </c>
      <c r="F221" s="20">
        <v>33610.5298962783</v>
      </c>
      <c r="G221" s="32">
        <v>0</v>
      </c>
      <c r="H221" s="32">
        <v>0</v>
      </c>
      <c r="I221" s="32">
        <v>0</v>
      </c>
      <c r="J221" s="32">
        <v>0</v>
      </c>
      <c r="K221" s="33">
        <v>457.885</v>
      </c>
    </row>
    <row r="222" spans="2:11">
      <c r="B222" s="1" t="s">
        <v>156</v>
      </c>
      <c r="C222" s="31">
        <v>464894.4536</v>
      </c>
      <c r="D222" s="31">
        <v>3385622.3781</v>
      </c>
      <c r="E222" s="20">
        <v>33737.8699259455</v>
      </c>
      <c r="F222" s="20">
        <v>33737.8699259455</v>
      </c>
      <c r="G222" s="32">
        <v>0</v>
      </c>
      <c r="H222" s="32">
        <v>0</v>
      </c>
      <c r="I222" s="32">
        <v>0</v>
      </c>
      <c r="J222" s="32">
        <v>0</v>
      </c>
      <c r="K222" s="33">
        <v>457.828</v>
      </c>
    </row>
    <row r="223" spans="2:11">
      <c r="B223" s="1" t="s">
        <v>157</v>
      </c>
      <c r="C223" s="31">
        <v>464928.592</v>
      </c>
      <c r="D223" s="31">
        <v>3385564.168</v>
      </c>
      <c r="E223" s="20">
        <v>33780.4861947703</v>
      </c>
      <c r="F223" s="20">
        <v>33828.7033588176</v>
      </c>
      <c r="G223" s="32">
        <v>34.533</v>
      </c>
      <c r="H223" s="32">
        <v>80</v>
      </c>
      <c r="I223" s="32">
        <v>24.8659221335572</v>
      </c>
      <c r="J223" s="32">
        <v>48.2171640472962</v>
      </c>
      <c r="K223" s="33">
        <v>457.792</v>
      </c>
    </row>
    <row r="224" spans="2:11">
      <c r="B224" s="1" t="s">
        <v>158</v>
      </c>
      <c r="C224" s="31">
        <v>464975.1991</v>
      </c>
      <c r="D224" s="31">
        <v>3385542.3591</v>
      </c>
      <c r="E224" s="20">
        <v>33855.2946994331</v>
      </c>
      <c r="F224" s="20">
        <v>33855.2946994331</v>
      </c>
      <c r="G224" s="32">
        <v>0</v>
      </c>
      <c r="H224" s="32">
        <v>0</v>
      </c>
      <c r="I224" s="32">
        <v>0</v>
      </c>
      <c r="J224" s="32">
        <v>0</v>
      </c>
      <c r="K224" s="33">
        <v>457.748</v>
      </c>
    </row>
    <row r="225" spans="2:11">
      <c r="B225" s="1" t="s">
        <v>159</v>
      </c>
      <c r="C225" s="31">
        <v>465171.0465</v>
      </c>
      <c r="D225" s="31">
        <v>3385450.7161</v>
      </c>
      <c r="E225" s="20">
        <v>34071.5229203844</v>
      </c>
      <c r="F225" s="20">
        <v>34071.5229203844</v>
      </c>
      <c r="G225" s="32">
        <v>0</v>
      </c>
      <c r="H225" s="32">
        <v>0</v>
      </c>
      <c r="I225" s="32">
        <v>0</v>
      </c>
      <c r="J225" s="32">
        <v>0</v>
      </c>
      <c r="K225" s="33">
        <v>457.65</v>
      </c>
    </row>
    <row r="226" spans="2:11">
      <c r="B226" s="1" t="s">
        <v>160</v>
      </c>
      <c r="C226" s="31">
        <v>465250.4602</v>
      </c>
      <c r="D226" s="31">
        <v>3385413.5559</v>
      </c>
      <c r="E226" s="20">
        <v>34151.223898804</v>
      </c>
      <c r="F226" s="20">
        <v>34167.0847529144</v>
      </c>
      <c r="G226" s="32">
        <v>15.146</v>
      </c>
      <c r="H226" s="32">
        <v>60</v>
      </c>
      <c r="I226" s="32">
        <v>7.97693334685263</v>
      </c>
      <c r="J226" s="32">
        <v>15.8608541104237</v>
      </c>
      <c r="K226" s="33">
        <v>457.611</v>
      </c>
    </row>
    <row r="227" spans="2:11">
      <c r="B227" s="1" t="s">
        <v>161</v>
      </c>
      <c r="C227" s="31">
        <v>465266.6371</v>
      </c>
      <c r="D227" s="31">
        <v>3385410.7236</v>
      </c>
      <c r="E227" s="20">
        <v>34175.5307917985</v>
      </c>
      <c r="F227" s="20">
        <v>34175.5307917985</v>
      </c>
      <c r="G227" s="32">
        <v>0</v>
      </c>
      <c r="H227" s="32">
        <v>0</v>
      </c>
      <c r="I227" s="32">
        <v>0</v>
      </c>
      <c r="J227" s="32">
        <v>0</v>
      </c>
      <c r="K227" s="33">
        <v>457.574</v>
      </c>
    </row>
    <row r="228" spans="2:11">
      <c r="B228" s="1" t="s">
        <v>162</v>
      </c>
      <c r="C228" s="31">
        <v>465313.2992</v>
      </c>
      <c r="D228" s="31">
        <v>3385402.5537</v>
      </c>
      <c r="E228" s="20">
        <v>34222.9027121989</v>
      </c>
      <c r="F228" s="20">
        <v>34222.9027121989</v>
      </c>
      <c r="G228" s="32">
        <v>0</v>
      </c>
      <c r="H228" s="32">
        <v>0</v>
      </c>
      <c r="I228" s="32">
        <v>0</v>
      </c>
      <c r="J228" s="32">
        <v>0</v>
      </c>
      <c r="K228" s="33">
        <v>457.552</v>
      </c>
    </row>
    <row r="229" spans="2:11">
      <c r="B229" s="1" t="s">
        <v>163</v>
      </c>
      <c r="C229" s="31">
        <v>465350.2736</v>
      </c>
      <c r="D229" s="31">
        <v>3385396.08</v>
      </c>
      <c r="E229" s="20">
        <v>34246.4492681339</v>
      </c>
      <c r="F229" s="20">
        <v>34274.1497377582</v>
      </c>
      <c r="G229" s="32">
        <v>19.839</v>
      </c>
      <c r="H229" s="32">
        <v>80</v>
      </c>
      <c r="I229" s="32">
        <v>13.9902932541931</v>
      </c>
      <c r="J229" s="32">
        <v>27.7004696242524</v>
      </c>
      <c r="K229" s="33">
        <v>457.523</v>
      </c>
    </row>
    <row r="230" spans="2:11">
      <c r="B230" s="1" t="s">
        <v>164</v>
      </c>
      <c r="C230" s="31">
        <v>465484.0095</v>
      </c>
      <c r="D230" s="31">
        <v>3385319.5807</v>
      </c>
      <c r="E230" s="20">
        <v>34404.043183583</v>
      </c>
      <c r="F230" s="20">
        <v>34423.9909006699</v>
      </c>
      <c r="G230" s="32">
        <v>28.573</v>
      </c>
      <c r="H230" s="32">
        <v>40</v>
      </c>
      <c r="I230" s="32">
        <v>10.1858356245244</v>
      </c>
      <c r="J230" s="32">
        <v>19.9477170868936</v>
      </c>
      <c r="K230" s="33">
        <v>457.493</v>
      </c>
    </row>
    <row r="231" spans="2:11">
      <c r="B231" s="1" t="s">
        <v>165</v>
      </c>
      <c r="C231" s="31">
        <v>465502.3086</v>
      </c>
      <c r="D231" s="31">
        <v>3385319.1981</v>
      </c>
      <c r="E231" s="20">
        <v>34432.108164334</v>
      </c>
      <c r="F231" s="20">
        <v>34432.108164334</v>
      </c>
      <c r="G231" s="32">
        <v>0</v>
      </c>
      <c r="H231" s="32">
        <v>0</v>
      </c>
      <c r="I231" s="32">
        <v>0</v>
      </c>
      <c r="J231" s="32">
        <v>0</v>
      </c>
      <c r="K231" s="33">
        <v>457.455</v>
      </c>
    </row>
    <row r="232" spans="2:11">
      <c r="B232" s="1" t="s">
        <v>166</v>
      </c>
      <c r="C232" s="31">
        <v>465571.1375</v>
      </c>
      <c r="D232" s="31">
        <v>3385317.759</v>
      </c>
      <c r="E232" s="20">
        <v>34500.9521073067</v>
      </c>
      <c r="F232" s="20">
        <v>34500.9521073067</v>
      </c>
      <c r="G232" s="32">
        <v>0</v>
      </c>
      <c r="H232" s="32">
        <v>0</v>
      </c>
      <c r="I232" s="32">
        <v>0</v>
      </c>
      <c r="J232" s="32">
        <v>0</v>
      </c>
      <c r="K232" s="33">
        <v>457.424</v>
      </c>
    </row>
    <row r="233" spans="2:11">
      <c r="B233" s="1" t="s">
        <v>167</v>
      </c>
      <c r="C233" s="31">
        <v>465679.0483</v>
      </c>
      <c r="D233" s="31">
        <v>3385315.5027</v>
      </c>
      <c r="E233" s="20">
        <v>34591.4816972142</v>
      </c>
      <c r="F233" s="20">
        <v>34625.7571711966</v>
      </c>
      <c r="G233" s="32">
        <v>24.548</v>
      </c>
      <c r="H233" s="32">
        <v>80</v>
      </c>
      <c r="I233" s="32">
        <v>17.4047959309447</v>
      </c>
      <c r="J233" s="32">
        <v>34.2754739823654</v>
      </c>
      <c r="K233" s="33">
        <v>457.381</v>
      </c>
    </row>
    <row r="234" spans="2:11">
      <c r="C234" s="31"/>
      <c r="D234" s="31"/>
      <c r="E234" s="20"/>
      <c r="F234" s="20"/>
      <c r="G234" s="32"/>
      <c r="H234" s="32"/>
      <c r="I234" s="32"/>
      <c r="J234" s="32"/>
      <c r="K234" s="33"/>
    </row>
    <row r="235" spans="2:11">
      <c r="B235" s="1" t="s">
        <v>1</v>
      </c>
      <c r="C235" s="1" t="s">
        <v>872</v>
      </c>
      <c r="E235" s="1" t="s">
        <v>806</v>
      </c>
      <c r="G235" s="1" t="s">
        <v>873</v>
      </c>
      <c r="K235" s="1" t="s">
        <v>874</v>
      </c>
    </row>
    <row r="236" spans="2:11">
      <c r="C236" s="1" t="s">
        <v>875</v>
      </c>
      <c r="D236" s="1" t="s">
        <v>876</v>
      </c>
      <c r="E236" s="1" t="s">
        <v>877</v>
      </c>
      <c r="F236" s="1" t="s">
        <v>878</v>
      </c>
      <c r="G236" s="1" t="s">
        <v>879</v>
      </c>
      <c r="H236" s="1" t="s">
        <v>880</v>
      </c>
      <c r="I236" s="1" t="s">
        <v>881</v>
      </c>
      <c r="J236" s="1" t="s">
        <v>882</v>
      </c>
    </row>
    <row r="237" spans="2:11">
      <c r="B237" s="1" t="s">
        <v>168</v>
      </c>
      <c r="C237" s="31">
        <v>465841.2765</v>
      </c>
      <c r="D237" s="31">
        <v>3385237.2681</v>
      </c>
      <c r="E237" s="20">
        <v>34750.7445917527</v>
      </c>
      <c r="F237" s="20">
        <v>34821.230760792</v>
      </c>
      <c r="G237" s="32">
        <v>50.482</v>
      </c>
      <c r="H237" s="32">
        <v>80</v>
      </c>
      <c r="I237" s="32">
        <v>37.7150890627292</v>
      </c>
      <c r="J237" s="32">
        <v>70.4861690393422</v>
      </c>
      <c r="K237" s="33">
        <v>457.346</v>
      </c>
    </row>
    <row r="238" spans="2:11">
      <c r="B238" s="1" t="s">
        <v>169</v>
      </c>
      <c r="C238" s="31">
        <v>465882.3205</v>
      </c>
      <c r="D238" s="31">
        <v>3385069.8159</v>
      </c>
      <c r="E238" s="20">
        <v>34933.0703513428</v>
      </c>
      <c r="F238" s="20">
        <v>34977.5930024295</v>
      </c>
      <c r="G238" s="32">
        <v>31.887</v>
      </c>
      <c r="H238" s="32">
        <v>80</v>
      </c>
      <c r="I238" s="32">
        <v>22.8542796110524</v>
      </c>
      <c r="J238" s="32">
        <v>44.5226510866745</v>
      </c>
      <c r="K238" s="33">
        <v>457.312</v>
      </c>
    </row>
    <row r="239" spans="2:11">
      <c r="B239" s="1" t="s">
        <v>170</v>
      </c>
      <c r="C239" s="31">
        <v>466152.1311</v>
      </c>
      <c r="D239" s="31">
        <v>3384806.1444</v>
      </c>
      <c r="E239" s="20">
        <v>35308.8411806264</v>
      </c>
      <c r="F239" s="35">
        <v>35353.9125632299</v>
      </c>
      <c r="G239" s="32">
        <v>32.28</v>
      </c>
      <c r="H239" s="32">
        <v>80</v>
      </c>
      <c r="I239" s="32">
        <v>23.1513291637267</v>
      </c>
      <c r="J239" s="32">
        <v>45.0713826035016</v>
      </c>
      <c r="K239" s="33">
        <v>457.24</v>
      </c>
    </row>
    <row r="240" spans="2:11">
      <c r="B240" s="1" t="s">
        <v>171</v>
      </c>
      <c r="C240" s="31">
        <v>466202.6279</v>
      </c>
      <c r="D240" s="31">
        <v>3384593.8424</v>
      </c>
      <c r="E240" s="20">
        <v>35534.85900553</v>
      </c>
      <c r="F240" s="20">
        <v>35562.8247652006</v>
      </c>
      <c r="G240" s="32">
        <v>20.029</v>
      </c>
      <c r="H240" s="32">
        <v>80</v>
      </c>
      <c r="I240" s="32">
        <v>14.1270346749183</v>
      </c>
      <c r="J240" s="32">
        <v>27.9657596705555</v>
      </c>
      <c r="K240" s="33">
        <v>457.199</v>
      </c>
    </row>
    <row r="241" spans="2:11">
      <c r="B241" s="1" t="s">
        <v>172</v>
      </c>
      <c r="C241" s="31">
        <v>466196.3407</v>
      </c>
      <c r="D241" s="31">
        <v>3384539.9128</v>
      </c>
      <c r="E241" s="35">
        <v>35602.9925796367</v>
      </c>
      <c r="F241" s="35">
        <v>35602.9925796367</v>
      </c>
      <c r="G241" s="32">
        <v>0</v>
      </c>
      <c r="H241" s="32">
        <v>0</v>
      </c>
      <c r="I241" s="32">
        <v>0</v>
      </c>
      <c r="J241" s="32">
        <v>0</v>
      </c>
      <c r="K241" s="33">
        <v>457.154</v>
      </c>
    </row>
    <row r="242" spans="2:11">
      <c r="B242" s="1" t="s">
        <v>173</v>
      </c>
      <c r="C242" s="31">
        <v>466179.1419</v>
      </c>
      <c r="D242" s="31">
        <v>3384392.3895</v>
      </c>
      <c r="E242" s="20">
        <v>35751.5150451573</v>
      </c>
      <c r="F242" s="20">
        <v>35751.5150451573</v>
      </c>
      <c r="G242" s="32">
        <v>0</v>
      </c>
      <c r="H242" s="32">
        <v>0</v>
      </c>
      <c r="I242" s="32">
        <v>0</v>
      </c>
      <c r="J242" s="32">
        <v>0</v>
      </c>
      <c r="K242" s="33">
        <v>457.086</v>
      </c>
    </row>
    <row r="243" spans="2:11">
      <c r="B243" s="1" t="s">
        <v>174</v>
      </c>
      <c r="C243" s="31">
        <v>466175.3234</v>
      </c>
      <c r="D243" s="31">
        <v>3384359.6355</v>
      </c>
      <c r="E243" s="20">
        <v>35770.3784246675</v>
      </c>
      <c r="F243" s="20">
        <v>35796.7604725748</v>
      </c>
      <c r="G243" s="32">
        <v>50.386</v>
      </c>
      <c r="H243" s="32">
        <v>30</v>
      </c>
      <c r="I243" s="32">
        <v>14.112451916212</v>
      </c>
      <c r="J243" s="32">
        <v>26.3820479072959</v>
      </c>
      <c r="K243" s="33">
        <v>457.058</v>
      </c>
    </row>
    <row r="244" spans="2:11">
      <c r="B244" s="1" t="s">
        <v>175</v>
      </c>
      <c r="C244" s="31">
        <v>466191.4211</v>
      </c>
      <c r="D244" s="31">
        <v>3384342.8118</v>
      </c>
      <c r="E244" s="35">
        <v>35805.9326255937</v>
      </c>
      <c r="F244" s="35">
        <v>35805.9326255937</v>
      </c>
      <c r="G244" s="32">
        <v>0</v>
      </c>
      <c r="H244" s="32">
        <v>0</v>
      </c>
      <c r="I244" s="32">
        <v>0</v>
      </c>
      <c r="J244" s="32">
        <v>0</v>
      </c>
      <c r="K244" s="33">
        <v>457.019</v>
      </c>
    </row>
    <row r="245" spans="2:11">
      <c r="B245" s="1" t="s">
        <v>176</v>
      </c>
      <c r="C245" s="31">
        <v>466383.7682</v>
      </c>
      <c r="D245" s="31">
        <v>3384141.7909</v>
      </c>
      <c r="E245" s="20">
        <v>36084.153417619</v>
      </c>
      <c r="F245" s="20">
        <v>36084.153417619</v>
      </c>
      <c r="G245" s="32">
        <v>0</v>
      </c>
      <c r="H245" s="32">
        <v>0</v>
      </c>
      <c r="I245" s="32">
        <v>0</v>
      </c>
      <c r="J245" s="32">
        <v>0</v>
      </c>
      <c r="K245" s="33">
        <v>456.892</v>
      </c>
    </row>
    <row r="246" spans="2:11">
      <c r="B246" s="1" t="s">
        <v>177</v>
      </c>
      <c r="C246" s="31">
        <v>466408.7468</v>
      </c>
      <c r="D246" s="31">
        <v>3384115.6859</v>
      </c>
      <c r="E246" s="20">
        <v>36110.1440699706</v>
      </c>
      <c r="F246" s="20">
        <v>36130.3158873334</v>
      </c>
      <c r="G246" s="32">
        <v>14.447</v>
      </c>
      <c r="H246" s="32">
        <v>80</v>
      </c>
      <c r="I246" s="32">
        <v>10.1396878482679</v>
      </c>
      <c r="J246" s="32">
        <v>20.1718173628497</v>
      </c>
      <c r="K246" s="33">
        <v>456.863</v>
      </c>
    </row>
    <row r="247" spans="2:11">
      <c r="B247" s="1" t="s">
        <v>178</v>
      </c>
      <c r="C247" s="31">
        <v>466426.0486</v>
      </c>
      <c r="D247" s="31">
        <v>3384104.9514</v>
      </c>
      <c r="E247" s="20">
        <v>36140.537480719</v>
      </c>
      <c r="F247" s="20">
        <v>36140.537480719</v>
      </c>
      <c r="G247" s="32">
        <v>0</v>
      </c>
      <c r="H247" s="32">
        <v>0</v>
      </c>
      <c r="I247" s="32">
        <v>0</v>
      </c>
      <c r="J247" s="32">
        <v>0</v>
      </c>
      <c r="K247" s="33">
        <v>456.825</v>
      </c>
    </row>
    <row r="248" spans="2:11">
      <c r="B248" s="1" t="s">
        <v>179</v>
      </c>
      <c r="C248" s="31">
        <v>466545.4593</v>
      </c>
      <c r="D248" s="31">
        <v>3384030.8661</v>
      </c>
      <c r="E248" s="20">
        <v>36281.0634461153</v>
      </c>
      <c r="F248" s="20">
        <v>36281.0634461153</v>
      </c>
      <c r="G248" s="32">
        <v>0</v>
      </c>
      <c r="H248" s="32">
        <v>0</v>
      </c>
      <c r="I248" s="32">
        <v>0</v>
      </c>
      <c r="J248" s="32">
        <v>0</v>
      </c>
      <c r="K248" s="33">
        <v>456.761</v>
      </c>
    </row>
    <row r="249" spans="2:11">
      <c r="B249" s="1" t="s">
        <v>180</v>
      </c>
      <c r="C249" s="31">
        <v>466597.8374</v>
      </c>
      <c r="D249" s="31">
        <v>3383998.3694</v>
      </c>
      <c r="E249" s="20">
        <v>36330.5432555182</v>
      </c>
      <c r="F249" s="20">
        <v>36354.6790646782</v>
      </c>
      <c r="G249" s="32">
        <v>17.286</v>
      </c>
      <c r="H249" s="32">
        <v>80</v>
      </c>
      <c r="I249" s="32">
        <v>12.160282019087</v>
      </c>
      <c r="J249" s="32">
        <v>24.1358091599792</v>
      </c>
      <c r="K249" s="33">
        <v>456.727</v>
      </c>
    </row>
    <row r="250" spans="2:11">
      <c r="C250" s="31"/>
      <c r="D250" s="31"/>
      <c r="E250" s="20"/>
      <c r="F250" s="20"/>
      <c r="G250" s="32"/>
      <c r="H250" s="32"/>
      <c r="I250" s="32"/>
      <c r="J250" s="32"/>
      <c r="K250" s="33"/>
    </row>
    <row r="251" spans="2:11">
      <c r="B251" s="1" t="s">
        <v>1</v>
      </c>
      <c r="C251" s="1" t="s">
        <v>872</v>
      </c>
      <c r="E251" s="1" t="s">
        <v>806</v>
      </c>
      <c r="G251" s="1" t="s">
        <v>873</v>
      </c>
      <c r="K251" s="1" t="s">
        <v>874</v>
      </c>
    </row>
    <row r="252" spans="2:11">
      <c r="C252" s="1" t="s">
        <v>875</v>
      </c>
      <c r="D252" s="1" t="s">
        <v>876</v>
      </c>
      <c r="E252" s="1" t="s">
        <v>877</v>
      </c>
      <c r="F252" s="1" t="s">
        <v>878</v>
      </c>
      <c r="G252" s="1" t="s">
        <v>879</v>
      </c>
      <c r="H252" s="1" t="s">
        <v>880</v>
      </c>
      <c r="I252" s="1" t="s">
        <v>881</v>
      </c>
      <c r="J252" s="1" t="s">
        <v>882</v>
      </c>
    </row>
    <row r="253" spans="2:11">
      <c r="B253" s="1" t="s">
        <v>181</v>
      </c>
      <c r="C253" s="31">
        <v>466644.688</v>
      </c>
      <c r="D253" s="31">
        <v>3383986.2265</v>
      </c>
      <c r="E253" s="20">
        <v>36390.9174266564</v>
      </c>
      <c r="F253" s="20">
        <v>36390.9174266564</v>
      </c>
      <c r="G253" s="32">
        <v>0</v>
      </c>
      <c r="H253" s="32">
        <v>0</v>
      </c>
      <c r="I253" s="32">
        <v>0</v>
      </c>
      <c r="J253" s="32">
        <v>0</v>
      </c>
      <c r="K253" s="33">
        <v>456.67</v>
      </c>
    </row>
    <row r="254" spans="2:11">
      <c r="B254" s="1" t="s">
        <v>182</v>
      </c>
      <c r="C254" s="31">
        <v>466781.3937</v>
      </c>
      <c r="D254" s="31">
        <v>3383950.7947</v>
      </c>
      <c r="E254" s="20">
        <v>36499.85541374</v>
      </c>
      <c r="F254" s="20">
        <v>36561.2267752938</v>
      </c>
      <c r="G254" s="32">
        <v>43.954</v>
      </c>
      <c r="H254" s="32">
        <v>80</v>
      </c>
      <c r="I254" s="32">
        <v>32.2847478556071</v>
      </c>
      <c r="J254" s="32">
        <v>61.371361553727</v>
      </c>
      <c r="K254" s="33">
        <v>456.612</v>
      </c>
    </row>
    <row r="255" spans="2:11">
      <c r="B255" s="1" t="s">
        <v>183</v>
      </c>
      <c r="C255" s="31">
        <v>466835.8231</v>
      </c>
      <c r="D255" s="31">
        <v>3383981.4937</v>
      </c>
      <c r="E255" s="20">
        <v>36591.4319321057</v>
      </c>
      <c r="F255" s="20">
        <v>36591.4319321057</v>
      </c>
      <c r="G255" s="32">
        <v>0</v>
      </c>
      <c r="H255" s="32">
        <v>0</v>
      </c>
      <c r="I255" s="32">
        <v>0</v>
      </c>
      <c r="J255" s="32">
        <v>0</v>
      </c>
      <c r="K255" s="33">
        <v>456.585</v>
      </c>
    </row>
    <row r="256" spans="2:11">
      <c r="B256" s="1" t="s">
        <v>184</v>
      </c>
      <c r="C256" s="31">
        <v>466859.6521</v>
      </c>
      <c r="D256" s="31">
        <v>3383994.9336</v>
      </c>
      <c r="E256" s="20">
        <v>36618.789785695</v>
      </c>
      <c r="F256" s="20">
        <v>36618.789785695</v>
      </c>
      <c r="G256" s="32">
        <v>0</v>
      </c>
      <c r="H256" s="32">
        <v>0</v>
      </c>
      <c r="I256" s="32">
        <v>0</v>
      </c>
      <c r="J256" s="32">
        <v>0</v>
      </c>
      <c r="K256" s="33">
        <v>456.55</v>
      </c>
    </row>
    <row r="257" spans="2:11">
      <c r="B257" s="1" t="s">
        <v>185</v>
      </c>
      <c r="C257" s="31">
        <v>466986.7233</v>
      </c>
      <c r="D257" s="31">
        <v>3384066.6037</v>
      </c>
      <c r="E257" s="20">
        <v>36764.6791036844</v>
      </c>
      <c r="F257" s="20">
        <v>36764.6791036844</v>
      </c>
      <c r="G257" s="32">
        <v>0</v>
      </c>
      <c r="H257" s="32">
        <v>0</v>
      </c>
      <c r="I257" s="32">
        <v>0</v>
      </c>
      <c r="J257" s="32">
        <v>0</v>
      </c>
      <c r="K257" s="33">
        <v>456.483</v>
      </c>
    </row>
    <row r="258" spans="2:11">
      <c r="B258" s="1" t="s">
        <v>186</v>
      </c>
      <c r="C258" s="31">
        <v>467035.6066</v>
      </c>
      <c r="D258" s="31">
        <v>3384094.1746</v>
      </c>
      <c r="E258" s="20">
        <v>36820.8015728542</v>
      </c>
      <c r="F258" s="20">
        <v>36820.8015728542</v>
      </c>
      <c r="G258" s="32">
        <v>0</v>
      </c>
      <c r="H258" s="32">
        <v>0</v>
      </c>
      <c r="I258" s="32">
        <v>0</v>
      </c>
      <c r="J258" s="32">
        <v>0</v>
      </c>
      <c r="K258" s="33">
        <v>456.403</v>
      </c>
    </row>
    <row r="259" spans="2:11">
      <c r="B259" s="1" t="s">
        <v>187</v>
      </c>
      <c r="C259" s="31">
        <v>467086.1937</v>
      </c>
      <c r="D259" s="31">
        <v>3384122.7065</v>
      </c>
      <c r="E259" s="35">
        <v>36866.9926037204</v>
      </c>
      <c r="F259" s="20">
        <v>36890.595040261</v>
      </c>
      <c r="G259" s="32">
        <v>16.904</v>
      </c>
      <c r="H259" s="32">
        <v>80</v>
      </c>
      <c r="I259" s="32">
        <v>11.8875710798145</v>
      </c>
      <c r="J259" s="32">
        <v>23.6024365405697</v>
      </c>
      <c r="K259" s="33">
        <v>456.379</v>
      </c>
    </row>
    <row r="260" spans="2:11">
      <c r="B260" s="1" t="s">
        <v>188</v>
      </c>
      <c r="C260" s="31">
        <v>467196.0635</v>
      </c>
      <c r="D260" s="31">
        <v>3384147.1046</v>
      </c>
      <c r="E260" s="20">
        <v>36991.2536385325</v>
      </c>
      <c r="F260" s="20">
        <v>36991.2536385325</v>
      </c>
      <c r="G260" s="32">
        <v>0</v>
      </c>
      <c r="H260" s="32">
        <v>0</v>
      </c>
      <c r="I260" s="32">
        <v>0</v>
      </c>
      <c r="J260" s="32">
        <v>0</v>
      </c>
      <c r="K260" s="33">
        <v>456.333</v>
      </c>
    </row>
    <row r="261" spans="2:11">
      <c r="B261" s="1" t="s">
        <v>189</v>
      </c>
      <c r="C261" s="31">
        <v>467240.017</v>
      </c>
      <c r="D261" s="31">
        <v>3384156.865</v>
      </c>
      <c r="E261" s="20">
        <v>37036.277805048</v>
      </c>
      <c r="F261" s="20">
        <v>37036.277805048</v>
      </c>
      <c r="G261" s="32">
        <v>0</v>
      </c>
      <c r="H261" s="32">
        <v>0</v>
      </c>
      <c r="I261" s="32">
        <v>0</v>
      </c>
      <c r="J261" s="32">
        <v>0</v>
      </c>
      <c r="K261" s="33">
        <v>456.294</v>
      </c>
    </row>
    <row r="262" spans="2:11">
      <c r="B262" s="1" t="s">
        <v>190</v>
      </c>
      <c r="C262" s="31">
        <v>467471.4516</v>
      </c>
      <c r="D262" s="31">
        <v>3384208.2583</v>
      </c>
      <c r="E262" s="20">
        <v>37273.3500416384</v>
      </c>
      <c r="F262" s="20">
        <v>37273.3500416384</v>
      </c>
      <c r="G262" s="32">
        <v>0</v>
      </c>
      <c r="H262" s="32">
        <v>0</v>
      </c>
      <c r="I262" s="32">
        <v>0</v>
      </c>
      <c r="J262" s="32">
        <v>0</v>
      </c>
      <c r="K262" s="33">
        <v>456.186</v>
      </c>
    </row>
    <row r="263" spans="2:11">
      <c r="B263" s="1" t="s">
        <v>191</v>
      </c>
      <c r="C263" s="31">
        <v>467518.1556</v>
      </c>
      <c r="D263" s="31">
        <v>3384218.6296</v>
      </c>
      <c r="E263" s="20">
        <v>37319.5103848698</v>
      </c>
      <c r="F263" s="35">
        <v>37322.8725871409</v>
      </c>
      <c r="G263" s="32">
        <v>2.408</v>
      </c>
      <c r="H263" s="32">
        <v>80</v>
      </c>
      <c r="I263" s="32">
        <v>1.68134862515456</v>
      </c>
      <c r="J263" s="32">
        <v>3.36220227104188</v>
      </c>
      <c r="K263" s="33">
        <v>456.155</v>
      </c>
    </row>
    <row r="264" spans="2:11">
      <c r="B264" s="1" t="s">
        <v>192</v>
      </c>
      <c r="C264" s="31">
        <v>467548.1392</v>
      </c>
      <c r="D264" s="31">
        <v>3384223.977</v>
      </c>
      <c r="E264" s="20">
        <v>37351.6479447677</v>
      </c>
      <c r="F264" s="20">
        <v>37351.6479447677</v>
      </c>
      <c r="G264" s="32">
        <v>0</v>
      </c>
      <c r="H264" s="32">
        <v>0</v>
      </c>
      <c r="I264" s="32">
        <v>0</v>
      </c>
      <c r="J264" s="32">
        <v>0</v>
      </c>
      <c r="K264" s="33">
        <v>456.102</v>
      </c>
    </row>
    <row r="265" spans="2:11">
      <c r="B265" s="1" t="s">
        <v>193</v>
      </c>
      <c r="C265" s="31">
        <v>467762.1714</v>
      </c>
      <c r="D265" s="31">
        <v>3384262.1481</v>
      </c>
      <c r="E265" s="20">
        <v>37569.0572718722</v>
      </c>
      <c r="F265" s="20">
        <v>37569.0572718722</v>
      </c>
      <c r="G265" s="32">
        <v>0</v>
      </c>
      <c r="H265" s="32">
        <v>0</v>
      </c>
      <c r="I265" s="32">
        <v>0</v>
      </c>
      <c r="J265" s="32">
        <v>0</v>
      </c>
      <c r="K265" s="33">
        <v>456.015</v>
      </c>
    </row>
    <row r="266" spans="2:11">
      <c r="B266" s="1" t="s">
        <v>194</v>
      </c>
      <c r="C266" s="31">
        <v>467824.7816</v>
      </c>
      <c r="D266" s="31">
        <v>3384273.3142</v>
      </c>
      <c r="E266" s="20">
        <v>37627.5486050375</v>
      </c>
      <c r="F266" s="20">
        <v>37637.7483091862</v>
      </c>
      <c r="G266" s="32">
        <v>7.305</v>
      </c>
      <c r="H266" s="32">
        <v>80</v>
      </c>
      <c r="I266" s="32">
        <v>5.10677162757963</v>
      </c>
      <c r="J266" s="32">
        <v>10.1997041486549</v>
      </c>
      <c r="K266" s="33">
        <v>456.006</v>
      </c>
    </row>
    <row r="267" spans="2:11">
      <c r="B267" s="1" t="s">
        <v>195</v>
      </c>
      <c r="C267" s="31">
        <v>467905.1287</v>
      </c>
      <c r="D267" s="31">
        <v>3384277.2533</v>
      </c>
      <c r="E267" s="20">
        <v>37713.0851388406</v>
      </c>
      <c r="F267" s="20">
        <v>37713.0851388406</v>
      </c>
      <c r="G267" s="32">
        <v>0</v>
      </c>
      <c r="H267" s="32">
        <v>0</v>
      </c>
      <c r="I267" s="32">
        <v>0</v>
      </c>
      <c r="J267" s="32">
        <v>0</v>
      </c>
      <c r="K267" s="33">
        <v>455.943</v>
      </c>
    </row>
    <row r="268" spans="2:11">
      <c r="C268" s="31"/>
      <c r="D268" s="31"/>
      <c r="E268" s="20"/>
      <c r="F268" s="20"/>
      <c r="G268" s="32"/>
      <c r="H268" s="32"/>
      <c r="I268" s="32"/>
      <c r="J268" s="32"/>
      <c r="K268" s="33"/>
    </row>
    <row r="269" spans="2:11">
      <c r="B269" s="1" t="s">
        <v>1</v>
      </c>
      <c r="C269" s="1" t="s">
        <v>872</v>
      </c>
      <c r="E269" s="1" t="s">
        <v>806</v>
      </c>
      <c r="G269" s="1" t="s">
        <v>873</v>
      </c>
      <c r="K269" s="1" t="s">
        <v>874</v>
      </c>
    </row>
    <row r="270" spans="2:11">
      <c r="C270" s="1" t="s">
        <v>875</v>
      </c>
      <c r="D270" s="1" t="s">
        <v>876</v>
      </c>
      <c r="E270" s="1" t="s">
        <v>877</v>
      </c>
      <c r="F270" s="1" t="s">
        <v>878</v>
      </c>
      <c r="G270" s="1" t="s">
        <v>879</v>
      </c>
      <c r="H270" s="1" t="s">
        <v>880</v>
      </c>
      <c r="I270" s="1" t="s">
        <v>881</v>
      </c>
      <c r="J270" s="1" t="s">
        <v>882</v>
      </c>
    </row>
    <row r="271" spans="2:11">
      <c r="B271" s="1" t="s">
        <v>196</v>
      </c>
      <c r="C271" s="31">
        <v>468314.332</v>
      </c>
      <c r="D271" s="31">
        <v>3384297.3149</v>
      </c>
      <c r="E271" s="20">
        <v>38098.4389725339</v>
      </c>
      <c r="F271" s="20">
        <v>38145.6969036243</v>
      </c>
      <c r="G271" s="32">
        <v>33.846</v>
      </c>
      <c r="H271" s="32">
        <v>80</v>
      </c>
      <c r="I271" s="32">
        <v>24.3409411397065</v>
      </c>
      <c r="J271" s="32">
        <v>47.2579310904001</v>
      </c>
      <c r="K271" s="33">
        <v>455.777</v>
      </c>
    </row>
    <row r="272" spans="2:11">
      <c r="B272" s="1" t="s">
        <v>197</v>
      </c>
      <c r="C272" s="31">
        <v>468408.2689</v>
      </c>
      <c r="D272" s="31">
        <v>3384240.7852</v>
      </c>
      <c r="E272" s="20">
        <v>38230.9905745546</v>
      </c>
      <c r="F272" s="20">
        <v>38230.9905745546</v>
      </c>
      <c r="G272" s="32">
        <v>0</v>
      </c>
      <c r="H272" s="32">
        <v>0</v>
      </c>
      <c r="I272" s="32">
        <v>0</v>
      </c>
      <c r="J272" s="32">
        <v>0</v>
      </c>
      <c r="K272" s="33">
        <v>455.732</v>
      </c>
    </row>
    <row r="273" spans="2:11">
      <c r="B273" s="1" t="s">
        <v>198</v>
      </c>
      <c r="C273" s="31">
        <v>468442.1798</v>
      </c>
      <c r="D273" s="31">
        <v>3384220.3782</v>
      </c>
      <c r="E273" s="20">
        <v>38270.568280246</v>
      </c>
      <c r="F273" s="20">
        <v>38270.568280246</v>
      </c>
      <c r="G273" s="32">
        <v>0</v>
      </c>
      <c r="H273" s="32">
        <v>0</v>
      </c>
      <c r="I273" s="32">
        <v>0</v>
      </c>
      <c r="J273" s="32">
        <v>0</v>
      </c>
      <c r="K273" s="33">
        <v>455.694</v>
      </c>
    </row>
    <row r="274" spans="2:11">
      <c r="B274" s="1" t="s">
        <v>199</v>
      </c>
      <c r="C274" s="31">
        <v>468537.3348</v>
      </c>
      <c r="D274" s="31">
        <v>3384163.1155</v>
      </c>
      <c r="E274" s="20">
        <v>38381.6245310216</v>
      </c>
      <c r="F274" s="20">
        <v>38381.6245310216</v>
      </c>
      <c r="G274" s="32">
        <v>0</v>
      </c>
      <c r="H274" s="32">
        <v>0</v>
      </c>
      <c r="I274" s="32">
        <v>0</v>
      </c>
      <c r="J274" s="32">
        <v>0</v>
      </c>
      <c r="K274" s="33">
        <v>455.644</v>
      </c>
    </row>
    <row r="275" spans="2:11">
      <c r="B275" s="1" t="s">
        <v>200</v>
      </c>
      <c r="C275" s="31">
        <v>468572.0126</v>
      </c>
      <c r="D275" s="31">
        <v>3384142.247</v>
      </c>
      <c r="E275" s="20">
        <v>38422.0972885887</v>
      </c>
      <c r="F275" s="20">
        <v>38422.0972885887</v>
      </c>
      <c r="G275" s="32">
        <v>0</v>
      </c>
      <c r="H275" s="32">
        <v>0</v>
      </c>
      <c r="I275" s="32">
        <v>0</v>
      </c>
      <c r="J275" s="32">
        <v>0</v>
      </c>
      <c r="K275" s="33">
        <v>455.566</v>
      </c>
    </row>
    <row r="276" spans="2:11">
      <c r="B276" s="1" t="s">
        <v>201</v>
      </c>
      <c r="C276" s="31">
        <v>468683.2018</v>
      </c>
      <c r="D276" s="31">
        <v>3384075.3353</v>
      </c>
      <c r="E276" s="20">
        <v>38542.6157744086</v>
      </c>
      <c r="F276" s="20">
        <v>38561.0366774658</v>
      </c>
      <c r="G276" s="32">
        <v>13.193</v>
      </c>
      <c r="H276" s="32">
        <v>80</v>
      </c>
      <c r="I276" s="32">
        <v>9.25136350390099</v>
      </c>
      <c r="J276" s="32">
        <v>18.420903057249</v>
      </c>
      <c r="K276" s="33">
        <v>455.514</v>
      </c>
    </row>
    <row r="277" spans="2:11">
      <c r="B277" s="1" t="s">
        <v>202</v>
      </c>
      <c r="C277" s="31">
        <v>468912.2777</v>
      </c>
      <c r="D277" s="31">
        <v>3384001.5863</v>
      </c>
      <c r="E277" s="20">
        <v>38792.4400104916</v>
      </c>
      <c r="F277" s="20">
        <v>38792.4400104916</v>
      </c>
      <c r="G277" s="32">
        <v>0</v>
      </c>
      <c r="H277" s="32">
        <v>0</v>
      </c>
      <c r="I277" s="32">
        <v>0</v>
      </c>
      <c r="J277" s="32">
        <v>0</v>
      </c>
      <c r="K277" s="33">
        <v>455.417</v>
      </c>
    </row>
    <row r="278" spans="2:11">
      <c r="B278" s="1" t="s">
        <v>891</v>
      </c>
      <c r="C278" s="31">
        <v>468929.2611</v>
      </c>
      <c r="D278" s="31">
        <v>3383996.1186</v>
      </c>
      <c r="E278" s="20">
        <v>38810.2818606998</v>
      </c>
      <c r="F278" s="20">
        <v>38810.2818606998</v>
      </c>
      <c r="G278" s="32">
        <v>0</v>
      </c>
      <c r="H278" s="32">
        <v>0</v>
      </c>
      <c r="I278" s="32">
        <v>0</v>
      </c>
      <c r="J278" s="32">
        <v>0</v>
      </c>
      <c r="K278" s="33">
        <v>455.418</v>
      </c>
    </row>
    <row r="279" spans="2:11">
      <c r="B279" s="1" t="s">
        <v>205</v>
      </c>
      <c r="C279" s="31">
        <v>469072.308</v>
      </c>
      <c r="D279" s="31">
        <v>3383950.0659</v>
      </c>
      <c r="E279" s="20">
        <v>38960.559160306</v>
      </c>
      <c r="F279" s="20">
        <v>38960.559160306</v>
      </c>
      <c r="G279" s="32">
        <v>0</v>
      </c>
      <c r="H279" s="32">
        <v>0</v>
      </c>
      <c r="I279" s="32">
        <v>0</v>
      </c>
      <c r="J279" s="32">
        <v>0</v>
      </c>
      <c r="K279" s="33">
        <v>455.101</v>
      </c>
    </row>
    <row r="280" spans="2:11">
      <c r="B280" s="1" t="s">
        <v>206</v>
      </c>
      <c r="C280" s="31">
        <v>469205.893</v>
      </c>
      <c r="D280" s="31">
        <v>3383907.0594</v>
      </c>
      <c r="E280" s="20">
        <v>39079.8736132445</v>
      </c>
      <c r="F280" s="20">
        <v>39120.9893816313</v>
      </c>
      <c r="G280" s="32">
        <v>29.447</v>
      </c>
      <c r="H280" s="32">
        <v>80</v>
      </c>
      <c r="I280" s="32">
        <v>21.0226813745333</v>
      </c>
      <c r="J280" s="32">
        <v>41.1157683867816</v>
      </c>
      <c r="K280" s="33">
        <v>455.075</v>
      </c>
    </row>
    <row r="281" spans="2:11">
      <c r="B281" s="1" t="s">
        <v>207</v>
      </c>
      <c r="C281" s="31">
        <v>469238.4096</v>
      </c>
      <c r="D281" s="31">
        <v>3383913.7349</v>
      </c>
      <c r="E281" s="20">
        <v>39133.1614524898</v>
      </c>
      <c r="F281" s="20">
        <v>39133.1614524898</v>
      </c>
      <c r="G281" s="32">
        <v>0</v>
      </c>
      <c r="H281" s="32">
        <v>0</v>
      </c>
      <c r="I281" s="32">
        <v>0</v>
      </c>
      <c r="J281" s="32">
        <v>0</v>
      </c>
      <c r="K281" s="33">
        <v>455.069</v>
      </c>
    </row>
    <row r="282" spans="2:11">
      <c r="B282" s="1" t="s">
        <v>208</v>
      </c>
      <c r="C282" s="31">
        <v>469273.3353</v>
      </c>
      <c r="D282" s="31">
        <v>3383920.9049</v>
      </c>
      <c r="E282" s="20">
        <v>39168.8155324876</v>
      </c>
      <c r="F282" s="20">
        <v>39168.8155324876</v>
      </c>
      <c r="G282" s="32">
        <v>0</v>
      </c>
      <c r="H282" s="32">
        <v>0</v>
      </c>
      <c r="I282" s="32">
        <v>0</v>
      </c>
      <c r="J282" s="32">
        <v>0</v>
      </c>
      <c r="K282" s="33">
        <v>455.47</v>
      </c>
    </row>
    <row r="283" spans="2:11">
      <c r="B283" s="1" t="s">
        <v>209</v>
      </c>
      <c r="C283" s="31">
        <v>469388.3215</v>
      </c>
      <c r="D283" s="31">
        <v>3383944.511</v>
      </c>
      <c r="E283" s="20">
        <v>39286.1998336</v>
      </c>
      <c r="F283" s="20">
        <v>39286.1998336</v>
      </c>
      <c r="G283" s="32">
        <v>0</v>
      </c>
      <c r="H283" s="32">
        <v>0</v>
      </c>
      <c r="I283" s="32">
        <v>0</v>
      </c>
      <c r="J283" s="32">
        <v>0</v>
      </c>
      <c r="K283" s="33">
        <v>455.431</v>
      </c>
    </row>
    <row r="284" spans="2:11">
      <c r="B284" s="1" t="s">
        <v>210</v>
      </c>
      <c r="C284" s="31">
        <v>469477.9764</v>
      </c>
      <c r="D284" s="31">
        <v>3383962.9166</v>
      </c>
      <c r="E284" s="20">
        <v>39370.272859777</v>
      </c>
      <c r="F284" s="20">
        <v>39385.1332911601</v>
      </c>
      <c r="G284" s="32">
        <v>10.643</v>
      </c>
      <c r="H284" s="32">
        <v>80</v>
      </c>
      <c r="I284" s="32">
        <v>7.45165467674645</v>
      </c>
      <c r="J284" s="32">
        <v>14.8604313831805</v>
      </c>
      <c r="K284" s="33">
        <v>454.958</v>
      </c>
    </row>
    <row r="285" spans="2:11">
      <c r="B285" s="1" t="s">
        <v>211</v>
      </c>
      <c r="C285" s="31">
        <v>469523.5734</v>
      </c>
      <c r="D285" s="31">
        <v>3383963.6794</v>
      </c>
      <c r="E285" s="20">
        <v>39410.3350082466</v>
      </c>
      <c r="F285" s="20">
        <v>39436.0122922019</v>
      </c>
      <c r="G285" s="32">
        <v>18.39</v>
      </c>
      <c r="H285" s="32">
        <v>80</v>
      </c>
      <c r="I285" s="32">
        <v>12.9500082962008</v>
      </c>
      <c r="J285" s="32">
        <v>25.6772839553406</v>
      </c>
      <c r="K285" s="33">
        <v>454.948</v>
      </c>
    </row>
    <row r="286" spans="2:11">
      <c r="B286" s="1" t="s">
        <v>212</v>
      </c>
      <c r="C286" s="31">
        <v>469577.0426</v>
      </c>
      <c r="D286" s="31">
        <v>3383982.4548</v>
      </c>
      <c r="E286" s="20">
        <v>39468.2531169331</v>
      </c>
      <c r="F286" s="20">
        <v>39491.0554945445</v>
      </c>
      <c r="G286" s="32">
        <v>16.331</v>
      </c>
      <c r="H286" s="32">
        <v>80</v>
      </c>
      <c r="I286" s="32">
        <v>11.4790089858849</v>
      </c>
      <c r="J286" s="32">
        <v>22.8023776114555</v>
      </c>
      <c r="K286" s="33">
        <v>454.937</v>
      </c>
    </row>
    <row r="287" spans="2:11">
      <c r="C287" s="31"/>
      <c r="D287" s="31"/>
      <c r="E287" s="20"/>
      <c r="F287" s="20"/>
      <c r="G287" s="32"/>
      <c r="H287" s="32"/>
      <c r="I287" s="32"/>
      <c r="J287" s="32"/>
      <c r="K287" s="33"/>
    </row>
    <row r="288" spans="2:11">
      <c r="B288" s="1" t="s">
        <v>1</v>
      </c>
      <c r="C288" s="1" t="s">
        <v>872</v>
      </c>
      <c r="E288" s="1" t="s">
        <v>806</v>
      </c>
      <c r="G288" s="1" t="s">
        <v>873</v>
      </c>
      <c r="K288" s="1" t="s">
        <v>874</v>
      </c>
    </row>
    <row r="289" spans="2:11">
      <c r="C289" s="1" t="s">
        <v>875</v>
      </c>
      <c r="D289" s="1" t="s">
        <v>876</v>
      </c>
      <c r="E289" s="1" t="s">
        <v>877</v>
      </c>
      <c r="F289" s="1" t="s">
        <v>878</v>
      </c>
      <c r="G289" s="1" t="s">
        <v>879</v>
      </c>
      <c r="H289" s="1" t="s">
        <v>880</v>
      </c>
      <c r="I289" s="1" t="s">
        <v>881</v>
      </c>
      <c r="J289" s="1" t="s">
        <v>882</v>
      </c>
    </row>
    <row r="290" spans="2:11">
      <c r="B290" s="1" t="s">
        <v>213</v>
      </c>
      <c r="C290" s="31">
        <v>469659.14</v>
      </c>
      <c r="D290" s="31">
        <v>3383986.7828</v>
      </c>
      <c r="E290" s="20">
        <v>39539.8243055171</v>
      </c>
      <c r="F290" s="20">
        <v>39582.6951769997</v>
      </c>
      <c r="G290" s="32">
        <v>30.704</v>
      </c>
      <c r="H290" s="32">
        <v>80</v>
      </c>
      <c r="I290" s="32">
        <v>21.9635823575284</v>
      </c>
      <c r="J290" s="32">
        <v>42.8708714825871</v>
      </c>
      <c r="K290" s="33">
        <v>454.921</v>
      </c>
    </row>
    <row r="291" spans="2:11">
      <c r="B291" s="1" t="s">
        <v>214</v>
      </c>
      <c r="C291" s="31">
        <v>469693.0144</v>
      </c>
      <c r="D291" s="31">
        <v>3384009.3925</v>
      </c>
      <c r="E291" s="20">
        <v>39601.4584102487</v>
      </c>
      <c r="F291" s="20">
        <v>39601.4584102487</v>
      </c>
      <c r="G291" s="32">
        <v>0</v>
      </c>
      <c r="H291" s="32">
        <v>0</v>
      </c>
      <c r="I291" s="32">
        <v>0</v>
      </c>
      <c r="J291" s="32">
        <v>0</v>
      </c>
      <c r="K291" s="33">
        <v>454.93</v>
      </c>
    </row>
    <row r="292" spans="2:11">
      <c r="B292" s="1" t="s">
        <v>215</v>
      </c>
      <c r="C292" s="31">
        <v>469802.2934</v>
      </c>
      <c r="D292" s="31">
        <v>3384082.3315</v>
      </c>
      <c r="E292" s="20">
        <v>39707.6224986103</v>
      </c>
      <c r="F292" s="20">
        <v>39756.4861326125</v>
      </c>
      <c r="G292" s="32">
        <v>34.996</v>
      </c>
      <c r="H292" s="32">
        <v>80</v>
      </c>
      <c r="I292" s="32">
        <v>25.2208330029257</v>
      </c>
      <c r="J292" s="32">
        <v>48.8636340022349</v>
      </c>
      <c r="K292" s="33">
        <v>454.905</v>
      </c>
    </row>
    <row r="293" spans="2:11">
      <c r="B293" s="1" t="s">
        <v>216</v>
      </c>
      <c r="C293" s="31">
        <v>470156.7431</v>
      </c>
      <c r="D293" s="31">
        <v>3384074.4435</v>
      </c>
      <c r="E293" s="20">
        <v>40073.9744063045</v>
      </c>
      <c r="F293" s="20">
        <v>40097.4609529828</v>
      </c>
      <c r="G293" s="32">
        <v>16.821</v>
      </c>
      <c r="H293" s="32">
        <v>80</v>
      </c>
      <c r="I293" s="32">
        <v>11.8283530665355</v>
      </c>
      <c r="J293" s="32">
        <v>23.4865466782373</v>
      </c>
      <c r="K293" s="33">
        <v>454.84</v>
      </c>
    </row>
    <row r="294" spans="2:11">
      <c r="B294" s="1" t="s">
        <v>217</v>
      </c>
      <c r="C294" s="31">
        <v>470240.6901</v>
      </c>
      <c r="D294" s="31">
        <v>3384047.0119</v>
      </c>
      <c r="E294" s="20">
        <v>40173.947895803</v>
      </c>
      <c r="F294" s="20">
        <v>40173.947895803</v>
      </c>
      <c r="G294" s="32">
        <v>0</v>
      </c>
      <c r="H294" s="32">
        <v>0</v>
      </c>
      <c r="I294" s="32">
        <v>0</v>
      </c>
      <c r="J294" s="32">
        <v>0</v>
      </c>
      <c r="K294" s="33">
        <v>454.823</v>
      </c>
    </row>
    <row r="295" spans="2:11">
      <c r="B295" s="1" t="s">
        <v>218</v>
      </c>
      <c r="C295" s="31">
        <v>470315.0975</v>
      </c>
      <c r="D295" s="31">
        <v>3384022.6977</v>
      </c>
      <c r="E295" s="20">
        <v>40244.4084541011</v>
      </c>
      <c r="F295" s="20">
        <v>40259.9963387165</v>
      </c>
      <c r="G295" s="32">
        <v>11.164</v>
      </c>
      <c r="H295" s="32">
        <v>80</v>
      </c>
      <c r="I295" s="32">
        <v>7.81869499669008</v>
      </c>
      <c r="J295" s="32">
        <v>15.5878846154118</v>
      </c>
      <c r="K295" s="33">
        <v>454.791</v>
      </c>
    </row>
    <row r="296" spans="2:11">
      <c r="B296" s="1" t="s">
        <v>219</v>
      </c>
      <c r="C296" s="31">
        <v>470353.7996</v>
      </c>
      <c r="D296" s="31">
        <v>3384017.9923</v>
      </c>
      <c r="E296" s="20">
        <v>40291.1647356038</v>
      </c>
      <c r="F296" s="20">
        <v>40291.1647356038</v>
      </c>
      <c r="G296" s="32">
        <v>0</v>
      </c>
      <c r="H296" s="32">
        <v>0</v>
      </c>
      <c r="I296" s="32">
        <v>0</v>
      </c>
      <c r="J296" s="32">
        <v>0</v>
      </c>
      <c r="K296" s="33">
        <v>455.209</v>
      </c>
    </row>
    <row r="297" spans="2:11">
      <c r="B297" s="1" t="s">
        <v>220</v>
      </c>
      <c r="C297" s="31">
        <v>470420.622</v>
      </c>
      <c r="D297" s="31">
        <v>3384009.8682</v>
      </c>
      <c r="E297" s="20">
        <v>40358.4791779068</v>
      </c>
      <c r="F297" s="20">
        <v>40358.4791779068</v>
      </c>
      <c r="G297" s="32">
        <v>0</v>
      </c>
      <c r="H297" s="32">
        <v>0</v>
      </c>
      <c r="I297" s="32">
        <v>0</v>
      </c>
      <c r="J297" s="32">
        <v>0</v>
      </c>
      <c r="K297" s="33">
        <v>455.187</v>
      </c>
    </row>
    <row r="298" spans="2:11">
      <c r="B298" s="1" t="s">
        <v>221</v>
      </c>
      <c r="C298" s="31">
        <v>470472.9688</v>
      </c>
      <c r="D298" s="31">
        <v>3384003.5039</v>
      </c>
      <c r="E298" s="20">
        <v>40411.2114430273</v>
      </c>
      <c r="F298" s="20">
        <v>40411.2114430273</v>
      </c>
      <c r="G298" s="32">
        <v>0</v>
      </c>
      <c r="H298" s="32">
        <v>0</v>
      </c>
      <c r="I298" s="32">
        <v>0</v>
      </c>
      <c r="J298" s="32">
        <v>0</v>
      </c>
      <c r="K298" s="33">
        <v>454.738</v>
      </c>
    </row>
    <row r="299" spans="2:11">
      <c r="B299" s="1" t="s">
        <v>222</v>
      </c>
      <c r="C299" s="31">
        <v>470551.3653</v>
      </c>
      <c r="D299" s="31">
        <v>3383993.9726</v>
      </c>
      <c r="E299" s="20">
        <v>40477.5795767432</v>
      </c>
      <c r="F299" s="20">
        <v>40502.5852580024</v>
      </c>
      <c r="G299" s="32">
        <v>17.909</v>
      </c>
      <c r="H299" s="32">
        <v>80</v>
      </c>
      <c r="I299" s="32">
        <v>12.6056397277837</v>
      </c>
      <c r="J299" s="32">
        <v>25.0056812591732</v>
      </c>
      <c r="K299" s="33">
        <v>454.723</v>
      </c>
    </row>
    <row r="300" spans="2:11">
      <c r="C300" s="31"/>
      <c r="D300" s="31"/>
      <c r="E300" s="20"/>
      <c r="F300" s="20"/>
      <c r="G300" s="32"/>
      <c r="H300" s="32"/>
      <c r="I300" s="32"/>
      <c r="J300" s="32"/>
      <c r="K300" s="33"/>
    </row>
    <row r="301" spans="2:11">
      <c r="B301" s="1" t="s">
        <v>1</v>
      </c>
      <c r="C301" s="1" t="s">
        <v>872</v>
      </c>
      <c r="E301" s="1" t="s">
        <v>806</v>
      </c>
      <c r="G301" s="1" t="s">
        <v>873</v>
      </c>
      <c r="K301" s="1" t="s">
        <v>874</v>
      </c>
    </row>
    <row r="302" spans="2:11">
      <c r="C302" s="1" t="s">
        <v>875</v>
      </c>
      <c r="D302" s="1" t="s">
        <v>876</v>
      </c>
      <c r="E302" s="1" t="s">
        <v>877</v>
      </c>
      <c r="F302" s="1" t="s">
        <v>878</v>
      </c>
      <c r="G302" s="1" t="s">
        <v>879</v>
      </c>
      <c r="H302" s="1" t="s">
        <v>880</v>
      </c>
      <c r="I302" s="1" t="s">
        <v>881</v>
      </c>
      <c r="J302" s="1" t="s">
        <v>882</v>
      </c>
    </row>
    <row r="303" spans="2:11">
      <c r="B303" s="1" t="s">
        <v>223</v>
      </c>
      <c r="C303" s="31">
        <v>471365.2555</v>
      </c>
      <c r="D303" s="31">
        <v>3383617.1895</v>
      </c>
      <c r="E303" s="20">
        <v>41375.5981316414</v>
      </c>
      <c r="F303" s="20">
        <v>41397.9620825448</v>
      </c>
      <c r="G303" s="32">
        <v>16.017</v>
      </c>
      <c r="H303" s="32">
        <v>80</v>
      </c>
      <c r="I303" s="32">
        <v>11.2553696857408</v>
      </c>
      <c r="J303" s="32">
        <v>22.3639509033545</v>
      </c>
      <c r="K303" s="33">
        <v>454.56</v>
      </c>
    </row>
    <row r="304" spans="2:11">
      <c r="B304" s="1" t="s">
        <v>224</v>
      </c>
      <c r="C304" s="31">
        <v>471560.7823</v>
      </c>
      <c r="D304" s="31">
        <v>3383448.0701</v>
      </c>
      <c r="E304" s="20">
        <v>41639.2519570908</v>
      </c>
      <c r="F304" s="20">
        <v>41651.1774428038</v>
      </c>
      <c r="G304" s="32">
        <v>8.541</v>
      </c>
      <c r="H304" s="32">
        <v>80</v>
      </c>
      <c r="I304" s="32">
        <v>5.9738091753301</v>
      </c>
      <c r="J304" s="32">
        <v>11.9254857130269</v>
      </c>
      <c r="K304" s="33">
        <v>454.512</v>
      </c>
    </row>
    <row r="305" spans="2:11">
      <c r="B305" s="1" t="s">
        <v>225</v>
      </c>
      <c r="C305" s="31">
        <v>471679.5136</v>
      </c>
      <c r="D305" s="31">
        <v>3383309.5507</v>
      </c>
      <c r="E305" s="20">
        <v>41827.6447084337</v>
      </c>
      <c r="F305" s="20">
        <v>41827.6447084337</v>
      </c>
      <c r="G305" s="32">
        <v>0</v>
      </c>
      <c r="H305" s="32">
        <v>0</v>
      </c>
      <c r="I305" s="32">
        <v>0</v>
      </c>
      <c r="J305" s="32">
        <v>0</v>
      </c>
      <c r="K305" s="33">
        <v>454.479</v>
      </c>
    </row>
    <row r="306" spans="2:11">
      <c r="B306" s="1" t="s">
        <v>226</v>
      </c>
      <c r="C306" s="31">
        <v>471702.9624</v>
      </c>
      <c r="D306" s="31">
        <v>3383282.1939</v>
      </c>
      <c r="E306" s="20">
        <v>41850.8663273893</v>
      </c>
      <c r="F306" s="20">
        <v>41875.6597766114</v>
      </c>
      <c r="G306" s="32">
        <v>35.514</v>
      </c>
      <c r="H306" s="32">
        <v>40</v>
      </c>
      <c r="I306" s="32">
        <v>12.8094888221901</v>
      </c>
      <c r="J306" s="32">
        <v>24.7934492221307</v>
      </c>
      <c r="K306" s="33">
        <v>454.454</v>
      </c>
    </row>
    <row r="307" spans="2:11">
      <c r="B307" s="1" t="s">
        <v>227</v>
      </c>
      <c r="C307" s="31">
        <v>471741.1329</v>
      </c>
      <c r="D307" s="31">
        <v>3383272.7583</v>
      </c>
      <c r="E307" s="20">
        <v>41881.6028019286</v>
      </c>
      <c r="F307" s="20">
        <v>41919.5965253494</v>
      </c>
      <c r="G307" s="32">
        <v>54.422</v>
      </c>
      <c r="H307" s="32">
        <v>40</v>
      </c>
      <c r="I307" s="32">
        <v>20.5669163957756</v>
      </c>
      <c r="J307" s="32">
        <v>37.9937234208142</v>
      </c>
      <c r="K307" s="33">
        <v>454.445</v>
      </c>
    </row>
    <row r="308" spans="2:11">
      <c r="B308" s="1" t="s">
        <v>228</v>
      </c>
      <c r="C308" s="31">
        <v>471779.9048</v>
      </c>
      <c r="D308" s="31">
        <v>3383175.2951</v>
      </c>
      <c r="E308" s="20">
        <v>42003.9216276385</v>
      </c>
      <c r="F308" s="20">
        <v>42003.9216276385</v>
      </c>
      <c r="G308" s="32">
        <v>0</v>
      </c>
      <c r="H308" s="32">
        <v>0</v>
      </c>
      <c r="I308" s="32">
        <v>0</v>
      </c>
      <c r="J308" s="32">
        <v>0</v>
      </c>
      <c r="K308" s="33">
        <v>454.443</v>
      </c>
    </row>
    <row r="309" spans="2:11">
      <c r="B309" s="1" t="s">
        <v>229</v>
      </c>
      <c r="C309" s="31">
        <v>471819.2636</v>
      </c>
      <c r="D309" s="31">
        <v>3383076.3565</v>
      </c>
      <c r="E309" s="20">
        <v>42110.401492906</v>
      </c>
      <c r="F309" s="20">
        <v>42110.401492906</v>
      </c>
      <c r="G309" s="32">
        <v>0</v>
      </c>
      <c r="H309" s="32">
        <v>0</v>
      </c>
      <c r="I309" s="32">
        <v>0</v>
      </c>
      <c r="J309" s="32">
        <v>0</v>
      </c>
      <c r="K309" s="33">
        <v>454.423</v>
      </c>
    </row>
    <row r="310" spans="2:11">
      <c r="B310" s="1" t="s">
        <v>230</v>
      </c>
      <c r="C310" s="31">
        <v>471832.0643</v>
      </c>
      <c r="D310" s="31">
        <v>3383044.1788</v>
      </c>
      <c r="E310" s="20">
        <v>42141.837607474</v>
      </c>
      <c r="F310" s="20">
        <v>42148.2227200095</v>
      </c>
      <c r="G310" s="32">
        <v>4.573</v>
      </c>
      <c r="H310" s="32">
        <v>80</v>
      </c>
      <c r="I310" s="32">
        <v>3.19425213244423</v>
      </c>
      <c r="J310" s="32">
        <v>6.38511253549606</v>
      </c>
      <c r="K310" s="33">
        <v>454.399</v>
      </c>
    </row>
    <row r="311" spans="2:11">
      <c r="B311" s="1" t="s">
        <v>231</v>
      </c>
      <c r="C311" s="31">
        <v>471869.2601</v>
      </c>
      <c r="D311" s="31">
        <v>3382968.808</v>
      </c>
      <c r="E311" s="20">
        <v>42208.0804613176</v>
      </c>
      <c r="F311" s="20">
        <v>42249.1487567487</v>
      </c>
      <c r="G311" s="32">
        <v>29.413</v>
      </c>
      <c r="H311" s="32">
        <v>80</v>
      </c>
      <c r="I311" s="32">
        <v>20.9973077476537</v>
      </c>
      <c r="J311" s="32">
        <v>41.0682954311274</v>
      </c>
      <c r="K311" s="33">
        <v>454.383</v>
      </c>
    </row>
    <row r="312" spans="2:11">
      <c r="B312" s="1" t="s">
        <v>232</v>
      </c>
      <c r="C312" s="31">
        <v>471939.1576</v>
      </c>
      <c r="D312" s="31">
        <v>3382921.0901</v>
      </c>
      <c r="E312" s="20">
        <v>42298.2750425201</v>
      </c>
      <c r="F312" s="20">
        <v>42326.9808217935</v>
      </c>
      <c r="G312" s="32">
        <v>20.559</v>
      </c>
      <c r="H312" s="32">
        <v>80</v>
      </c>
      <c r="I312" s="32">
        <v>14.5088972079576</v>
      </c>
      <c r="J312" s="32">
        <v>28.7057792734011</v>
      </c>
      <c r="K312" s="33">
        <v>454.366</v>
      </c>
    </row>
    <row r="313" spans="2:11">
      <c r="B313" s="1" t="s">
        <v>233</v>
      </c>
      <c r="C313" s="31">
        <v>471957.2992</v>
      </c>
      <c r="D313" s="31">
        <v>3382895.2967</v>
      </c>
      <c r="E313" s="20">
        <v>42344.0063047783</v>
      </c>
      <c r="F313" s="20">
        <v>42344.0063047783</v>
      </c>
      <c r="G313" s="32">
        <v>0</v>
      </c>
      <c r="H313" s="32">
        <v>0</v>
      </c>
      <c r="I313" s="32">
        <v>0</v>
      </c>
      <c r="J313" s="32">
        <v>0</v>
      </c>
      <c r="K313" s="33">
        <v>454.377</v>
      </c>
    </row>
    <row r="314" spans="2:11">
      <c r="B314" s="1" t="s">
        <v>234</v>
      </c>
      <c r="C314" s="31">
        <v>472047.7315</v>
      </c>
      <c r="D314" s="31">
        <v>3382766.7219</v>
      </c>
      <c r="E314" s="20">
        <v>42501.1987984869</v>
      </c>
      <c r="F314" s="20">
        <v>42501.1987984869</v>
      </c>
      <c r="G314" s="32">
        <v>0</v>
      </c>
      <c r="H314" s="32">
        <v>0</v>
      </c>
      <c r="I314" s="32">
        <v>0</v>
      </c>
      <c r="J314" s="32">
        <v>0</v>
      </c>
      <c r="K314" s="33">
        <v>454.348</v>
      </c>
    </row>
    <row r="315" spans="2:11">
      <c r="B315" s="1" t="s">
        <v>235</v>
      </c>
      <c r="C315" s="31">
        <v>472114.7288</v>
      </c>
      <c r="D315" s="31">
        <v>3382671.4665</v>
      </c>
      <c r="E315" s="20">
        <v>42597.5099546719</v>
      </c>
      <c r="F315" s="20">
        <v>42636.9809247716</v>
      </c>
      <c r="G315" s="32">
        <v>28.269</v>
      </c>
      <c r="H315" s="32">
        <v>80</v>
      </c>
      <c r="I315" s="32">
        <v>20.1458291632467</v>
      </c>
      <c r="J315" s="32">
        <v>39.4709700997022</v>
      </c>
      <c r="K315" s="33">
        <v>454.308</v>
      </c>
    </row>
    <row r="316" spans="2:11">
      <c r="C316" s="31"/>
      <c r="D316" s="31"/>
      <c r="E316" s="20"/>
      <c r="F316" s="20"/>
      <c r="G316" s="32"/>
      <c r="H316" s="32"/>
      <c r="I316" s="32"/>
      <c r="J316" s="32"/>
      <c r="K316" s="33"/>
    </row>
    <row r="317" spans="2:11">
      <c r="B317" s="1" t="s">
        <v>1</v>
      </c>
      <c r="C317" s="1" t="s">
        <v>872</v>
      </c>
      <c r="E317" s="1" t="s">
        <v>806</v>
      </c>
      <c r="G317" s="1" t="s">
        <v>873</v>
      </c>
      <c r="K317" s="1" t="s">
        <v>874</v>
      </c>
    </row>
    <row r="318" spans="2:11">
      <c r="C318" s="1" t="s">
        <v>875</v>
      </c>
      <c r="D318" s="1" t="s">
        <v>876</v>
      </c>
      <c r="E318" s="1" t="s">
        <v>877</v>
      </c>
      <c r="F318" s="1" t="s">
        <v>878</v>
      </c>
      <c r="G318" s="1" t="s">
        <v>879</v>
      </c>
      <c r="H318" s="1" t="s">
        <v>880</v>
      </c>
      <c r="I318" s="1" t="s">
        <v>881</v>
      </c>
      <c r="J318" s="1" t="s">
        <v>882</v>
      </c>
    </row>
    <row r="319" spans="2:11">
      <c r="B319" s="1" t="s">
        <v>236</v>
      </c>
      <c r="C319" s="31">
        <v>472265.8847</v>
      </c>
      <c r="D319" s="31">
        <v>3382595.7379</v>
      </c>
      <c r="E319" s="20">
        <v>42765.8654505697</v>
      </c>
      <c r="F319" s="20">
        <v>42805.1269811592</v>
      </c>
      <c r="G319" s="32">
        <v>28.119</v>
      </c>
      <c r="H319" s="32">
        <v>80</v>
      </c>
      <c r="I319" s="32">
        <v>20.0345052632116</v>
      </c>
      <c r="J319" s="32">
        <v>39.2615305894628</v>
      </c>
      <c r="K319" s="33">
        <v>454.276</v>
      </c>
    </row>
    <row r="320" spans="2:11">
      <c r="B320" s="1" t="s">
        <v>237</v>
      </c>
      <c r="C320" s="31">
        <v>472286.783</v>
      </c>
      <c r="D320" s="31">
        <v>3382566.1897</v>
      </c>
      <c r="E320" s="20">
        <v>42821.2841194914</v>
      </c>
      <c r="F320" s="20">
        <v>42821.2841194914</v>
      </c>
      <c r="G320" s="32">
        <v>0</v>
      </c>
      <c r="H320" s="32">
        <v>0</v>
      </c>
      <c r="I320" s="32">
        <v>0</v>
      </c>
      <c r="J320" s="32">
        <v>0</v>
      </c>
      <c r="K320" s="33">
        <v>454.286</v>
      </c>
    </row>
    <row r="321" spans="2:11">
      <c r="B321" s="1" t="s">
        <v>238</v>
      </c>
      <c r="C321" s="31">
        <v>472361.5596</v>
      </c>
      <c r="D321" s="31">
        <v>3382460.4629</v>
      </c>
      <c r="E321" s="20">
        <v>42950.7819810404</v>
      </c>
      <c r="F321" s="20">
        <v>42950.7819810404</v>
      </c>
      <c r="G321" s="32">
        <v>0</v>
      </c>
      <c r="H321" s="32">
        <v>0</v>
      </c>
      <c r="I321" s="32">
        <v>0</v>
      </c>
      <c r="J321" s="32">
        <v>0</v>
      </c>
      <c r="K321" s="33">
        <v>454.262</v>
      </c>
    </row>
    <row r="322" spans="2:11">
      <c r="B322" s="1" t="s">
        <v>239</v>
      </c>
      <c r="C322" s="31">
        <v>472385.2076</v>
      </c>
      <c r="D322" s="31">
        <v>3382427.027</v>
      </c>
      <c r="E322" s="20">
        <v>42971.3935206391</v>
      </c>
      <c r="F322" s="20">
        <v>43011.2331042768</v>
      </c>
      <c r="G322" s="32">
        <v>28.533</v>
      </c>
      <c r="H322" s="32">
        <v>80</v>
      </c>
      <c r="I322" s="32">
        <v>20.34193782189</v>
      </c>
      <c r="J322" s="32">
        <v>39.8395836377234</v>
      </c>
      <c r="K322" s="33">
        <v>454.236</v>
      </c>
    </row>
    <row r="323" spans="2:11">
      <c r="B323" s="1" t="s">
        <v>240</v>
      </c>
      <c r="C323" s="31">
        <v>472560.6593</v>
      </c>
      <c r="D323" s="31">
        <v>3382340.7054</v>
      </c>
      <c r="E323" s="20">
        <v>43183.6911193196</v>
      </c>
      <c r="F323" s="20">
        <v>43189.1630755905</v>
      </c>
      <c r="G323" s="32">
        <v>3.919</v>
      </c>
      <c r="H323" s="32">
        <v>80</v>
      </c>
      <c r="I323" s="32">
        <v>2.73704532081672</v>
      </c>
      <c r="J323" s="32">
        <v>5.47195627085262</v>
      </c>
      <c r="K323" s="33">
        <v>454.199</v>
      </c>
    </row>
    <row r="324" spans="2:11">
      <c r="B324" s="1" t="s">
        <v>241</v>
      </c>
      <c r="C324" s="31">
        <v>472582.827</v>
      </c>
      <c r="D324" s="31">
        <v>3382331.6238</v>
      </c>
      <c r="E324" s="20">
        <v>43210.3818726019</v>
      </c>
      <c r="F324" s="20">
        <v>43210.3818726019</v>
      </c>
      <c r="G324" s="32">
        <v>0</v>
      </c>
      <c r="H324" s="32">
        <v>0</v>
      </c>
      <c r="I324" s="32">
        <v>0</v>
      </c>
      <c r="J324" s="32">
        <v>0</v>
      </c>
      <c r="K324" s="33">
        <v>454.212</v>
      </c>
    </row>
    <row r="325" spans="2:11">
      <c r="B325" s="1" t="s">
        <v>242</v>
      </c>
      <c r="C325" s="31">
        <v>472836.7471</v>
      </c>
      <c r="D325" s="31">
        <v>3382227.598</v>
      </c>
      <c r="E325" s="20">
        <v>43484.7844677966</v>
      </c>
      <c r="F325" s="20">
        <v>43484.7844677966</v>
      </c>
      <c r="G325" s="32">
        <v>0</v>
      </c>
      <c r="H325" s="32">
        <v>0</v>
      </c>
      <c r="I325" s="32">
        <v>0</v>
      </c>
      <c r="J325" s="32">
        <v>0</v>
      </c>
      <c r="K325" s="33">
        <v>454.162</v>
      </c>
    </row>
    <row r="326" spans="2:11">
      <c r="B326" s="1" t="s">
        <v>243</v>
      </c>
      <c r="C326" s="31">
        <v>472884.6368</v>
      </c>
      <c r="D326" s="31">
        <v>3382207.9785</v>
      </c>
      <c r="E326" s="20">
        <v>43525.8274184929</v>
      </c>
      <c r="F326" s="20">
        <v>43547.1204353673</v>
      </c>
      <c r="G326" s="32">
        <v>15.25</v>
      </c>
      <c r="H326" s="32">
        <v>80</v>
      </c>
      <c r="I326" s="32">
        <v>10.7098090981329</v>
      </c>
      <c r="J326" s="32">
        <v>21.2930168743308</v>
      </c>
      <c r="K326" s="33">
        <v>454.134</v>
      </c>
    </row>
    <row r="327" spans="2:11">
      <c r="B327" s="1" t="s">
        <v>244</v>
      </c>
      <c r="C327" s="31">
        <v>472934.7022</v>
      </c>
      <c r="D327" s="31">
        <v>3382201.8065</v>
      </c>
      <c r="E327" s="20">
        <v>43572.6379901678</v>
      </c>
      <c r="F327" s="20">
        <v>43600.7782827636</v>
      </c>
      <c r="G327" s="32">
        <v>20.154</v>
      </c>
      <c r="H327" s="32">
        <v>80</v>
      </c>
      <c r="I327" s="32">
        <v>14.2170397668072</v>
      </c>
      <c r="J327" s="32">
        <v>28.140292595755</v>
      </c>
      <c r="K327" s="33">
        <v>454.124</v>
      </c>
    </row>
    <row r="328" spans="2:11">
      <c r="B328" s="1" t="s">
        <v>245</v>
      </c>
      <c r="C328" s="31">
        <v>473047.9387</v>
      </c>
      <c r="D328" s="31">
        <v>3382143.6566</v>
      </c>
      <c r="E328" s="20">
        <v>43685.5844864451</v>
      </c>
      <c r="F328" s="20">
        <v>43739.9354356156</v>
      </c>
      <c r="G328" s="32">
        <v>38.926</v>
      </c>
      <c r="H328" s="32">
        <v>80</v>
      </c>
      <c r="I328" s="32">
        <v>28.2713589599108</v>
      </c>
      <c r="J328" s="32">
        <v>54.350949170505</v>
      </c>
      <c r="K328" s="33">
        <v>454.099</v>
      </c>
    </row>
    <row r="329" spans="2:11">
      <c r="B329" s="1" t="s">
        <v>246</v>
      </c>
      <c r="C329" s="31">
        <v>473101.9391</v>
      </c>
      <c r="D329" s="31">
        <v>3382154.8835</v>
      </c>
      <c r="E329" s="20">
        <v>43749.7022627712</v>
      </c>
      <c r="F329" s="20">
        <v>43783.4276089733</v>
      </c>
      <c r="G329" s="32">
        <v>24.154</v>
      </c>
      <c r="H329" s="32">
        <v>80</v>
      </c>
      <c r="I329" s="32">
        <v>17.1169268276952</v>
      </c>
      <c r="J329" s="32">
        <v>33.7253462021368</v>
      </c>
      <c r="K329" s="33">
        <v>454.088</v>
      </c>
    </row>
    <row r="330" spans="2:11">
      <c r="B330" s="1" t="s">
        <v>247</v>
      </c>
      <c r="C330" s="31">
        <v>473165.76</v>
      </c>
      <c r="D330" s="31">
        <v>3382140.8404</v>
      </c>
      <c r="E330" s="20">
        <v>43822.0459762377</v>
      </c>
      <c r="F330" s="20">
        <v>43841.1789736297</v>
      </c>
      <c r="G330" s="32">
        <v>13.703</v>
      </c>
      <c r="H330" s="32">
        <v>80</v>
      </c>
      <c r="I330" s="32">
        <v>9.61236029901776</v>
      </c>
      <c r="J330" s="32">
        <v>19.1329973920626</v>
      </c>
      <c r="K330" s="33">
        <v>454.075</v>
      </c>
    </row>
    <row r="331" spans="2:11">
      <c r="B331" s="1" t="s">
        <v>248</v>
      </c>
      <c r="C331" s="31">
        <v>473232.497</v>
      </c>
      <c r="D331" s="31">
        <v>3382108.1286</v>
      </c>
      <c r="E331" s="20">
        <v>43905.8894834868</v>
      </c>
      <c r="F331" s="20">
        <v>43905.8894834868</v>
      </c>
      <c r="G331" s="32">
        <v>0</v>
      </c>
      <c r="H331" s="32">
        <v>0</v>
      </c>
      <c r="I331" s="32">
        <v>0</v>
      </c>
      <c r="J331" s="32">
        <v>0</v>
      </c>
      <c r="K331" s="33">
        <v>454.078</v>
      </c>
    </row>
    <row r="332" spans="2:11">
      <c r="B332" s="1" t="s">
        <v>249</v>
      </c>
      <c r="C332" s="31">
        <v>473297.327</v>
      </c>
      <c r="D332" s="31">
        <v>3382076.3516</v>
      </c>
      <c r="E332" s="20">
        <v>43958.3201943692</v>
      </c>
      <c r="F332" s="20">
        <v>43997.0804663975</v>
      </c>
      <c r="G332" s="32">
        <v>27.76</v>
      </c>
      <c r="H332" s="32">
        <v>80</v>
      </c>
      <c r="I332" s="32">
        <v>19.7683654897572</v>
      </c>
      <c r="J332" s="32">
        <v>38.7602720282901</v>
      </c>
      <c r="K332" s="33">
        <v>454.064</v>
      </c>
    </row>
    <row r="333" spans="2:11">
      <c r="B333" s="1" t="s">
        <v>250</v>
      </c>
      <c r="C333" s="31">
        <v>473584.3967</v>
      </c>
      <c r="D333" s="31">
        <v>3382084.6089</v>
      </c>
      <c r="E333" s="20">
        <v>44264.5005332329</v>
      </c>
      <c r="F333" s="20">
        <v>44264.5005332329</v>
      </c>
      <c r="G333" s="32">
        <v>0</v>
      </c>
      <c r="H333" s="32">
        <v>0</v>
      </c>
      <c r="I333" s="32">
        <v>0</v>
      </c>
      <c r="J333" s="32">
        <v>0</v>
      </c>
      <c r="K333" s="33">
        <v>454.011</v>
      </c>
    </row>
    <row r="334" spans="2:11">
      <c r="B334" s="1" t="s">
        <v>251</v>
      </c>
      <c r="C334" s="31">
        <v>473610.4372</v>
      </c>
      <c r="D334" s="31">
        <v>3382085.3579</v>
      </c>
      <c r="E334" s="20">
        <v>44284.6201133584</v>
      </c>
      <c r="F334" s="20">
        <v>44296.4618232673</v>
      </c>
      <c r="G334" s="32">
        <v>8.481</v>
      </c>
      <c r="H334" s="32">
        <v>80</v>
      </c>
      <c r="I334" s="32">
        <v>5.93168934933863</v>
      </c>
      <c r="J334" s="32">
        <v>11.8417099089311</v>
      </c>
      <c r="K334" s="33">
        <v>453.989</v>
      </c>
    </row>
    <row r="335" spans="2:11">
      <c r="C335" s="31"/>
      <c r="D335" s="31"/>
      <c r="E335" s="20"/>
      <c r="F335" s="20"/>
      <c r="G335" s="32"/>
      <c r="H335" s="32"/>
      <c r="I335" s="32"/>
      <c r="J335" s="32"/>
      <c r="K335" s="33"/>
    </row>
    <row r="336" spans="2:11">
      <c r="B336" s="1" t="s">
        <v>1</v>
      </c>
      <c r="C336" s="1" t="s">
        <v>872</v>
      </c>
      <c r="E336" s="1" t="s">
        <v>806</v>
      </c>
      <c r="G336" s="1" t="s">
        <v>873</v>
      </c>
      <c r="K336" s="1" t="s">
        <v>874</v>
      </c>
    </row>
    <row r="337" spans="2:11">
      <c r="C337" s="1" t="s">
        <v>875</v>
      </c>
      <c r="D337" s="1" t="s">
        <v>876</v>
      </c>
      <c r="E337" s="1" t="s">
        <v>877</v>
      </c>
      <c r="F337" s="1" t="s">
        <v>878</v>
      </c>
      <c r="G337" s="1" t="s">
        <v>879</v>
      </c>
      <c r="H337" s="1" t="s">
        <v>880</v>
      </c>
      <c r="I337" s="1" t="s">
        <v>881</v>
      </c>
      <c r="J337" s="1" t="s">
        <v>882</v>
      </c>
    </row>
    <row r="338" spans="2:11">
      <c r="B338" s="1" t="s">
        <v>252</v>
      </c>
      <c r="C338" s="31">
        <v>473670.7164</v>
      </c>
      <c r="D338" s="31">
        <v>3382096.1257</v>
      </c>
      <c r="E338" s="20">
        <v>44339.7881678115</v>
      </c>
      <c r="F338" s="20">
        <v>44363.5623447504</v>
      </c>
      <c r="G338" s="32">
        <v>17.027</v>
      </c>
      <c r="H338" s="32">
        <v>80</v>
      </c>
      <c r="I338" s="32">
        <v>11.975351358993</v>
      </c>
      <c r="J338" s="32">
        <v>23.774176938966</v>
      </c>
      <c r="K338" s="33">
        <v>453.977</v>
      </c>
    </row>
    <row r="339" spans="2:11">
      <c r="B339" s="1" t="s">
        <v>253</v>
      </c>
      <c r="C339" s="31">
        <v>473763.1194</v>
      </c>
      <c r="D339" s="31">
        <v>3382084.9457</v>
      </c>
      <c r="E339" s="20">
        <v>44435.8968029175</v>
      </c>
      <c r="F339" s="20">
        <v>44453.3612655447</v>
      </c>
      <c r="G339" s="32">
        <v>12.508</v>
      </c>
      <c r="H339" s="32">
        <v>80</v>
      </c>
      <c r="I339" s="32">
        <v>8.76707701946623</v>
      </c>
      <c r="J339" s="32">
        <v>17.4644626271561</v>
      </c>
      <c r="K339" s="33">
        <v>453.959</v>
      </c>
    </row>
    <row r="340" spans="2:11">
      <c r="B340" s="1" t="s">
        <v>254</v>
      </c>
      <c r="C340" s="31">
        <v>473879.762</v>
      </c>
      <c r="D340" s="31">
        <v>3382096.401</v>
      </c>
      <c r="E340" s="20">
        <v>44545.0442663103</v>
      </c>
      <c r="F340" s="20">
        <v>44578.0742733385</v>
      </c>
      <c r="G340" s="32">
        <v>23.656</v>
      </c>
      <c r="H340" s="32">
        <v>80</v>
      </c>
      <c r="I340" s="32">
        <v>16.7536765610931</v>
      </c>
      <c r="J340" s="32">
        <v>33.0300070281423</v>
      </c>
      <c r="K340" s="33">
        <v>453.936</v>
      </c>
    </row>
    <row r="341" spans="2:11">
      <c r="B341" s="1" t="s">
        <v>255</v>
      </c>
      <c r="C341" s="31">
        <v>473973.9601</v>
      </c>
      <c r="D341" s="31">
        <v>3382065.7081</v>
      </c>
      <c r="E341" s="20">
        <v>44660.392975138</v>
      </c>
      <c r="F341" s="20">
        <v>44660.392975138</v>
      </c>
      <c r="G341" s="32">
        <v>0</v>
      </c>
      <c r="H341" s="32">
        <v>0</v>
      </c>
      <c r="I341" s="32">
        <v>0</v>
      </c>
      <c r="J341" s="32">
        <v>0</v>
      </c>
      <c r="K341" s="33">
        <v>454.343</v>
      </c>
    </row>
    <row r="342" spans="2:11">
      <c r="B342" s="1" t="s">
        <v>256</v>
      </c>
      <c r="C342" s="31">
        <v>474349.1058</v>
      </c>
      <c r="D342" s="31">
        <v>3381943.4731</v>
      </c>
      <c r="E342" s="20">
        <v>45054.9505646651</v>
      </c>
      <c r="F342" s="20">
        <v>45054.9505646651</v>
      </c>
      <c r="G342" s="32">
        <v>0</v>
      </c>
      <c r="H342" s="32">
        <v>0</v>
      </c>
      <c r="I342" s="32">
        <v>0</v>
      </c>
      <c r="J342" s="32">
        <v>0</v>
      </c>
      <c r="K342" s="33">
        <v>454.211</v>
      </c>
    </row>
    <row r="343" spans="2:11">
      <c r="B343" s="1" t="s">
        <v>257</v>
      </c>
      <c r="C343" s="31">
        <v>474375.9903</v>
      </c>
      <c r="D343" s="31">
        <v>3381934.7132</v>
      </c>
      <c r="E343" s="20">
        <v>45066.4696196414</v>
      </c>
      <c r="F343" s="20">
        <v>45099.5052117232</v>
      </c>
      <c r="G343" s="32">
        <v>23.66</v>
      </c>
      <c r="H343" s="32">
        <v>80</v>
      </c>
      <c r="I343" s="32">
        <v>16.756591581438</v>
      </c>
      <c r="J343" s="32">
        <v>33.0355920817487</v>
      </c>
      <c r="K343" s="33">
        <v>453.75</v>
      </c>
    </row>
    <row r="344" spans="2:11">
      <c r="B344" s="1" t="s">
        <v>258</v>
      </c>
      <c r="C344" s="31">
        <v>474458.9313</v>
      </c>
      <c r="D344" s="31">
        <v>3381860.7959</v>
      </c>
      <c r="E344" s="20">
        <v>45189.2004762641</v>
      </c>
      <c r="F344" s="20">
        <v>45198.4842316213</v>
      </c>
      <c r="G344" s="32">
        <v>6.649</v>
      </c>
      <c r="H344" s="32">
        <v>80</v>
      </c>
      <c r="I344" s="32">
        <v>4.64709400922721</v>
      </c>
      <c r="J344" s="32">
        <v>9.28375535720824</v>
      </c>
      <c r="K344" s="33">
        <v>453.728</v>
      </c>
    </row>
    <row r="345" spans="2:11">
      <c r="B345" s="1" t="s">
        <v>259</v>
      </c>
      <c r="C345" s="31">
        <v>474487.6579</v>
      </c>
      <c r="D345" s="31">
        <v>3381828.4899</v>
      </c>
      <c r="E345" s="20">
        <v>45237.0678579802</v>
      </c>
      <c r="F345" s="20">
        <v>45237.0678579802</v>
      </c>
      <c r="G345" s="32">
        <v>0</v>
      </c>
      <c r="H345" s="32">
        <v>0</v>
      </c>
      <c r="I345" s="32">
        <v>0</v>
      </c>
      <c r="J345" s="32">
        <v>0</v>
      </c>
      <c r="K345" s="33">
        <v>454.146</v>
      </c>
    </row>
    <row r="346" spans="2:11">
      <c r="B346" s="1" t="s">
        <v>260</v>
      </c>
      <c r="C346" s="31">
        <v>474590.4642</v>
      </c>
      <c r="D346" s="31">
        <v>3381712.8733</v>
      </c>
      <c r="E346" s="20">
        <v>45391.7815726768</v>
      </c>
      <c r="F346" s="20">
        <v>45391.7815726768</v>
      </c>
      <c r="G346" s="32">
        <v>0</v>
      </c>
      <c r="H346" s="32">
        <v>0</v>
      </c>
      <c r="I346" s="32">
        <v>0</v>
      </c>
      <c r="J346" s="32">
        <v>0</v>
      </c>
      <c r="K346" s="33">
        <v>454.094</v>
      </c>
    </row>
    <row r="347" spans="2:11">
      <c r="B347" s="1" t="s">
        <v>261</v>
      </c>
      <c r="C347" s="31">
        <v>474610.7874</v>
      </c>
      <c r="D347" s="31">
        <v>3381690.0177</v>
      </c>
      <c r="E347" s="20">
        <v>45396.8134894925</v>
      </c>
      <c r="F347" s="20">
        <v>45445.1269957145</v>
      </c>
      <c r="G347" s="32">
        <v>46.136</v>
      </c>
      <c r="H347" s="32">
        <v>60</v>
      </c>
      <c r="I347" s="32">
        <v>25.5525712394648</v>
      </c>
      <c r="J347" s="32">
        <v>48.3135062220062</v>
      </c>
      <c r="K347" s="33">
        <v>453.632</v>
      </c>
    </row>
    <row r="348" spans="2:11">
      <c r="B348" s="1" t="s">
        <v>262</v>
      </c>
      <c r="C348" s="31">
        <v>474649.3721</v>
      </c>
      <c r="D348" s="31">
        <v>3381688.5218</v>
      </c>
      <c r="E348" s="20">
        <v>45458.1881110499</v>
      </c>
      <c r="F348" s="20">
        <v>45458.1881110499</v>
      </c>
      <c r="G348" s="32">
        <v>0</v>
      </c>
      <c r="H348" s="32">
        <v>0</v>
      </c>
      <c r="I348" s="32">
        <v>0</v>
      </c>
      <c r="J348" s="32">
        <v>0</v>
      </c>
      <c r="K348" s="33">
        <v>454.05</v>
      </c>
    </row>
    <row r="349" spans="2:11">
      <c r="B349" s="1" t="s">
        <v>263</v>
      </c>
      <c r="C349" s="31">
        <v>474829.449</v>
      </c>
      <c r="D349" s="31">
        <v>3381681.5403</v>
      </c>
      <c r="E349" s="20">
        <v>45638.4002950327</v>
      </c>
      <c r="F349" s="20">
        <v>45638.4002950327</v>
      </c>
      <c r="G349" s="32">
        <v>0</v>
      </c>
      <c r="H349" s="32">
        <v>0</v>
      </c>
      <c r="I349" s="32">
        <v>0</v>
      </c>
      <c r="J349" s="32">
        <v>0</v>
      </c>
      <c r="K349" s="33">
        <v>453.99</v>
      </c>
    </row>
    <row r="350" spans="2:11">
      <c r="B350" s="1" t="s">
        <v>264</v>
      </c>
      <c r="C350" s="31">
        <v>474884.3958</v>
      </c>
      <c r="D350" s="31">
        <v>3381679.41</v>
      </c>
      <c r="E350" s="35">
        <v>45656.4723113276</v>
      </c>
      <c r="F350" s="20">
        <v>45725.6459927694</v>
      </c>
      <c r="G350" s="32">
        <v>49.542</v>
      </c>
      <c r="H350" s="32">
        <v>80</v>
      </c>
      <c r="I350" s="32">
        <v>36.9160643074475</v>
      </c>
      <c r="J350" s="32">
        <v>69.1736814418425</v>
      </c>
      <c r="K350" s="33">
        <v>453.523</v>
      </c>
    </row>
    <row r="351" spans="2:11">
      <c r="B351" s="1" t="s">
        <v>265</v>
      </c>
      <c r="C351" s="31">
        <v>474935.0399</v>
      </c>
      <c r="D351" s="31">
        <v>3381615.1407</v>
      </c>
      <c r="E351" s="20">
        <v>45770.5551555459</v>
      </c>
      <c r="F351" s="20">
        <v>45770.5551555459</v>
      </c>
      <c r="G351" s="32">
        <v>0</v>
      </c>
      <c r="H351" s="32">
        <v>0</v>
      </c>
      <c r="I351" s="32">
        <v>0</v>
      </c>
      <c r="J351" s="32">
        <v>0</v>
      </c>
      <c r="K351" s="33">
        <v>453.933</v>
      </c>
    </row>
    <row r="352" spans="2:11">
      <c r="B352" s="1" t="s">
        <v>266</v>
      </c>
      <c r="C352" s="31">
        <v>475014.6117</v>
      </c>
      <c r="D352" s="31">
        <v>3381514.161</v>
      </c>
      <c r="E352" s="20">
        <v>45899.1186463485</v>
      </c>
      <c r="F352" s="20">
        <v>45899.1186463485</v>
      </c>
      <c r="G352" s="32">
        <v>0</v>
      </c>
      <c r="H352" s="32">
        <v>0</v>
      </c>
      <c r="I352" s="32">
        <v>0</v>
      </c>
      <c r="J352" s="32">
        <v>0</v>
      </c>
      <c r="K352" s="33">
        <v>453.89</v>
      </c>
    </row>
    <row r="353" spans="2:11">
      <c r="C353" s="31"/>
      <c r="D353" s="31"/>
      <c r="E353" s="20"/>
      <c r="F353" s="20"/>
      <c r="G353" s="32"/>
      <c r="H353" s="32"/>
      <c r="I353" s="32"/>
      <c r="J353" s="32"/>
      <c r="K353" s="33"/>
    </row>
    <row r="354" spans="2:11">
      <c r="B354" s="1" t="s">
        <v>1</v>
      </c>
      <c r="C354" s="1" t="s">
        <v>872</v>
      </c>
      <c r="E354" s="1" t="s">
        <v>806</v>
      </c>
      <c r="G354" s="1" t="s">
        <v>873</v>
      </c>
      <c r="K354" s="1" t="s">
        <v>874</v>
      </c>
    </row>
    <row r="355" spans="2:11">
      <c r="C355" s="1" t="s">
        <v>875</v>
      </c>
      <c r="D355" s="1" t="s">
        <v>876</v>
      </c>
      <c r="E355" s="1" t="s">
        <v>877</v>
      </c>
      <c r="F355" s="1" t="s">
        <v>878</v>
      </c>
      <c r="G355" s="1" t="s">
        <v>879</v>
      </c>
      <c r="H355" s="1" t="s">
        <v>880</v>
      </c>
      <c r="I355" s="1" t="s">
        <v>881</v>
      </c>
      <c r="J355" s="1" t="s">
        <v>882</v>
      </c>
    </row>
    <row r="356" spans="2:11">
      <c r="B356" s="1" t="s">
        <v>267</v>
      </c>
      <c r="C356" s="31">
        <v>475044.7358</v>
      </c>
      <c r="D356" s="31">
        <v>3381475.9324</v>
      </c>
      <c r="E356" s="20">
        <v>45930.4815574138</v>
      </c>
      <c r="F356" s="20">
        <v>45964.5727246272</v>
      </c>
      <c r="G356" s="32">
        <v>24.416</v>
      </c>
      <c r="H356" s="32">
        <v>80</v>
      </c>
      <c r="I356" s="32">
        <v>17.3083048509524</v>
      </c>
      <c r="J356" s="32">
        <v>34.0911672133548</v>
      </c>
      <c r="K356" s="33">
        <v>453.424</v>
      </c>
    </row>
    <row r="357" spans="2:11">
      <c r="B357" s="1" t="s">
        <v>268</v>
      </c>
      <c r="C357" s="31">
        <v>475057.5557</v>
      </c>
      <c r="D357" s="31">
        <v>3381423.8245</v>
      </c>
      <c r="E357" s="20">
        <v>45993.2350209073</v>
      </c>
      <c r="F357" s="20">
        <v>46008.570181847</v>
      </c>
      <c r="G357" s="32">
        <v>10.983</v>
      </c>
      <c r="H357" s="32">
        <v>80</v>
      </c>
      <c r="I357" s="32">
        <v>7.69114575057003</v>
      </c>
      <c r="J357" s="32">
        <v>15.335160939723</v>
      </c>
      <c r="K357" s="33">
        <v>453.413</v>
      </c>
    </row>
    <row r="358" spans="2:11">
      <c r="B358" s="1" t="s">
        <v>269</v>
      </c>
      <c r="C358" s="31">
        <v>475102.1676</v>
      </c>
      <c r="D358" s="31">
        <v>3381327.2971</v>
      </c>
      <c r="E358" s="20">
        <v>46098.2612253061</v>
      </c>
      <c r="F358" s="20">
        <v>46116.0984902615</v>
      </c>
      <c r="G358" s="32">
        <v>12.775</v>
      </c>
      <c r="H358" s="32">
        <v>80</v>
      </c>
      <c r="I358" s="32">
        <v>8.95576531445136</v>
      </c>
      <c r="J358" s="32">
        <v>17.8372649553821</v>
      </c>
      <c r="K358" s="33">
        <v>453.393</v>
      </c>
    </row>
    <row r="359" spans="2:11">
      <c r="B359" s="1" t="s">
        <v>270</v>
      </c>
      <c r="C359" s="31">
        <v>475145.0917</v>
      </c>
      <c r="D359" s="31">
        <v>3381271.5193</v>
      </c>
      <c r="E359" s="20">
        <v>46177.5248344187</v>
      </c>
      <c r="F359" s="20">
        <v>46177.5248344187</v>
      </c>
      <c r="G359" s="32">
        <v>0</v>
      </c>
      <c r="H359" s="32">
        <v>0</v>
      </c>
      <c r="I359" s="32">
        <v>0</v>
      </c>
      <c r="J359" s="32">
        <v>0</v>
      </c>
      <c r="K359" s="33">
        <v>453.805</v>
      </c>
    </row>
    <row r="360" spans="2:11">
      <c r="B360" s="1" t="s">
        <v>271</v>
      </c>
      <c r="C360" s="31">
        <v>475205.5627</v>
      </c>
      <c r="D360" s="31">
        <v>3381192.94</v>
      </c>
      <c r="E360" s="20">
        <v>46276.6784941064</v>
      </c>
      <c r="F360" s="20">
        <v>46276.6784941064</v>
      </c>
      <c r="G360" s="32">
        <v>0</v>
      </c>
      <c r="H360" s="32">
        <v>0</v>
      </c>
      <c r="I360" s="32">
        <v>0</v>
      </c>
      <c r="J360" s="32">
        <v>0</v>
      </c>
      <c r="K360" s="33">
        <v>453.772</v>
      </c>
    </row>
    <row r="361" spans="2:11">
      <c r="B361" s="1" t="s">
        <v>272</v>
      </c>
      <c r="C361" s="31">
        <v>475221.481</v>
      </c>
      <c r="D361" s="31">
        <v>3381172.255</v>
      </c>
      <c r="E361" s="20">
        <v>46286.7133008956</v>
      </c>
      <c r="F361" s="20">
        <v>46318.4238390093</v>
      </c>
      <c r="G361" s="32">
        <v>22.711</v>
      </c>
      <c r="H361" s="32">
        <v>80</v>
      </c>
      <c r="I361" s="32">
        <v>16.0661797801333</v>
      </c>
      <c r="J361" s="32">
        <v>31.7105381136346</v>
      </c>
      <c r="K361" s="33">
        <v>453.311</v>
      </c>
    </row>
    <row r="362" spans="2:11">
      <c r="B362" s="1" t="s">
        <v>273</v>
      </c>
      <c r="C362" s="31">
        <v>475241.6018</v>
      </c>
      <c r="D362" s="31">
        <v>3381096.472</v>
      </c>
      <c r="E362" s="20">
        <v>46380.76626642</v>
      </c>
      <c r="F362" s="20">
        <v>46380.76626642</v>
      </c>
      <c r="G362" s="32">
        <v>0</v>
      </c>
      <c r="H362" s="32">
        <v>0</v>
      </c>
      <c r="I362" s="32">
        <v>0</v>
      </c>
      <c r="J362" s="32">
        <v>0</v>
      </c>
      <c r="K362" s="33">
        <v>453.528</v>
      </c>
    </row>
    <row r="363" spans="2:11">
      <c r="B363" s="1" t="s">
        <v>824</v>
      </c>
      <c r="C363" s="31">
        <v>475260.8889</v>
      </c>
      <c r="D363" s="31">
        <v>3381023.8292</v>
      </c>
      <c r="E363" s="20">
        <v>46449.4139438916</v>
      </c>
      <c r="F363" s="20">
        <v>46461.346550548</v>
      </c>
      <c r="G363" s="32">
        <v>56.974</v>
      </c>
      <c r="H363" s="32">
        <v>12</v>
      </c>
      <c r="I363" s="32">
        <v>6.51194345780732</v>
      </c>
      <c r="J363" s="32">
        <v>11.932606656375</v>
      </c>
      <c r="K363" s="33" t="s">
        <v>886</v>
      </c>
    </row>
    <row r="364" spans="2:11">
      <c r="B364" s="1" t="s">
        <v>825</v>
      </c>
      <c r="C364" s="31">
        <v>475513.2176</v>
      </c>
      <c r="D364" s="31">
        <v>3380941.0795</v>
      </c>
      <c r="E364" s="20">
        <v>46716.3449721588</v>
      </c>
      <c r="F364" s="20">
        <v>46724.1398918509</v>
      </c>
      <c r="G364" s="32">
        <v>37.218</v>
      </c>
      <c r="H364" s="32">
        <v>12</v>
      </c>
      <c r="I364" s="32">
        <v>4.04054472794252</v>
      </c>
      <c r="J364" s="32">
        <v>7.794919692087</v>
      </c>
      <c r="K364" s="33" t="s">
        <v>886</v>
      </c>
    </row>
    <row r="365" spans="2:11">
      <c r="B365" s="1" t="s">
        <v>826</v>
      </c>
      <c r="C365" s="31">
        <v>475646.9836</v>
      </c>
      <c r="D365" s="31">
        <v>3380747.3577</v>
      </c>
      <c r="E365" s="20">
        <v>46952.1387692572</v>
      </c>
      <c r="F365" s="20">
        <v>46958.7248040962</v>
      </c>
      <c r="G365" s="32">
        <v>31.446</v>
      </c>
      <c r="H365" s="32">
        <v>12</v>
      </c>
      <c r="I365" s="32">
        <v>3.37824617295967</v>
      </c>
      <c r="J365" s="32">
        <v>6.58603483898564</v>
      </c>
      <c r="K365" s="33" t="s">
        <v>886</v>
      </c>
    </row>
    <row r="366" spans="2:11">
      <c r="B366" s="1" t="s">
        <v>827</v>
      </c>
      <c r="C366" s="31">
        <v>475666.653</v>
      </c>
      <c r="D366" s="31">
        <v>3380393.201</v>
      </c>
      <c r="E366" s="20">
        <v>47306.2546332331</v>
      </c>
      <c r="F366" s="20">
        <v>47313.6047034055</v>
      </c>
      <c r="G366" s="32">
        <v>35.094</v>
      </c>
      <c r="H366" s="32">
        <v>12</v>
      </c>
      <c r="I366" s="32">
        <v>3.79441051644301</v>
      </c>
      <c r="J366" s="32">
        <v>7.35007017233868</v>
      </c>
      <c r="K366" s="33" t="s">
        <v>886</v>
      </c>
    </row>
    <row r="367" spans="2:11">
      <c r="B367" s="1" t="s">
        <v>828</v>
      </c>
      <c r="C367" s="31">
        <v>475770.6804</v>
      </c>
      <c r="D367" s="31">
        <v>3380261.349</v>
      </c>
      <c r="E367" s="20">
        <v>47475.9475670921</v>
      </c>
      <c r="F367" s="20">
        <v>47479.5425962854</v>
      </c>
      <c r="G367" s="32">
        <v>17.165</v>
      </c>
      <c r="H367" s="32">
        <v>12</v>
      </c>
      <c r="I367" s="32">
        <v>1.81108052164523</v>
      </c>
      <c r="J367" s="32">
        <v>3.59502919325792</v>
      </c>
      <c r="K367" s="33" t="s">
        <v>886</v>
      </c>
    </row>
    <row r="368" spans="2:11">
      <c r="C368" s="31"/>
      <c r="D368" s="31"/>
      <c r="E368" s="20"/>
      <c r="F368" s="20"/>
      <c r="G368" s="32"/>
      <c r="H368" s="32"/>
      <c r="I368" s="32"/>
      <c r="J368" s="32"/>
      <c r="K368" s="33"/>
    </row>
    <row r="369" spans="2:11">
      <c r="B369" s="1" t="s">
        <v>1</v>
      </c>
      <c r="C369" s="1" t="s">
        <v>872</v>
      </c>
      <c r="E369" s="1" t="s">
        <v>806</v>
      </c>
      <c r="G369" s="1" t="s">
        <v>873</v>
      </c>
      <c r="K369" s="1" t="s">
        <v>874</v>
      </c>
    </row>
    <row r="370" spans="2:11">
      <c r="C370" s="1" t="s">
        <v>875</v>
      </c>
      <c r="D370" s="1" t="s">
        <v>876</v>
      </c>
      <c r="E370" s="1" t="s">
        <v>877</v>
      </c>
      <c r="F370" s="1" t="s">
        <v>878</v>
      </c>
      <c r="G370" s="1" t="s">
        <v>879</v>
      </c>
      <c r="H370" s="1" t="s">
        <v>880</v>
      </c>
      <c r="I370" s="1" t="s">
        <v>881</v>
      </c>
      <c r="J370" s="1" t="s">
        <v>882</v>
      </c>
    </row>
    <row r="371" spans="2:11">
      <c r="B371" s="1" t="s">
        <v>829</v>
      </c>
      <c r="C371" s="31">
        <v>475939.9772</v>
      </c>
      <c r="D371" s="31">
        <v>3380144.7202</v>
      </c>
      <c r="E371" s="20">
        <v>47680.8908243091</v>
      </c>
      <c r="F371" s="20">
        <v>47685.6706528118</v>
      </c>
      <c r="G371" s="32">
        <v>22.822</v>
      </c>
      <c r="H371" s="32">
        <v>12</v>
      </c>
      <c r="I371" s="32">
        <v>2.42202202650855</v>
      </c>
      <c r="J371" s="32">
        <v>4.77982850268175</v>
      </c>
      <c r="K371" s="33" t="s">
        <v>886</v>
      </c>
    </row>
    <row r="372" spans="2:11">
      <c r="B372" s="1" t="s">
        <v>830</v>
      </c>
      <c r="C372" s="31">
        <v>476327.8184</v>
      </c>
      <c r="D372" s="31">
        <v>3380064.1138</v>
      </c>
      <c r="E372" s="20">
        <v>48077.0276785253</v>
      </c>
      <c r="F372" s="20">
        <v>48081.6688580722</v>
      </c>
      <c r="G372" s="32">
        <v>22.16</v>
      </c>
      <c r="H372" s="32">
        <v>12</v>
      </c>
      <c r="I372" s="32">
        <v>2.34995667437811</v>
      </c>
      <c r="J372" s="32">
        <v>4.64117954690332</v>
      </c>
      <c r="K372" s="33" t="s">
        <v>886</v>
      </c>
    </row>
    <row r="373" spans="2:11">
      <c r="B373" s="1" t="s">
        <v>831</v>
      </c>
      <c r="C373" s="31">
        <v>476504.8633</v>
      </c>
      <c r="D373" s="31">
        <v>3379945.1403</v>
      </c>
      <c r="E373" s="20">
        <v>48289.8849086375</v>
      </c>
      <c r="F373" s="20">
        <v>48295.2731589174</v>
      </c>
      <c r="G373" s="32">
        <v>25.727</v>
      </c>
      <c r="H373" s="32">
        <v>12</v>
      </c>
      <c r="I373" s="32">
        <v>2.74032252636514</v>
      </c>
      <c r="J373" s="32">
        <v>5.38825027992697</v>
      </c>
      <c r="K373" s="33" t="s">
        <v>886</v>
      </c>
    </row>
    <row r="374" spans="2:11">
      <c r="B374" s="1" t="s">
        <v>832</v>
      </c>
      <c r="C374" s="31">
        <v>476667.1586</v>
      </c>
      <c r="D374" s="31">
        <v>3379668.2011</v>
      </c>
      <c r="E374" s="20">
        <v>48608.1477181636</v>
      </c>
      <c r="F374" s="20">
        <v>48618.2561066858</v>
      </c>
      <c r="G374" s="32">
        <v>48.264</v>
      </c>
      <c r="H374" s="32">
        <v>12</v>
      </c>
      <c r="I374" s="32">
        <v>5.37590454179013</v>
      </c>
      <c r="J374" s="32">
        <v>10.1083885221905</v>
      </c>
      <c r="K374" s="33" t="s">
        <v>886</v>
      </c>
    </row>
    <row r="375" spans="2:11">
      <c r="B375" s="1" t="s">
        <v>833</v>
      </c>
      <c r="C375" s="31">
        <v>476919.7161</v>
      </c>
      <c r="D375" s="31">
        <v>3379617.4408</v>
      </c>
      <c r="E375" s="20">
        <v>48869.7537585241</v>
      </c>
      <c r="F375" s="20">
        <v>48871.2208822934</v>
      </c>
      <c r="G375" s="32">
        <v>7.005</v>
      </c>
      <c r="H375" s="32">
        <v>12</v>
      </c>
      <c r="I375" s="32">
        <v>0.734477000697226</v>
      </c>
      <c r="J375" s="32">
        <v>1.46712376922643</v>
      </c>
      <c r="K375" s="33" t="s">
        <v>886</v>
      </c>
    </row>
    <row r="376" spans="2:11">
      <c r="B376" s="1" t="s">
        <v>834</v>
      </c>
      <c r="C376" s="31">
        <v>477129.3598</v>
      </c>
      <c r="D376" s="31">
        <v>3379601.46</v>
      </c>
      <c r="E376" s="20">
        <v>49079.1131887018</v>
      </c>
      <c r="F376" s="20">
        <v>49082.3437931472</v>
      </c>
      <c r="G376" s="32">
        <v>15.425</v>
      </c>
      <c r="H376" s="32">
        <v>12</v>
      </c>
      <c r="I376" s="32">
        <v>1.62512958650147</v>
      </c>
      <c r="J376" s="32">
        <v>3.2306044454415</v>
      </c>
      <c r="K376" s="33" t="s">
        <v>886</v>
      </c>
    </row>
    <row r="377" spans="2:11">
      <c r="C377" s="31"/>
      <c r="D377" s="31"/>
      <c r="E377" s="20"/>
      <c r="F377" s="20"/>
      <c r="G377" s="32"/>
      <c r="H377" s="32"/>
      <c r="I377" s="32"/>
      <c r="J377" s="32"/>
      <c r="K377" s="33"/>
    </row>
    <row r="378" spans="2:11">
      <c r="B378" s="1" t="s">
        <v>1</v>
      </c>
      <c r="C378" s="1" t="s">
        <v>872</v>
      </c>
      <c r="E378" s="1" t="s">
        <v>806</v>
      </c>
      <c r="G378" s="1" t="s">
        <v>873</v>
      </c>
      <c r="K378" s="1" t="s">
        <v>874</v>
      </c>
    </row>
    <row r="379" spans="2:11">
      <c r="C379" s="1" t="s">
        <v>875</v>
      </c>
      <c r="D379" s="1" t="s">
        <v>876</v>
      </c>
      <c r="E379" s="1" t="s">
        <v>877</v>
      </c>
      <c r="F379" s="1" t="s">
        <v>878</v>
      </c>
      <c r="G379" s="1" t="s">
        <v>879</v>
      </c>
      <c r="H379" s="1" t="s">
        <v>880</v>
      </c>
      <c r="I379" s="1" t="s">
        <v>881</v>
      </c>
      <c r="J379" s="1" t="s">
        <v>882</v>
      </c>
    </row>
    <row r="380" spans="2:11">
      <c r="B380" s="1" t="s">
        <v>835</v>
      </c>
      <c r="C380" s="31">
        <v>477310.9196</v>
      </c>
      <c r="D380" s="31">
        <v>3379636.9672</v>
      </c>
      <c r="E380" s="20">
        <v>49260.8742264225</v>
      </c>
      <c r="F380" s="20">
        <v>49270.0816061717</v>
      </c>
      <c r="G380" s="32">
        <v>43.962</v>
      </c>
      <c r="H380" s="32">
        <v>12</v>
      </c>
      <c r="I380" s="32">
        <v>4.84368640122925</v>
      </c>
      <c r="J380" s="32">
        <v>9.20737974914097</v>
      </c>
      <c r="K380" s="33" t="s">
        <v>886</v>
      </c>
    </row>
    <row r="381" spans="2:11">
      <c r="B381" s="1" t="s">
        <v>836</v>
      </c>
      <c r="C381" s="31">
        <v>477399.7684</v>
      </c>
      <c r="D381" s="31">
        <v>3379763.9882</v>
      </c>
      <c r="E381" s="20">
        <v>49416.612298294</v>
      </c>
      <c r="F381" s="20">
        <v>49423.6745985792</v>
      </c>
      <c r="G381" s="32">
        <v>33.72</v>
      </c>
      <c r="H381" s="32">
        <v>12</v>
      </c>
      <c r="I381" s="32">
        <v>3.63672979610972</v>
      </c>
      <c r="J381" s="32">
        <v>7.06230028526985</v>
      </c>
      <c r="K381" s="33" t="s">
        <v>886</v>
      </c>
    </row>
    <row r="382" spans="2:11">
      <c r="B382" s="1" t="s">
        <v>837</v>
      </c>
      <c r="C382" s="31">
        <v>477558.6445</v>
      </c>
      <c r="D382" s="31">
        <v>3379825.9567</v>
      </c>
      <c r="E382" s="20">
        <v>49587.4084410204</v>
      </c>
      <c r="F382" s="20">
        <v>49593.5938180762</v>
      </c>
      <c r="G382" s="32">
        <v>29.533</v>
      </c>
      <c r="H382" s="32">
        <v>12</v>
      </c>
      <c r="I382" s="32">
        <v>3.16303191001225</v>
      </c>
      <c r="J382" s="32">
        <v>6.18537705589782</v>
      </c>
      <c r="K382" s="33" t="s">
        <v>886</v>
      </c>
    </row>
    <row r="383" spans="2:11">
      <c r="B383" s="1" t="s">
        <v>838</v>
      </c>
      <c r="C383" s="31">
        <v>477710.1265</v>
      </c>
      <c r="D383" s="31">
        <v>3379804.0612</v>
      </c>
      <c r="E383" s="20">
        <v>49741.9048413983</v>
      </c>
      <c r="F383" s="20">
        <v>49745.0510417211</v>
      </c>
      <c r="G383" s="32">
        <v>15.022</v>
      </c>
      <c r="H383" s="32">
        <v>12</v>
      </c>
      <c r="I383" s="32">
        <v>1.58217379586868</v>
      </c>
      <c r="J383" s="32">
        <v>3.14620032281506</v>
      </c>
      <c r="K383" s="33" t="s">
        <v>886</v>
      </c>
    </row>
    <row r="384" spans="2:11">
      <c r="B384" s="1" t="s">
        <v>274</v>
      </c>
      <c r="C384" s="31">
        <v>477827.8049</v>
      </c>
      <c r="D384" s="31">
        <v>3379818.087</v>
      </c>
      <c r="E384" s="20">
        <v>49861.9801707288</v>
      </c>
      <c r="F384" s="20">
        <v>49861.9801707288</v>
      </c>
      <c r="G384" s="32">
        <v>0</v>
      </c>
      <c r="H384" s="32">
        <v>0</v>
      </c>
      <c r="I384" s="32">
        <v>0</v>
      </c>
      <c r="J384" s="32">
        <v>0</v>
      </c>
      <c r="K384" s="33">
        <v>450.628</v>
      </c>
    </row>
    <row r="385" spans="2:11">
      <c r="B385" s="1" t="s">
        <v>275</v>
      </c>
      <c r="C385" s="31">
        <v>478041.7976</v>
      </c>
      <c r="D385" s="31">
        <v>3379843.5924</v>
      </c>
      <c r="E385" s="20">
        <v>50046.3184979348</v>
      </c>
      <c r="F385" s="20">
        <v>50105.7616197309</v>
      </c>
      <c r="G385" s="32">
        <v>42.573</v>
      </c>
      <c r="H385" s="32">
        <v>80</v>
      </c>
      <c r="I385" s="32">
        <v>31.1689837661828</v>
      </c>
      <c r="J385" s="32">
        <v>59.4431217961237</v>
      </c>
      <c r="K385" s="33">
        <v>450.355</v>
      </c>
    </row>
    <row r="386" spans="2:11">
      <c r="B386" s="1" t="s">
        <v>276</v>
      </c>
      <c r="C386" s="31">
        <v>478142.057</v>
      </c>
      <c r="D386" s="31">
        <v>3379771.3467</v>
      </c>
      <c r="E386" s="20">
        <v>50182.9273667827</v>
      </c>
      <c r="F386" s="20">
        <v>50213.0517496721</v>
      </c>
      <c r="G386" s="32">
        <v>21.575</v>
      </c>
      <c r="H386" s="32">
        <v>80</v>
      </c>
      <c r="I386" s="32">
        <v>15.2427285216416</v>
      </c>
      <c r="J386" s="32">
        <v>30.1243828894221</v>
      </c>
      <c r="K386" s="33">
        <v>450.331</v>
      </c>
    </row>
    <row r="387" spans="2:11">
      <c r="B387" s="1" t="s">
        <v>277</v>
      </c>
      <c r="C387" s="31">
        <v>478198.1904</v>
      </c>
      <c r="D387" s="31">
        <v>3379683.7377</v>
      </c>
      <c r="E387" s="20">
        <v>50280.9566879583</v>
      </c>
      <c r="F387" s="20">
        <v>50321.846261674</v>
      </c>
      <c r="G387" s="32">
        <v>29.285</v>
      </c>
      <c r="H387" s="32">
        <v>80</v>
      </c>
      <c r="I387" s="32">
        <v>20.9018189025566</v>
      </c>
      <c r="J387" s="32">
        <v>40.8895737157232</v>
      </c>
      <c r="K387" s="33">
        <v>450.31</v>
      </c>
    </row>
    <row r="388" spans="2:11">
      <c r="B388" s="1" t="s">
        <v>278</v>
      </c>
      <c r="C388" s="31">
        <v>478264.447</v>
      </c>
      <c r="D388" s="31">
        <v>3379648.4099</v>
      </c>
      <c r="E388" s="20">
        <v>50376.0309961376</v>
      </c>
      <c r="F388" s="20">
        <v>50376.0309961376</v>
      </c>
      <c r="G388" s="32">
        <v>0</v>
      </c>
      <c r="H388" s="32">
        <v>0</v>
      </c>
      <c r="I388" s="32">
        <v>0</v>
      </c>
      <c r="J388" s="32">
        <v>0</v>
      </c>
      <c r="K388" s="33">
        <v>450.313</v>
      </c>
    </row>
    <row r="389" spans="2:11">
      <c r="B389" s="1" t="s">
        <v>279</v>
      </c>
      <c r="C389" s="31">
        <v>478523.6175</v>
      </c>
      <c r="D389" s="31">
        <v>3379510.2211</v>
      </c>
      <c r="E389" s="20">
        <v>50627.2981018946</v>
      </c>
      <c r="F389" s="20">
        <v>50705.3422447268</v>
      </c>
      <c r="G389" s="32">
        <v>55.895</v>
      </c>
      <c r="H389" s="32">
        <v>80</v>
      </c>
      <c r="I389" s="32">
        <v>42.4427723805195</v>
      </c>
      <c r="J389" s="32">
        <v>78.0441428321785</v>
      </c>
      <c r="K389" s="33">
        <v>450.259</v>
      </c>
    </row>
    <row r="390" spans="2:11">
      <c r="C390" s="31"/>
      <c r="D390" s="31"/>
      <c r="E390" s="20"/>
      <c r="F390" s="20"/>
      <c r="G390" s="32"/>
      <c r="H390" s="32"/>
      <c r="I390" s="32"/>
      <c r="J390" s="32"/>
      <c r="K390" s="33"/>
    </row>
    <row r="391" spans="2:11">
      <c r="B391" s="1" t="s">
        <v>1</v>
      </c>
      <c r="C391" s="1" t="s">
        <v>872</v>
      </c>
      <c r="E391" s="1" t="s">
        <v>806</v>
      </c>
      <c r="G391" s="1" t="s">
        <v>873</v>
      </c>
      <c r="K391" s="1" t="s">
        <v>874</v>
      </c>
    </row>
    <row r="392" spans="2:11">
      <c r="C392" s="1" t="s">
        <v>875</v>
      </c>
      <c r="D392" s="1" t="s">
        <v>876</v>
      </c>
      <c r="E392" s="1" t="s">
        <v>877</v>
      </c>
      <c r="F392" s="1" t="s">
        <v>878</v>
      </c>
      <c r="G392" s="1" t="s">
        <v>879</v>
      </c>
      <c r="H392" s="1" t="s">
        <v>880</v>
      </c>
      <c r="I392" s="1" t="s">
        <v>881</v>
      </c>
      <c r="J392" s="1" t="s">
        <v>882</v>
      </c>
    </row>
    <row r="393" spans="2:11">
      <c r="B393" s="1" t="s">
        <v>280</v>
      </c>
      <c r="C393" s="31">
        <v>478580.7661</v>
      </c>
      <c r="D393" s="31">
        <v>3378970.0082</v>
      </c>
      <c r="E393" s="20">
        <v>51191.4902426659</v>
      </c>
      <c r="F393" s="20">
        <v>51220.4431605614</v>
      </c>
      <c r="G393" s="32">
        <v>20.736</v>
      </c>
      <c r="H393" s="32">
        <v>80</v>
      </c>
      <c r="I393" s="32">
        <v>14.6365668132943</v>
      </c>
      <c r="J393" s="32">
        <v>28.9529178954835</v>
      </c>
      <c r="K393" s="33">
        <v>450.159</v>
      </c>
    </row>
    <row r="394" spans="2:11">
      <c r="B394" s="1" t="s">
        <v>281</v>
      </c>
      <c r="C394" s="31">
        <v>478777.0131</v>
      </c>
      <c r="D394" s="31">
        <v>3378581.0772</v>
      </c>
      <c r="E394" s="20">
        <v>51641.4442961683</v>
      </c>
      <c r="F394" s="20">
        <v>51641.4442961683</v>
      </c>
      <c r="G394" s="32">
        <v>0</v>
      </c>
      <c r="H394" s="32">
        <v>0</v>
      </c>
      <c r="I394" s="32">
        <v>0</v>
      </c>
      <c r="J394" s="32">
        <v>0</v>
      </c>
      <c r="K394" s="33">
        <v>450.079</v>
      </c>
    </row>
    <row r="395" spans="2:11">
      <c r="B395" s="1" t="s">
        <v>282</v>
      </c>
      <c r="C395" s="31">
        <v>478833.8309</v>
      </c>
      <c r="D395" s="31">
        <v>3378468.4731</v>
      </c>
      <c r="E395" s="20">
        <v>51763.1067105786</v>
      </c>
      <c r="F395" s="20">
        <v>51772.026041188</v>
      </c>
      <c r="G395" s="32">
        <v>6.388</v>
      </c>
      <c r="H395" s="32">
        <v>80</v>
      </c>
      <c r="I395" s="32">
        <v>4.46429066702486</v>
      </c>
      <c r="J395" s="32">
        <v>8.91933060939182</v>
      </c>
      <c r="K395" s="33">
        <v>450.038</v>
      </c>
    </row>
    <row r="396" spans="2:11">
      <c r="B396" s="1" t="s">
        <v>283</v>
      </c>
      <c r="C396" s="31">
        <v>478853.5472</v>
      </c>
      <c r="D396" s="31">
        <v>3378415.4202</v>
      </c>
      <c r="E396" s="20">
        <v>51824.1598307367</v>
      </c>
      <c r="F396" s="20">
        <v>51824.1598307367</v>
      </c>
      <c r="G396" s="32">
        <v>0</v>
      </c>
      <c r="H396" s="32">
        <v>0</v>
      </c>
      <c r="I396" s="32">
        <v>0</v>
      </c>
      <c r="J396" s="32">
        <v>0</v>
      </c>
      <c r="K396" s="33">
        <v>450.045</v>
      </c>
    </row>
    <row r="397" spans="2:11">
      <c r="B397" s="1" t="s">
        <v>284</v>
      </c>
      <c r="C397" s="31">
        <v>478898.5557</v>
      </c>
      <c r="D397" s="31">
        <v>3378294.3105</v>
      </c>
      <c r="E397" s="20">
        <v>51953.3624797278</v>
      </c>
      <c r="F397" s="20">
        <v>51953.3624797278</v>
      </c>
      <c r="G397" s="32">
        <v>0</v>
      </c>
      <c r="H397" s="32">
        <v>0</v>
      </c>
      <c r="I397" s="32">
        <v>0</v>
      </c>
      <c r="J397" s="32">
        <v>0</v>
      </c>
      <c r="K397" s="33">
        <v>450.021</v>
      </c>
    </row>
    <row r="398" spans="2:11">
      <c r="B398" s="1" t="s">
        <v>285</v>
      </c>
      <c r="C398" s="31">
        <v>478908.8974</v>
      </c>
      <c r="D398" s="31">
        <v>3378266.4831</v>
      </c>
      <c r="E398" s="20">
        <v>51979.1493724541</v>
      </c>
      <c r="F398" s="20">
        <v>51986.9433147618</v>
      </c>
      <c r="G398" s="32">
        <v>5.582</v>
      </c>
      <c r="H398" s="32">
        <v>80</v>
      </c>
      <c r="I398" s="32">
        <v>3.90005642086089</v>
      </c>
      <c r="J398" s="32">
        <v>7.79394230770588</v>
      </c>
      <c r="K398" s="33">
        <v>449.998</v>
      </c>
    </row>
    <row r="399" spans="2:11">
      <c r="B399" s="1" t="s">
        <v>286</v>
      </c>
      <c r="C399" s="31">
        <v>478927.9938</v>
      </c>
      <c r="D399" s="31">
        <v>3378227.2751</v>
      </c>
      <c r="E399" s="20">
        <v>52026.6544926382</v>
      </c>
      <c r="F399" s="20">
        <v>52026.6544926382</v>
      </c>
      <c r="G399" s="32">
        <v>0</v>
      </c>
      <c r="H399" s="32">
        <v>0</v>
      </c>
      <c r="I399" s="32">
        <v>0</v>
      </c>
      <c r="J399" s="32">
        <v>0</v>
      </c>
      <c r="K399" s="33">
        <v>450.007</v>
      </c>
    </row>
    <row r="400" spans="2:11">
      <c r="B400" s="1" t="s">
        <v>287</v>
      </c>
      <c r="C400" s="31">
        <v>479000.9961</v>
      </c>
      <c r="D400" s="31">
        <v>3378077.3896</v>
      </c>
      <c r="E400" s="20">
        <v>52173.0427687843</v>
      </c>
      <c r="F400" s="20">
        <v>52212.8600122076</v>
      </c>
      <c r="G400" s="32">
        <v>28.517</v>
      </c>
      <c r="H400" s="32">
        <v>80</v>
      </c>
      <c r="I400" s="32">
        <v>20.3300459292718</v>
      </c>
      <c r="J400" s="32">
        <v>39.8172434232978</v>
      </c>
      <c r="K400" s="33">
        <v>449.976</v>
      </c>
    </row>
    <row r="401" spans="2:11">
      <c r="B401" s="1" t="s">
        <v>288</v>
      </c>
      <c r="C401" s="31">
        <v>479045.3642</v>
      </c>
      <c r="D401" s="31">
        <v>3378045.7252</v>
      </c>
      <c r="E401" s="20">
        <v>52247.038337424</v>
      </c>
      <c r="F401" s="20">
        <v>52247.038337424</v>
      </c>
      <c r="G401" s="32">
        <v>0</v>
      </c>
      <c r="H401" s="32">
        <v>0</v>
      </c>
      <c r="I401" s="32">
        <v>0</v>
      </c>
      <c r="J401" s="32">
        <v>0</v>
      </c>
      <c r="K401" s="33">
        <v>449.965</v>
      </c>
    </row>
    <row r="402" spans="2:11">
      <c r="C402" s="31"/>
      <c r="D402" s="31"/>
      <c r="E402" s="20"/>
      <c r="F402" s="20"/>
      <c r="G402" s="32"/>
      <c r="H402" s="32"/>
      <c r="I402" s="32"/>
      <c r="J402" s="32"/>
      <c r="K402" s="33"/>
    </row>
    <row r="403" spans="2:11">
      <c r="B403" s="1" t="s">
        <v>1</v>
      </c>
      <c r="C403" s="1" t="s">
        <v>872</v>
      </c>
      <c r="E403" s="1" t="s">
        <v>806</v>
      </c>
      <c r="G403" s="1" t="s">
        <v>873</v>
      </c>
      <c r="K403" s="1" t="s">
        <v>874</v>
      </c>
    </row>
    <row r="404" spans="2:11">
      <c r="C404" s="1" t="s">
        <v>875</v>
      </c>
      <c r="D404" s="1" t="s">
        <v>876</v>
      </c>
      <c r="E404" s="1" t="s">
        <v>877</v>
      </c>
      <c r="F404" s="1" t="s">
        <v>878</v>
      </c>
      <c r="G404" s="1" t="s">
        <v>879</v>
      </c>
      <c r="H404" s="1" t="s">
        <v>880</v>
      </c>
      <c r="I404" s="1" t="s">
        <v>881</v>
      </c>
      <c r="J404" s="1" t="s">
        <v>882</v>
      </c>
    </row>
    <row r="405" spans="2:11">
      <c r="B405" s="1" t="s">
        <v>289</v>
      </c>
      <c r="C405" s="31">
        <v>479069.8889</v>
      </c>
      <c r="D405" s="31">
        <v>3378028.2225</v>
      </c>
      <c r="E405" s="20">
        <v>52277.1681468721</v>
      </c>
      <c r="F405" s="20">
        <v>52277.1681468721</v>
      </c>
      <c r="G405" s="32">
        <v>0</v>
      </c>
      <c r="H405" s="32">
        <v>0</v>
      </c>
      <c r="I405" s="32">
        <v>0</v>
      </c>
      <c r="J405" s="32">
        <v>0</v>
      </c>
      <c r="K405" s="33">
        <v>450.368</v>
      </c>
    </row>
    <row r="406" spans="2:11">
      <c r="B406" s="1" t="s">
        <v>290</v>
      </c>
      <c r="C406" s="31">
        <v>479192.3219</v>
      </c>
      <c r="D406" s="31">
        <v>3377940.8451</v>
      </c>
      <c r="E406" s="20">
        <v>52427.5830713968</v>
      </c>
      <c r="F406" s="20">
        <v>52427.5830713968</v>
      </c>
      <c r="G406" s="32">
        <v>0</v>
      </c>
      <c r="H406" s="32">
        <v>0</v>
      </c>
      <c r="I406" s="32">
        <v>0</v>
      </c>
      <c r="J406" s="32">
        <v>0</v>
      </c>
      <c r="K406" s="33">
        <v>450.318</v>
      </c>
    </row>
    <row r="407" spans="2:11">
      <c r="B407" s="1" t="s">
        <v>291</v>
      </c>
      <c r="C407" s="31">
        <v>479206.4636</v>
      </c>
      <c r="D407" s="31">
        <v>3377930.7525</v>
      </c>
      <c r="E407" s="20">
        <v>52433.9150207478</v>
      </c>
      <c r="F407" s="20">
        <v>52455.754325678</v>
      </c>
      <c r="G407" s="32">
        <v>20.855</v>
      </c>
      <c r="H407" s="32">
        <v>60</v>
      </c>
      <c r="I407" s="32">
        <v>11.0418312868879</v>
      </c>
      <c r="J407" s="32">
        <v>21.839304930205</v>
      </c>
      <c r="K407" s="33">
        <v>449.858</v>
      </c>
    </row>
    <row r="408" spans="2:11">
      <c r="B408" s="1" t="s">
        <v>292</v>
      </c>
      <c r="C408" s="31">
        <v>479271.9837</v>
      </c>
      <c r="D408" s="31">
        <v>3377913.6136</v>
      </c>
      <c r="E408" s="20">
        <v>52505.0546361504</v>
      </c>
      <c r="F408" s="20">
        <v>52519.7457705961</v>
      </c>
      <c r="G408" s="32">
        <v>14.029</v>
      </c>
      <c r="H408" s="32">
        <v>60</v>
      </c>
      <c r="I408" s="32">
        <v>7.38248741816809</v>
      </c>
      <c r="J408" s="32">
        <v>14.6911344457371</v>
      </c>
      <c r="K408" s="33">
        <v>449.845</v>
      </c>
    </row>
    <row r="409" spans="2:11">
      <c r="B409" s="1" t="s">
        <v>892</v>
      </c>
      <c r="C409" s="31">
        <v>479279.4653</v>
      </c>
      <c r="D409" s="31">
        <v>3377909.5195</v>
      </c>
      <c r="E409" s="20">
        <v>52520.8918231098</v>
      </c>
      <c r="F409" s="20">
        <v>52520.8918231098</v>
      </c>
      <c r="G409" s="32">
        <v>0</v>
      </c>
      <c r="H409" s="32">
        <v>0</v>
      </c>
      <c r="I409" s="32">
        <v>0</v>
      </c>
      <c r="J409" s="32">
        <v>0</v>
      </c>
      <c r="K409" s="33">
        <v>449.843</v>
      </c>
    </row>
    <row r="410" spans="2:11">
      <c r="B410" s="1" t="s">
        <v>295</v>
      </c>
      <c r="C410" s="31">
        <v>479282.8462</v>
      </c>
      <c r="D410" s="31">
        <v>3377907.6694</v>
      </c>
      <c r="E410" s="20">
        <v>52524.7458281461</v>
      </c>
      <c r="F410" s="20">
        <v>52524.7458281461</v>
      </c>
      <c r="G410" s="32">
        <v>0</v>
      </c>
      <c r="H410" s="32">
        <v>0</v>
      </c>
      <c r="I410" s="32">
        <v>0</v>
      </c>
      <c r="J410" s="32">
        <v>0</v>
      </c>
      <c r="K410" s="33">
        <v>450.238</v>
      </c>
    </row>
    <row r="411" spans="2:11">
      <c r="B411" s="1" t="s">
        <v>296</v>
      </c>
      <c r="C411" s="31">
        <v>479708.5986</v>
      </c>
      <c r="D411" s="31">
        <v>3377674.6907</v>
      </c>
      <c r="E411" s="20">
        <v>53002.8713413736</v>
      </c>
      <c r="F411" s="20">
        <v>53017.2095702445</v>
      </c>
      <c r="G411" s="32">
        <v>13.692</v>
      </c>
      <c r="H411" s="32">
        <v>60</v>
      </c>
      <c r="I411" s="32">
        <v>7.20342755334901</v>
      </c>
      <c r="J411" s="32">
        <v>14.3382288709838</v>
      </c>
      <c r="K411" s="33">
        <v>450.076</v>
      </c>
    </row>
    <row r="412" spans="2:11">
      <c r="B412" s="1" t="s">
        <v>297</v>
      </c>
      <c r="C412" s="31">
        <v>480169.8579</v>
      </c>
      <c r="D412" s="31">
        <v>3377551.1329</v>
      </c>
      <c r="E412" s="20">
        <v>53487.5275262724</v>
      </c>
      <c r="F412" s="20">
        <v>53487.5275262724</v>
      </c>
      <c r="G412" s="32">
        <v>0</v>
      </c>
      <c r="H412" s="32">
        <v>0</v>
      </c>
      <c r="I412" s="32">
        <v>0</v>
      </c>
      <c r="J412" s="32">
        <v>0</v>
      </c>
      <c r="K412" s="33">
        <v>449.916</v>
      </c>
    </row>
    <row r="413" spans="2:11">
      <c r="B413" s="1" t="s">
        <v>893</v>
      </c>
      <c r="C413" s="31">
        <v>480195.3242</v>
      </c>
      <c r="D413" s="31">
        <v>3377544.3112</v>
      </c>
      <c r="E413" s="20">
        <v>53513.8916690914</v>
      </c>
      <c r="F413" s="20">
        <v>53513.8916690914</v>
      </c>
      <c r="G413" s="32">
        <v>0</v>
      </c>
      <c r="H413" s="32">
        <v>0</v>
      </c>
      <c r="I413" s="32">
        <v>0</v>
      </c>
      <c r="J413" s="32">
        <v>0</v>
      </c>
      <c r="K413" s="33">
        <v>449.455</v>
      </c>
    </row>
    <row r="414" spans="2:11">
      <c r="B414" s="1" t="s">
        <v>300</v>
      </c>
      <c r="C414" s="31">
        <v>480204.4311</v>
      </c>
      <c r="D414" s="31">
        <v>3377541.8718</v>
      </c>
      <c r="E414" s="20">
        <v>53523.3196222081</v>
      </c>
      <c r="F414" s="20">
        <v>53523.3196222081</v>
      </c>
      <c r="G414" s="32">
        <v>0</v>
      </c>
      <c r="H414" s="32">
        <v>0</v>
      </c>
      <c r="I414" s="32">
        <v>0</v>
      </c>
      <c r="J414" s="32">
        <v>0</v>
      </c>
      <c r="K414" s="33">
        <v>449.849</v>
      </c>
    </row>
    <row r="415" spans="2:11">
      <c r="B415" s="1" t="s">
        <v>301</v>
      </c>
      <c r="C415" s="31">
        <v>480514.3678</v>
      </c>
      <c r="D415" s="31">
        <v>3377458.8489</v>
      </c>
      <c r="E415" s="20">
        <v>53808.2811434161</v>
      </c>
      <c r="F415" s="20">
        <v>53875.7751199858</v>
      </c>
      <c r="G415" s="32">
        <v>48.339</v>
      </c>
      <c r="H415" s="32">
        <v>80</v>
      </c>
      <c r="I415" s="32">
        <v>35.9022504011875</v>
      </c>
      <c r="J415" s="32">
        <v>67.4939765697231</v>
      </c>
      <c r="K415" s="33">
        <v>449.741</v>
      </c>
    </row>
    <row r="416" spans="2:11">
      <c r="C416" s="31"/>
      <c r="D416" s="31"/>
      <c r="E416" s="20"/>
      <c r="F416" s="20"/>
      <c r="G416" s="32"/>
      <c r="H416" s="32"/>
      <c r="I416" s="32"/>
      <c r="J416" s="32"/>
      <c r="K416" s="33"/>
    </row>
    <row r="417" spans="2:11">
      <c r="B417" s="1" t="s">
        <v>1</v>
      </c>
      <c r="C417" s="1" t="s">
        <v>872</v>
      </c>
      <c r="E417" s="1" t="s">
        <v>806</v>
      </c>
      <c r="G417" s="1" t="s">
        <v>873</v>
      </c>
      <c r="K417" s="1" t="s">
        <v>874</v>
      </c>
    </row>
    <row r="418" spans="2:11">
      <c r="C418" s="1" t="s">
        <v>875</v>
      </c>
      <c r="D418" s="1" t="s">
        <v>876</v>
      </c>
      <c r="E418" s="1" t="s">
        <v>877</v>
      </c>
      <c r="F418" s="1" t="s">
        <v>878</v>
      </c>
      <c r="G418" s="1" t="s">
        <v>879</v>
      </c>
      <c r="H418" s="1" t="s">
        <v>880</v>
      </c>
      <c r="I418" s="1" t="s">
        <v>881</v>
      </c>
      <c r="J418" s="1" t="s">
        <v>882</v>
      </c>
    </row>
    <row r="419" spans="2:11">
      <c r="B419" s="1" t="s">
        <v>302</v>
      </c>
      <c r="C419" s="31">
        <v>480719.8954</v>
      </c>
      <c r="D419" s="31">
        <v>3377049.5915</v>
      </c>
      <c r="E419" s="20">
        <v>54297.8392589807</v>
      </c>
      <c r="F419" s="20">
        <v>54297.8392589807</v>
      </c>
      <c r="G419" s="32">
        <v>0</v>
      </c>
      <c r="H419" s="32">
        <v>0</v>
      </c>
      <c r="I419" s="32">
        <v>0</v>
      </c>
      <c r="J419" s="32">
        <v>0</v>
      </c>
      <c r="K419" s="33">
        <v>449.587</v>
      </c>
    </row>
    <row r="420" spans="2:11">
      <c r="B420" s="1" t="s">
        <v>303</v>
      </c>
      <c r="C420" s="31">
        <v>480733.4995</v>
      </c>
      <c r="D420" s="31">
        <v>3377022.5024</v>
      </c>
      <c r="E420" s="20">
        <v>54307.0240380742</v>
      </c>
      <c r="F420" s="20">
        <v>54345.9008980966</v>
      </c>
      <c r="G420" s="32">
        <v>55.687</v>
      </c>
      <c r="H420" s="32">
        <v>40</v>
      </c>
      <c r="I420" s="32">
        <v>21.1284337949438</v>
      </c>
      <c r="J420" s="32">
        <v>38.8768600223233</v>
      </c>
      <c r="K420" s="33">
        <v>449.124</v>
      </c>
    </row>
    <row r="421" spans="2:11">
      <c r="B421" s="1" t="s">
        <v>304</v>
      </c>
      <c r="C421" s="31">
        <v>480804.877</v>
      </c>
      <c r="D421" s="31">
        <v>3377012.9189</v>
      </c>
      <c r="E421" s="20">
        <v>54381.4887363826</v>
      </c>
      <c r="F421" s="20">
        <v>54410.7181144316</v>
      </c>
      <c r="G421" s="32">
        <v>41.868</v>
      </c>
      <c r="H421" s="32">
        <v>40</v>
      </c>
      <c r="I421" s="32">
        <v>15.3017185776053</v>
      </c>
      <c r="J421" s="32">
        <v>29.2293780489994</v>
      </c>
      <c r="K421" s="33">
        <v>449.11</v>
      </c>
    </row>
    <row r="422" spans="2:11">
      <c r="B422" s="1" t="s">
        <v>305</v>
      </c>
      <c r="C422" s="31">
        <v>480898.9979</v>
      </c>
      <c r="D422" s="31">
        <v>3377076.9333</v>
      </c>
      <c r="E422" s="20">
        <v>54469.3908624893</v>
      </c>
      <c r="F422" s="20">
        <v>54543.3383685012</v>
      </c>
      <c r="G422" s="32">
        <v>52.961</v>
      </c>
      <c r="H422" s="32">
        <v>80</v>
      </c>
      <c r="I422" s="32">
        <v>39.8525390541097</v>
      </c>
      <c r="J422" s="32">
        <v>73.9475060118974</v>
      </c>
      <c r="K422" s="33">
        <v>449.087</v>
      </c>
    </row>
    <row r="423" spans="2:11">
      <c r="B423" s="1" t="s">
        <v>306</v>
      </c>
      <c r="C423" s="31">
        <v>481066.2972</v>
      </c>
      <c r="D423" s="31">
        <v>3377020.176</v>
      </c>
      <c r="E423" s="20">
        <v>54648.9936934316</v>
      </c>
      <c r="F423" s="20">
        <v>54708.4158712767</v>
      </c>
      <c r="G423" s="32">
        <v>42.558</v>
      </c>
      <c r="H423" s="32">
        <v>80</v>
      </c>
      <c r="I423" s="32">
        <v>31.1569227834763</v>
      </c>
      <c r="J423" s="32">
        <v>59.4221778450997</v>
      </c>
      <c r="K423" s="33">
        <v>449.053</v>
      </c>
    </row>
    <row r="424" spans="2:11">
      <c r="B424" s="1" t="s">
        <v>307</v>
      </c>
      <c r="C424" s="31">
        <v>481136.5085</v>
      </c>
      <c r="D424" s="31">
        <v>3377051.1693</v>
      </c>
      <c r="E424" s="20">
        <v>54723.9661140925</v>
      </c>
      <c r="F424" s="20">
        <v>54781.4405044924</v>
      </c>
      <c r="G424" s="32">
        <v>41.163</v>
      </c>
      <c r="H424" s="32">
        <v>80</v>
      </c>
      <c r="I424" s="32">
        <v>30.040546370478</v>
      </c>
      <c r="J424" s="32">
        <v>57.4743903998741</v>
      </c>
      <c r="K424" s="33">
        <v>449.037</v>
      </c>
    </row>
    <row r="425" spans="2:11">
      <c r="B425" s="1" t="s">
        <v>308</v>
      </c>
      <c r="C425" s="31">
        <v>481198.8308</v>
      </c>
      <c r="D425" s="31">
        <v>3377031.704</v>
      </c>
      <c r="E425" s="20">
        <v>54795.9132938864</v>
      </c>
      <c r="F425" s="20">
        <v>54836.5710878775</v>
      </c>
      <c r="G425" s="32">
        <v>29.119</v>
      </c>
      <c r="H425" s="32">
        <v>80</v>
      </c>
      <c r="I425" s="32">
        <v>20.7780647518628</v>
      </c>
      <c r="J425" s="32">
        <v>40.6577939910583</v>
      </c>
      <c r="K425" s="33">
        <v>449.024</v>
      </c>
    </row>
    <row r="426" spans="2:11">
      <c r="B426" s="1" t="s">
        <v>309</v>
      </c>
      <c r="C426" s="31">
        <v>481251.9824</v>
      </c>
      <c r="D426" s="31">
        <v>3376975.7633</v>
      </c>
      <c r="E426" s="20">
        <v>54869.9134483581</v>
      </c>
      <c r="F426" s="20">
        <v>54914.787957822</v>
      </c>
      <c r="G426" s="32">
        <v>32.139</v>
      </c>
      <c r="H426" s="32">
        <v>80</v>
      </c>
      <c r="I426" s="32">
        <v>23.0446866964908</v>
      </c>
      <c r="J426" s="32">
        <v>44.8745094638766</v>
      </c>
      <c r="K426" s="33">
        <v>449.008</v>
      </c>
    </row>
    <row r="427" spans="2:11">
      <c r="B427" s="1" t="s">
        <v>310</v>
      </c>
      <c r="C427" s="31">
        <v>481291.5442</v>
      </c>
      <c r="D427" s="31">
        <v>3376965.6601</v>
      </c>
      <c r="E427" s="20">
        <v>54932.5747622749</v>
      </c>
      <c r="F427" s="20">
        <v>54932.5747622749</v>
      </c>
      <c r="G427" s="32">
        <v>0</v>
      </c>
      <c r="H427" s="32">
        <v>0</v>
      </c>
      <c r="I427" s="32">
        <v>0</v>
      </c>
      <c r="J427" s="32">
        <v>0</v>
      </c>
      <c r="K427" s="33">
        <v>449.017</v>
      </c>
    </row>
    <row r="428" spans="2:11">
      <c r="B428" s="1" t="s">
        <v>311</v>
      </c>
      <c r="C428" s="31">
        <v>481794.4166</v>
      </c>
      <c r="D428" s="31">
        <v>3376837.2376</v>
      </c>
      <c r="E428" s="20">
        <v>55451.5863124238</v>
      </c>
      <c r="F428" s="20">
        <v>55451.5863124238</v>
      </c>
      <c r="G428" s="32">
        <v>0</v>
      </c>
      <c r="H428" s="32">
        <v>0</v>
      </c>
      <c r="I428" s="32">
        <v>0</v>
      </c>
      <c r="J428" s="32">
        <v>0</v>
      </c>
      <c r="K428" s="33">
        <v>448.923</v>
      </c>
    </row>
    <row r="429" spans="2:11">
      <c r="C429" s="31"/>
      <c r="D429" s="31"/>
      <c r="E429" s="20"/>
      <c r="F429" s="20"/>
      <c r="G429" s="32"/>
      <c r="H429" s="32"/>
      <c r="I429" s="32"/>
      <c r="J429" s="32"/>
      <c r="K429" s="33"/>
    </row>
    <row r="430" spans="2:11">
      <c r="B430" s="1" t="s">
        <v>1</v>
      </c>
      <c r="C430" s="1" t="s">
        <v>872</v>
      </c>
      <c r="E430" s="1" t="s">
        <v>806</v>
      </c>
      <c r="G430" s="1" t="s">
        <v>873</v>
      </c>
      <c r="K430" s="1" t="s">
        <v>874</v>
      </c>
    </row>
    <row r="431" spans="2:11">
      <c r="C431" s="1" t="s">
        <v>875</v>
      </c>
      <c r="D431" s="1" t="s">
        <v>876</v>
      </c>
      <c r="E431" s="1" t="s">
        <v>877</v>
      </c>
      <c r="F431" s="1" t="s">
        <v>878</v>
      </c>
      <c r="G431" s="1" t="s">
        <v>879</v>
      </c>
      <c r="H431" s="1" t="s">
        <v>880</v>
      </c>
      <c r="I431" s="1" t="s">
        <v>881</v>
      </c>
      <c r="J431" s="1" t="s">
        <v>882</v>
      </c>
    </row>
    <row r="432" spans="2:11">
      <c r="B432" s="1" t="s">
        <v>312</v>
      </c>
      <c r="C432" s="31">
        <v>481830.4795</v>
      </c>
      <c r="D432" s="31">
        <v>3376828.0279</v>
      </c>
      <c r="E432" s="1">
        <v>55471.586596717</v>
      </c>
      <c r="F432" s="1">
        <v>55505.1251926892</v>
      </c>
      <c r="G432" s="32">
        <v>32.027</v>
      </c>
      <c r="H432" s="32">
        <v>60</v>
      </c>
      <c r="I432" s="32">
        <v>17.2200237455975</v>
      </c>
      <c r="J432" s="32">
        <v>33.5385959721734</v>
      </c>
      <c r="K432" s="33">
        <v>448.898</v>
      </c>
    </row>
    <row r="433" spans="2:11">
      <c r="B433" s="1" t="s">
        <v>313</v>
      </c>
      <c r="C433" s="31">
        <v>481898.4306</v>
      </c>
      <c r="D433" s="31">
        <v>3376849.7158</v>
      </c>
      <c r="E433" s="1">
        <v>55545.3049772878</v>
      </c>
      <c r="F433" s="1">
        <v>55572.8853682595</v>
      </c>
      <c r="G433" s="32">
        <v>19.753</v>
      </c>
      <c r="H433" s="32">
        <v>80</v>
      </c>
      <c r="I433" s="32">
        <v>13.9284258805305</v>
      </c>
      <c r="J433" s="32">
        <v>27.5803909717152</v>
      </c>
      <c r="K433" s="33">
        <v>448.883</v>
      </c>
    </row>
    <row r="434" spans="2:11">
      <c r="B434" s="1" t="s">
        <v>314</v>
      </c>
      <c r="C434" s="31">
        <v>481962.7307</v>
      </c>
      <c r="D434" s="31">
        <v>3376847.4129</v>
      </c>
      <c r="E434" s="1">
        <v>55615.1220826023</v>
      </c>
      <c r="F434" s="1">
        <v>55631.4178727624</v>
      </c>
      <c r="G434" s="32">
        <v>11.671</v>
      </c>
      <c r="H434" s="32">
        <v>80</v>
      </c>
      <c r="I434" s="32">
        <v>8.17618559773006</v>
      </c>
      <c r="J434" s="32">
        <v>16.2957901600207</v>
      </c>
      <c r="K434" s="33">
        <v>448.871</v>
      </c>
    </row>
    <row r="435" spans="2:11">
      <c r="B435" s="1" t="s">
        <v>315</v>
      </c>
      <c r="C435" s="31">
        <v>482069.1109</v>
      </c>
      <c r="D435" s="31">
        <v>3376821.4362</v>
      </c>
      <c r="E435" s="1">
        <v>55725.3726537963</v>
      </c>
      <c r="F435" s="1">
        <v>55740.0808924687</v>
      </c>
      <c r="G435" s="32">
        <v>10.534</v>
      </c>
      <c r="H435" s="32">
        <v>80</v>
      </c>
      <c r="I435" s="32">
        <v>7.37490487730425</v>
      </c>
      <c r="J435" s="32">
        <v>14.7082386724066</v>
      </c>
      <c r="K435" s="33">
        <v>448.85</v>
      </c>
    </row>
    <row r="436" spans="2:11">
      <c r="B436" s="1" t="s">
        <v>316</v>
      </c>
      <c r="C436" s="31">
        <v>482099.1418</v>
      </c>
      <c r="D436" s="31">
        <v>3376819.7634</v>
      </c>
      <c r="E436" s="1">
        <v>55762.7834411845</v>
      </c>
      <c r="F436" s="1">
        <v>55762.7834411845</v>
      </c>
      <c r="G436" s="32">
        <v>0</v>
      </c>
      <c r="H436" s="32">
        <v>0</v>
      </c>
      <c r="I436" s="32">
        <v>0</v>
      </c>
      <c r="J436" s="32">
        <v>0</v>
      </c>
      <c r="K436" s="33">
        <v>448.861</v>
      </c>
    </row>
    <row r="437" spans="2:11">
      <c r="B437" s="1" t="s">
        <v>317</v>
      </c>
      <c r="C437" s="31">
        <v>482388.917</v>
      </c>
      <c r="D437" s="31">
        <v>3376803.6218</v>
      </c>
      <c r="E437" s="1">
        <v>56053.0078677678</v>
      </c>
      <c r="F437" s="1">
        <v>56053.0078677678</v>
      </c>
      <c r="G437" s="32">
        <v>0</v>
      </c>
      <c r="H437" s="32">
        <v>0</v>
      </c>
      <c r="I437" s="32">
        <v>0</v>
      </c>
      <c r="J437" s="32">
        <v>0</v>
      </c>
      <c r="K437" s="33">
        <v>448.809</v>
      </c>
    </row>
    <row r="438" spans="2:11">
      <c r="B438" s="1" t="s">
        <v>318</v>
      </c>
      <c r="C438" s="31">
        <v>482422.6728</v>
      </c>
      <c r="D438" s="31">
        <v>3376801.7415</v>
      </c>
      <c r="E438" s="1">
        <v>56075.9402724225</v>
      </c>
      <c r="F438" s="1">
        <v>56097.4580877044</v>
      </c>
      <c r="G438" s="32">
        <v>20.548</v>
      </c>
      <c r="H438" s="32">
        <v>60</v>
      </c>
      <c r="I438" s="32">
        <v>10.8757239792971</v>
      </c>
      <c r="J438" s="32">
        <v>21.5178152819877</v>
      </c>
      <c r="K438" s="33">
        <v>448.784</v>
      </c>
    </row>
    <row r="439" spans="2:11">
      <c r="B439" s="1" t="s">
        <v>319</v>
      </c>
      <c r="C439" s="31">
        <v>482521.4369</v>
      </c>
      <c r="D439" s="31">
        <v>3376832.6163</v>
      </c>
      <c r="E439" s="1">
        <v>56174.7122430993</v>
      </c>
      <c r="F439" s="1">
        <v>56205.0390841819</v>
      </c>
      <c r="G439" s="32">
        <v>21.72</v>
      </c>
      <c r="H439" s="32">
        <v>80</v>
      </c>
      <c r="I439" s="32">
        <v>15.3476579169776</v>
      </c>
      <c r="J439" s="32">
        <v>30.3268410826535</v>
      </c>
      <c r="K439" s="33">
        <v>448.764</v>
      </c>
    </row>
    <row r="440" spans="2:11">
      <c r="B440" s="1" t="s">
        <v>320</v>
      </c>
      <c r="C440" s="31">
        <v>482581.8997</v>
      </c>
      <c r="D440" s="31">
        <v>3376828.0058</v>
      </c>
      <c r="E440" s="1">
        <v>56231.871329364</v>
      </c>
      <c r="F440" s="1">
        <v>56268.1532338544</v>
      </c>
      <c r="G440" s="32">
        <v>25.985</v>
      </c>
      <c r="H440" s="32">
        <v>80</v>
      </c>
      <c r="I440" s="32">
        <v>18.458425490228</v>
      </c>
      <c r="J440" s="32">
        <v>36.2819044904581</v>
      </c>
      <c r="K440" s="33">
        <v>448.752</v>
      </c>
    </row>
    <row r="441" spans="2:11">
      <c r="B441" s="1" t="s">
        <v>321</v>
      </c>
      <c r="C441" s="31">
        <v>482631.1459</v>
      </c>
      <c r="D441" s="31">
        <v>3376847.5283</v>
      </c>
      <c r="E441" s="1">
        <v>56297.412684985</v>
      </c>
      <c r="F441" s="1">
        <v>56307.9111895016</v>
      </c>
      <c r="G441" s="32">
        <v>7.519</v>
      </c>
      <c r="H441" s="32">
        <v>80</v>
      </c>
      <c r="I441" s="32">
        <v>5.25679865600862</v>
      </c>
      <c r="J441" s="32">
        <v>10.4985045165963</v>
      </c>
      <c r="K441" s="33">
        <v>448.741</v>
      </c>
    </row>
    <row r="442" spans="2:11">
      <c r="B442" s="1" t="s">
        <v>322</v>
      </c>
      <c r="C442" s="31">
        <v>482662.459</v>
      </c>
      <c r="D442" s="31">
        <v>3376855.3972</v>
      </c>
      <c r="E442" s="1">
        <v>56334.9410726017</v>
      </c>
      <c r="F442" s="1">
        <v>56334.9410726017</v>
      </c>
      <c r="G442" s="32">
        <v>0</v>
      </c>
      <c r="H442" s="32">
        <v>0</v>
      </c>
      <c r="I442" s="32">
        <v>0</v>
      </c>
      <c r="J442" s="32">
        <v>0</v>
      </c>
      <c r="K442" s="33">
        <v>448.752</v>
      </c>
    </row>
    <row r="443" spans="2:11">
      <c r="B443" s="1" t="s">
        <v>323</v>
      </c>
      <c r="C443" s="31">
        <v>482976.6976</v>
      </c>
      <c r="D443" s="31">
        <v>3376934.3644</v>
      </c>
      <c r="E443" s="1">
        <v>56651.78897304</v>
      </c>
      <c r="F443" s="1">
        <v>56666.0727476384</v>
      </c>
      <c r="G443" s="32">
        <v>10.23</v>
      </c>
      <c r="H443" s="32">
        <v>80</v>
      </c>
      <c r="I443" s="32">
        <v>7.16092105548314</v>
      </c>
      <c r="J443" s="32">
        <v>14.2837745983216</v>
      </c>
      <c r="K443" s="33">
        <v>448.693</v>
      </c>
    </row>
    <row r="444" spans="2:11">
      <c r="B444" s="1" t="s">
        <v>324</v>
      </c>
      <c r="C444" s="31">
        <v>483011.5121</v>
      </c>
      <c r="D444" s="31">
        <v>3376936.7235</v>
      </c>
      <c r="E444" s="1">
        <v>56693.8061637031</v>
      </c>
      <c r="F444" s="1">
        <v>56693.8061637031</v>
      </c>
      <c r="G444" s="32">
        <v>0</v>
      </c>
      <c r="H444" s="32">
        <v>0</v>
      </c>
      <c r="I444" s="32">
        <v>0</v>
      </c>
      <c r="J444" s="32">
        <v>0</v>
      </c>
      <c r="K444" s="33">
        <v>448.686</v>
      </c>
    </row>
    <row r="445" spans="2:11">
      <c r="B445" s="1" t="s">
        <v>325</v>
      </c>
      <c r="C445" s="31">
        <v>483119.0614</v>
      </c>
      <c r="D445" s="31">
        <v>3376944.0113</v>
      </c>
      <c r="E445" s="1">
        <v>56776.983244534</v>
      </c>
      <c r="F445" s="1">
        <v>56824.7494155026</v>
      </c>
      <c r="G445" s="32">
        <v>34.21</v>
      </c>
      <c r="H445" s="32">
        <v>80</v>
      </c>
      <c r="I445" s="32">
        <v>24.6188558241016</v>
      </c>
      <c r="J445" s="32">
        <v>47.7661709685808</v>
      </c>
      <c r="K445" s="33">
        <v>448.648</v>
      </c>
    </row>
    <row r="446" spans="2:11">
      <c r="B446" s="1" t="s">
        <v>326</v>
      </c>
      <c r="C446" s="31">
        <v>483185.922</v>
      </c>
      <c r="D446" s="31">
        <v>3376996.4114</v>
      </c>
      <c r="E446" s="1">
        <v>56850.5072236139</v>
      </c>
      <c r="F446" s="1">
        <v>56915.7713675313</v>
      </c>
      <c r="G446" s="32">
        <v>46.742</v>
      </c>
      <c r="H446" s="32">
        <v>80</v>
      </c>
      <c r="I446" s="32">
        <v>34.5710276894754</v>
      </c>
      <c r="J446" s="32">
        <v>65.2641439173752</v>
      </c>
      <c r="K446" s="33">
        <v>448.631</v>
      </c>
    </row>
    <row r="447" spans="2:11">
      <c r="B447" s="1" t="s">
        <v>327</v>
      </c>
      <c r="C447" s="31">
        <v>483277.8123</v>
      </c>
      <c r="D447" s="31">
        <v>3376982.4226</v>
      </c>
      <c r="E447" s="1">
        <v>56952.8480185625</v>
      </c>
      <c r="F447" s="1">
        <v>56994.4845931981</v>
      </c>
      <c r="G447" s="32">
        <v>29.82</v>
      </c>
      <c r="H447" s="32">
        <v>80</v>
      </c>
      <c r="I447" s="32">
        <v>21.3013059940992</v>
      </c>
      <c r="J447" s="32">
        <v>41.6365746355767</v>
      </c>
      <c r="K447" s="33">
        <v>448.612</v>
      </c>
    </row>
    <row r="448" spans="2:11">
      <c r="C448" s="31"/>
      <c r="D448" s="31"/>
      <c r="G448" s="32"/>
      <c r="H448" s="32"/>
      <c r="I448" s="32"/>
      <c r="J448" s="32"/>
      <c r="K448" s="33"/>
    </row>
    <row r="449" spans="2:11">
      <c r="B449" s="1" t="s">
        <v>1</v>
      </c>
      <c r="C449" s="1" t="s">
        <v>872</v>
      </c>
      <c r="E449" s="1" t="s">
        <v>806</v>
      </c>
      <c r="G449" s="1" t="s">
        <v>873</v>
      </c>
      <c r="K449" s="1" t="s">
        <v>874</v>
      </c>
    </row>
    <row r="450" spans="2:11">
      <c r="C450" s="1" t="s">
        <v>875</v>
      </c>
      <c r="D450" s="1" t="s">
        <v>876</v>
      </c>
      <c r="E450" s="1" t="s">
        <v>877</v>
      </c>
      <c r="F450" s="1" t="s">
        <v>878</v>
      </c>
      <c r="G450" s="1" t="s">
        <v>879</v>
      </c>
      <c r="H450" s="1" t="s">
        <v>880</v>
      </c>
      <c r="I450" s="1" t="s">
        <v>881</v>
      </c>
      <c r="J450" s="1" t="s">
        <v>882</v>
      </c>
    </row>
    <row r="451" spans="2:11">
      <c r="B451" s="1" t="s">
        <v>328</v>
      </c>
      <c r="C451" s="31">
        <v>483353.6469</v>
      </c>
      <c r="D451" s="31">
        <v>3376922.1522</v>
      </c>
      <c r="E451" s="1">
        <v>57061.3965201862</v>
      </c>
      <c r="F451" s="1">
        <v>57078.6389769325</v>
      </c>
      <c r="G451" s="32">
        <v>12.349</v>
      </c>
      <c r="H451" s="32">
        <v>80</v>
      </c>
      <c r="I451" s="32">
        <v>8.65475798159592</v>
      </c>
      <c r="J451" s="32">
        <v>17.2424567463024</v>
      </c>
      <c r="K451" s="33">
        <v>448.593</v>
      </c>
    </row>
    <row r="452" spans="2:11">
      <c r="B452" s="1" t="s">
        <v>329</v>
      </c>
      <c r="C452" s="31">
        <v>483386.9674</v>
      </c>
      <c r="D452" s="31">
        <v>3376905.8088</v>
      </c>
      <c r="E452" s="1">
        <v>57107.0970529009</v>
      </c>
      <c r="F452" s="1">
        <v>57107.0970529009</v>
      </c>
      <c r="G452" s="32">
        <v>0</v>
      </c>
      <c r="H452" s="32">
        <v>0</v>
      </c>
      <c r="I452" s="32">
        <v>0</v>
      </c>
      <c r="J452" s="32">
        <v>0</v>
      </c>
      <c r="K452" s="33">
        <v>448.603</v>
      </c>
    </row>
    <row r="453" spans="2:11">
      <c r="B453" s="1" t="s">
        <v>330</v>
      </c>
      <c r="C453" s="31">
        <v>483753.2576</v>
      </c>
      <c r="D453" s="31">
        <v>3376726.1468</v>
      </c>
      <c r="E453" s="1">
        <v>57515.0761514587</v>
      </c>
      <c r="F453" s="1">
        <v>57515.0761514587</v>
      </c>
      <c r="G453" s="32">
        <v>0</v>
      </c>
      <c r="H453" s="32">
        <v>0</v>
      </c>
      <c r="I453" s="32">
        <v>0</v>
      </c>
      <c r="J453" s="32">
        <v>0</v>
      </c>
      <c r="K453" s="33">
        <v>448.529</v>
      </c>
    </row>
    <row r="454" spans="2:11">
      <c r="B454" s="1" t="s">
        <v>331</v>
      </c>
      <c r="C454" s="31">
        <v>483836.3078</v>
      </c>
      <c r="D454" s="31">
        <v>3376685.4114</v>
      </c>
      <c r="E454" s="1">
        <v>57599.8959391602</v>
      </c>
      <c r="F454" s="1">
        <v>57615.2143449391</v>
      </c>
      <c r="G454" s="32">
        <v>10.971</v>
      </c>
      <c r="H454" s="32">
        <v>80</v>
      </c>
      <c r="I454" s="32">
        <v>7.68269082320883</v>
      </c>
      <c r="J454" s="32">
        <v>15.3184057789038</v>
      </c>
      <c r="K454" s="33">
        <v>448.494</v>
      </c>
    </row>
    <row r="455" spans="2:11">
      <c r="B455" s="1" t="s">
        <v>332</v>
      </c>
      <c r="C455" s="31">
        <v>483975.179</v>
      </c>
      <c r="D455" s="31">
        <v>3376580.3886</v>
      </c>
      <c r="E455" s="1">
        <v>57770.123346008</v>
      </c>
      <c r="F455" s="1">
        <v>57793.0067068968</v>
      </c>
      <c r="G455" s="32">
        <v>16.389</v>
      </c>
      <c r="H455" s="32">
        <v>80</v>
      </c>
      <c r="I455" s="32">
        <v>11.5203372995479</v>
      </c>
      <c r="J455" s="32">
        <v>22.8833608887481</v>
      </c>
      <c r="K455" s="33">
        <v>448.461</v>
      </c>
    </row>
    <row r="456" spans="2:11">
      <c r="B456" s="1" t="s">
        <v>333</v>
      </c>
      <c r="C456" s="31">
        <v>484045.5253</v>
      </c>
      <c r="D456" s="31">
        <v>3376485.3638</v>
      </c>
      <c r="E456" s="1">
        <v>57899.7162919468</v>
      </c>
      <c r="F456" s="1">
        <v>57899.7162919468</v>
      </c>
      <c r="G456" s="32">
        <v>0</v>
      </c>
      <c r="H456" s="32">
        <v>0</v>
      </c>
      <c r="I456" s="32">
        <v>0</v>
      </c>
      <c r="J456" s="32">
        <v>0</v>
      </c>
      <c r="K456" s="33">
        <v>448.864</v>
      </c>
    </row>
    <row r="457" spans="2:11">
      <c r="B457" s="1" t="s">
        <v>334</v>
      </c>
      <c r="C457" s="31">
        <v>484201.3867</v>
      </c>
      <c r="D457" s="31">
        <v>3376274.8242</v>
      </c>
      <c r="E457" s="1">
        <v>58161.6699122272</v>
      </c>
      <c r="F457" s="1">
        <v>58161.6699122272</v>
      </c>
      <c r="G457" s="32">
        <v>0</v>
      </c>
      <c r="H457" s="32">
        <v>0</v>
      </c>
      <c r="I457" s="32">
        <v>0</v>
      </c>
      <c r="J457" s="32">
        <v>0</v>
      </c>
      <c r="K457" s="33">
        <v>448.777</v>
      </c>
    </row>
    <row r="458" spans="2:11">
      <c r="B458" s="1" t="s">
        <v>335</v>
      </c>
      <c r="C458" s="31">
        <v>484221.3032</v>
      </c>
      <c r="D458" s="31">
        <v>3376247.9207</v>
      </c>
      <c r="E458" s="1">
        <v>58182.0879193472</v>
      </c>
      <c r="F458" s="1">
        <v>58207.9704540226</v>
      </c>
      <c r="G458" s="32">
        <v>18.537</v>
      </c>
      <c r="H458" s="32">
        <v>80</v>
      </c>
      <c r="I458" s="32">
        <v>13.0553447364276</v>
      </c>
      <c r="J458" s="32">
        <v>25.8825346753751</v>
      </c>
      <c r="K458" s="33">
        <v>448.314</v>
      </c>
    </row>
    <row r="459" spans="2:11">
      <c r="B459" s="1" t="s">
        <v>336</v>
      </c>
      <c r="C459" s="31">
        <v>484292.5703</v>
      </c>
      <c r="D459" s="31">
        <v>3376198.111</v>
      </c>
      <c r="E459" s="1">
        <v>58267.8687926785</v>
      </c>
      <c r="F459" s="1">
        <v>58295.5776398832</v>
      </c>
      <c r="G459" s="32">
        <v>19.845</v>
      </c>
      <c r="H459" s="32">
        <v>80</v>
      </c>
      <c r="I459" s="32">
        <v>13.9946101878067</v>
      </c>
      <c r="J459" s="32">
        <v>27.708847204662</v>
      </c>
      <c r="K459" s="33">
        <v>448.297</v>
      </c>
    </row>
    <row r="460" spans="2:11">
      <c r="B460" s="1" t="s">
        <v>337</v>
      </c>
      <c r="C460" s="31">
        <v>484413.323</v>
      </c>
      <c r="D460" s="31">
        <v>3376165.5182</v>
      </c>
      <c r="E460" s="1">
        <v>58406.6570284686</v>
      </c>
      <c r="F460" s="1">
        <v>58406.6570284686</v>
      </c>
      <c r="G460" s="32">
        <v>0</v>
      </c>
      <c r="H460" s="32">
        <v>0</v>
      </c>
      <c r="I460" s="32">
        <v>0</v>
      </c>
      <c r="J460" s="32">
        <v>0</v>
      </c>
      <c r="K460" s="33">
        <v>448.291</v>
      </c>
    </row>
    <row r="461" spans="2:11">
      <c r="C461" s="31"/>
      <c r="D461" s="31"/>
      <c r="G461" s="32"/>
      <c r="H461" s="32"/>
      <c r="I461" s="32"/>
      <c r="J461" s="32"/>
      <c r="K461" s="33"/>
    </row>
    <row r="462" spans="2:11">
      <c r="B462" s="1" t="s">
        <v>1</v>
      </c>
      <c r="C462" s="1" t="s">
        <v>872</v>
      </c>
      <c r="E462" s="1" t="s">
        <v>806</v>
      </c>
      <c r="G462" s="1" t="s">
        <v>873</v>
      </c>
      <c r="K462" s="1" t="s">
        <v>874</v>
      </c>
    </row>
    <row r="463" spans="2:11">
      <c r="C463" s="1" t="s">
        <v>875</v>
      </c>
      <c r="D463" s="1" t="s">
        <v>876</v>
      </c>
      <c r="E463" s="1" t="s">
        <v>877</v>
      </c>
      <c r="F463" s="1" t="s">
        <v>878</v>
      </c>
      <c r="G463" s="1" t="s">
        <v>879</v>
      </c>
      <c r="H463" s="1" t="s">
        <v>880</v>
      </c>
      <c r="I463" s="1" t="s">
        <v>881</v>
      </c>
      <c r="J463" s="1" t="s">
        <v>882</v>
      </c>
    </row>
    <row r="464" spans="2:11">
      <c r="B464" s="1" t="s">
        <v>338</v>
      </c>
      <c r="C464" s="31">
        <v>484826.9602</v>
      </c>
      <c r="D464" s="31">
        <v>3376053.872</v>
      </c>
      <c r="E464" s="1">
        <v>58835.0967642521</v>
      </c>
      <c r="F464" s="1">
        <v>58835.0967642521</v>
      </c>
      <c r="G464" s="32">
        <v>0</v>
      </c>
      <c r="H464" s="32">
        <v>0</v>
      </c>
      <c r="I464" s="32">
        <v>0</v>
      </c>
      <c r="J464" s="32">
        <v>0</v>
      </c>
      <c r="K464" s="33">
        <v>448.213</v>
      </c>
    </row>
    <row r="465" spans="2:11">
      <c r="B465" s="1" t="s">
        <v>339</v>
      </c>
      <c r="C465" s="31">
        <v>484858.2439</v>
      </c>
      <c r="D465" s="31">
        <v>3376045.428</v>
      </c>
      <c r="E465" s="1">
        <v>58867.5000205961</v>
      </c>
      <c r="F465" s="1">
        <v>58867.5000205961</v>
      </c>
      <c r="G465" s="32">
        <v>0</v>
      </c>
      <c r="H465" s="32">
        <v>0</v>
      </c>
      <c r="I465" s="32">
        <v>0</v>
      </c>
      <c r="J465" s="32">
        <v>0</v>
      </c>
      <c r="K465" s="33">
        <v>448.615</v>
      </c>
    </row>
    <row r="466" spans="2:11">
      <c r="B466" s="1" t="s">
        <v>340</v>
      </c>
      <c r="C466" s="31">
        <v>485044.0958</v>
      </c>
      <c r="D466" s="31">
        <v>3375995.2641</v>
      </c>
      <c r="E466" s="1">
        <v>59060.0028662811</v>
      </c>
      <c r="F466" s="1">
        <v>59060.0028662811</v>
      </c>
      <c r="G466" s="32">
        <v>0</v>
      </c>
      <c r="H466" s="32">
        <v>0</v>
      </c>
      <c r="I466" s="32">
        <v>0</v>
      </c>
      <c r="J466" s="32">
        <v>0</v>
      </c>
      <c r="K466" s="33">
        <v>448.551</v>
      </c>
    </row>
    <row r="467" spans="2:11">
      <c r="B467" s="1" t="s">
        <v>341</v>
      </c>
      <c r="C467" s="31">
        <v>485084.5267</v>
      </c>
      <c r="D467" s="31">
        <v>3375984.3513</v>
      </c>
      <c r="E467" s="1">
        <v>59101.8806274276</v>
      </c>
      <c r="F467" s="1">
        <v>59101.8806274276</v>
      </c>
      <c r="G467" s="32">
        <v>0</v>
      </c>
      <c r="H467" s="32">
        <v>0</v>
      </c>
      <c r="I467" s="32">
        <v>0</v>
      </c>
      <c r="J467" s="32">
        <v>0</v>
      </c>
      <c r="K467" s="33">
        <v>448.104</v>
      </c>
    </row>
    <row r="468" spans="2:11">
      <c r="B468" s="1" t="s">
        <v>342</v>
      </c>
      <c r="C468" s="31">
        <v>485175.4918</v>
      </c>
      <c r="D468" s="31">
        <v>3375959.7985</v>
      </c>
      <c r="E468" s="1">
        <v>59182.3114145862</v>
      </c>
      <c r="F468" s="1">
        <v>59209.6223267214</v>
      </c>
      <c r="G468" s="32">
        <v>19.56</v>
      </c>
      <c r="H468" s="32">
        <v>80</v>
      </c>
      <c r="I468" s="32">
        <v>13.7896427165477</v>
      </c>
      <c r="J468" s="32">
        <v>27.3109121352073</v>
      </c>
      <c r="K468" s="33">
        <v>448.087</v>
      </c>
    </row>
    <row r="469" spans="2:11">
      <c r="B469" s="1" t="s">
        <v>343</v>
      </c>
      <c r="C469" s="31">
        <v>485597.1978</v>
      </c>
      <c r="D469" s="31">
        <v>3375668.175</v>
      </c>
      <c r="E469" s="1">
        <v>59708.5511410438</v>
      </c>
      <c r="F469" s="1">
        <v>59708.5511410438</v>
      </c>
      <c r="G469" s="32">
        <v>0</v>
      </c>
      <c r="H469" s="32">
        <v>0</v>
      </c>
      <c r="I469" s="32">
        <v>0</v>
      </c>
      <c r="J469" s="32">
        <v>0</v>
      </c>
      <c r="K469" s="33">
        <v>447.993</v>
      </c>
    </row>
    <row r="470" spans="2:11">
      <c r="B470" s="1" t="s">
        <v>344</v>
      </c>
      <c r="C470" s="31">
        <v>485609.0388</v>
      </c>
      <c r="D470" s="31">
        <v>3375659.9866</v>
      </c>
      <c r="E470" s="1">
        <v>59722.9476397694</v>
      </c>
      <c r="F470" s="1">
        <v>59722.9476397694</v>
      </c>
      <c r="G470" s="32">
        <v>0</v>
      </c>
      <c r="H470" s="32">
        <v>0</v>
      </c>
      <c r="I470" s="32">
        <v>0</v>
      </c>
      <c r="J470" s="32">
        <v>0</v>
      </c>
      <c r="K470" s="33">
        <v>448.399</v>
      </c>
    </row>
    <row r="471" spans="2:11">
      <c r="B471" s="1" t="s">
        <v>345</v>
      </c>
      <c r="C471" s="31">
        <v>485831.463</v>
      </c>
      <c r="D471" s="31">
        <v>3375506.1729</v>
      </c>
      <c r="E471" s="1">
        <v>59993.3754102614</v>
      </c>
      <c r="F471" s="1">
        <v>59993.3754102614</v>
      </c>
      <c r="G471" s="32">
        <v>0</v>
      </c>
      <c r="H471" s="32">
        <v>0</v>
      </c>
      <c r="I471" s="32">
        <v>0</v>
      </c>
      <c r="J471" s="32">
        <v>0</v>
      </c>
      <c r="K471" s="33">
        <v>448.308</v>
      </c>
    </row>
    <row r="472" spans="2:11">
      <c r="B472" s="1" t="s">
        <v>346</v>
      </c>
      <c r="C472" s="31">
        <v>485851.7555</v>
      </c>
      <c r="D472" s="31">
        <v>3375492.1399</v>
      </c>
      <c r="E472" s="1">
        <v>60018.0474723005</v>
      </c>
      <c r="F472" s="1">
        <v>60018.0474723005</v>
      </c>
      <c r="G472" s="32">
        <v>0</v>
      </c>
      <c r="H472" s="32">
        <v>0</v>
      </c>
      <c r="I472" s="32">
        <v>0</v>
      </c>
      <c r="J472" s="32">
        <v>0</v>
      </c>
      <c r="K472" s="33">
        <v>447.865</v>
      </c>
    </row>
    <row r="473" spans="2:11">
      <c r="C473" s="31"/>
      <c r="D473" s="31"/>
      <c r="G473" s="32"/>
      <c r="H473" s="32"/>
      <c r="I473" s="32"/>
      <c r="J473" s="32"/>
      <c r="K473" s="33"/>
    </row>
    <row r="474" spans="2:11">
      <c r="B474" s="1" t="s">
        <v>1</v>
      </c>
      <c r="C474" s="1" t="s">
        <v>872</v>
      </c>
      <c r="E474" s="1" t="s">
        <v>806</v>
      </c>
      <c r="G474" s="1" t="s">
        <v>873</v>
      </c>
      <c r="K474" s="1" t="s">
        <v>874</v>
      </c>
    </row>
    <row r="475" spans="2:11">
      <c r="C475" s="1" t="s">
        <v>875</v>
      </c>
      <c r="D475" s="1" t="s">
        <v>876</v>
      </c>
      <c r="E475" s="1" t="s">
        <v>877</v>
      </c>
      <c r="F475" s="1" t="s">
        <v>878</v>
      </c>
      <c r="G475" s="1" t="s">
        <v>879</v>
      </c>
      <c r="H475" s="1" t="s">
        <v>880</v>
      </c>
      <c r="I475" s="1" t="s">
        <v>881</v>
      </c>
      <c r="J475" s="1" t="s">
        <v>882</v>
      </c>
    </row>
    <row r="476" spans="2:11">
      <c r="B476" s="1" t="s">
        <v>347</v>
      </c>
      <c r="C476" s="31">
        <v>486294.2462</v>
      </c>
      <c r="D476" s="31">
        <v>3375186.1431</v>
      </c>
      <c r="E476" s="1">
        <v>60556.0363766439</v>
      </c>
      <c r="F476" s="1">
        <v>60556.0363766439</v>
      </c>
      <c r="G476" s="32">
        <v>0</v>
      </c>
      <c r="H476" s="32">
        <v>0</v>
      </c>
      <c r="I476" s="32">
        <v>0</v>
      </c>
      <c r="J476" s="32">
        <v>0</v>
      </c>
      <c r="K476" s="33">
        <v>447.767</v>
      </c>
    </row>
    <row r="477" spans="2:11">
      <c r="B477" s="1" t="s">
        <v>348</v>
      </c>
      <c r="C477" s="31">
        <v>486370.1106</v>
      </c>
      <c r="D477" s="31">
        <v>3375133.6804</v>
      </c>
      <c r="E477" s="1">
        <v>60638.0054160916</v>
      </c>
      <c r="F477" s="1">
        <v>60658.3451341285</v>
      </c>
      <c r="G477" s="32">
        <v>19.423</v>
      </c>
      <c r="H477" s="32">
        <v>60</v>
      </c>
      <c r="I477" s="32">
        <v>10.2683828853996</v>
      </c>
      <c r="J477" s="32">
        <v>20.3397180368915</v>
      </c>
      <c r="K477" s="33">
        <v>447.732</v>
      </c>
    </row>
    <row r="478" spans="2:11">
      <c r="B478" s="1" t="s">
        <v>349</v>
      </c>
      <c r="C478" s="31">
        <v>486379.5286</v>
      </c>
      <c r="D478" s="31">
        <v>3375120.6754</v>
      </c>
      <c r="E478" s="1">
        <v>60664.1337979516</v>
      </c>
      <c r="F478" s="1">
        <v>60664.1337979516</v>
      </c>
      <c r="G478" s="32">
        <v>0</v>
      </c>
      <c r="H478" s="32">
        <v>0</v>
      </c>
      <c r="I478" s="32">
        <v>0</v>
      </c>
      <c r="J478" s="32">
        <v>0</v>
      </c>
      <c r="K478" s="33">
        <v>448.155</v>
      </c>
    </row>
    <row r="479" spans="2:11">
      <c r="B479" s="1" t="s">
        <v>350</v>
      </c>
      <c r="C479" s="31">
        <v>486518.6895</v>
      </c>
      <c r="D479" s="31">
        <v>3374928.5143</v>
      </c>
      <c r="E479" s="1">
        <v>60901.3924004132</v>
      </c>
      <c r="F479" s="1">
        <v>60901.3924004132</v>
      </c>
      <c r="G479" s="32">
        <v>0</v>
      </c>
      <c r="H479" s="32">
        <v>0</v>
      </c>
      <c r="I479" s="32">
        <v>0</v>
      </c>
      <c r="J479" s="32">
        <v>0</v>
      </c>
      <c r="K479" s="33">
        <v>448.075</v>
      </c>
    </row>
    <row r="480" spans="2:11">
      <c r="B480" s="1" t="s">
        <v>351</v>
      </c>
      <c r="C480" s="31">
        <v>486546.5268</v>
      </c>
      <c r="D480" s="31">
        <v>3374890.075</v>
      </c>
      <c r="E480" s="1">
        <v>60948.8528582256</v>
      </c>
      <c r="F480" s="1">
        <v>60948.8528582256</v>
      </c>
      <c r="G480" s="32">
        <v>0</v>
      </c>
      <c r="H480" s="32">
        <v>0</v>
      </c>
      <c r="I480" s="32">
        <v>0</v>
      </c>
      <c r="J480" s="32">
        <v>0</v>
      </c>
      <c r="K480" s="33">
        <v>447.628</v>
      </c>
    </row>
    <row r="481" spans="2:11">
      <c r="B481" s="1" t="s">
        <v>352</v>
      </c>
      <c r="C481" s="31">
        <v>486798.5133</v>
      </c>
      <c r="D481" s="31">
        <v>3374542.1181</v>
      </c>
      <c r="E481" s="1">
        <v>61378.4703630365</v>
      </c>
      <c r="F481" s="1">
        <v>61378.4703630365</v>
      </c>
      <c r="G481" s="32">
        <v>0</v>
      </c>
      <c r="H481" s="32">
        <v>0</v>
      </c>
      <c r="I481" s="32">
        <v>0</v>
      </c>
      <c r="J481" s="32">
        <v>0</v>
      </c>
      <c r="K481" s="33">
        <v>447.55</v>
      </c>
    </row>
    <row r="482" spans="2:11">
      <c r="B482" s="1" t="s">
        <v>353</v>
      </c>
      <c r="C482" s="31">
        <v>486817.3678</v>
      </c>
      <c r="D482" s="31">
        <v>3374516.0826</v>
      </c>
      <c r="E482" s="1">
        <v>61410.6159604102</v>
      </c>
      <c r="F482" s="1">
        <v>61410.6159604102</v>
      </c>
      <c r="G482" s="32">
        <v>0</v>
      </c>
      <c r="H482" s="32">
        <v>0</v>
      </c>
      <c r="I482" s="32">
        <v>0</v>
      </c>
      <c r="J482" s="32">
        <v>0</v>
      </c>
      <c r="K482" s="33">
        <v>447.952</v>
      </c>
    </row>
    <row r="483" spans="2:11">
      <c r="B483" s="1" t="s">
        <v>354</v>
      </c>
      <c r="C483" s="31">
        <v>486894.194</v>
      </c>
      <c r="D483" s="31">
        <v>3374409.9967</v>
      </c>
      <c r="E483" s="1">
        <v>61541.5987195246</v>
      </c>
      <c r="F483" s="1">
        <v>61541.5987195246</v>
      </c>
      <c r="G483" s="32">
        <v>0</v>
      </c>
      <c r="H483" s="32">
        <v>0</v>
      </c>
      <c r="I483" s="32">
        <v>0</v>
      </c>
      <c r="J483" s="32">
        <v>0</v>
      </c>
      <c r="K483" s="33">
        <v>447.908</v>
      </c>
    </row>
    <row r="484" spans="2:11">
      <c r="B484" s="1" t="s">
        <v>355</v>
      </c>
      <c r="C484" s="31">
        <v>486899.633</v>
      </c>
      <c r="D484" s="31">
        <v>3374402.4863</v>
      </c>
      <c r="E484" s="1">
        <v>61550.8717357092</v>
      </c>
      <c r="F484" s="1">
        <v>61550.8717357092</v>
      </c>
      <c r="G484" s="32">
        <v>0</v>
      </c>
      <c r="H484" s="32">
        <v>0</v>
      </c>
      <c r="I484" s="32">
        <v>0</v>
      </c>
      <c r="J484" s="32">
        <v>0</v>
      </c>
      <c r="K484" s="33">
        <v>447.468</v>
      </c>
    </row>
    <row r="485" spans="2:11">
      <c r="B485" s="1" t="s">
        <v>356</v>
      </c>
      <c r="C485" s="31">
        <v>486954.1913</v>
      </c>
      <c r="D485" s="31">
        <v>3374327.1492</v>
      </c>
      <c r="E485" s="1">
        <v>61629.7947633099</v>
      </c>
      <c r="F485" s="1">
        <v>61657.6976911274</v>
      </c>
      <c r="G485" s="32">
        <v>19.984</v>
      </c>
      <c r="H485" s="32">
        <v>80</v>
      </c>
      <c r="I485" s="32">
        <v>14.0946413408563</v>
      </c>
      <c r="J485" s="32">
        <v>27.9029278174838</v>
      </c>
      <c r="K485" s="33">
        <v>447.45</v>
      </c>
    </row>
    <row r="486" spans="2:11">
      <c r="C486" s="31"/>
      <c r="D486" s="31"/>
      <c r="G486" s="32"/>
      <c r="H486" s="32"/>
      <c r="I486" s="32"/>
      <c r="J486" s="32"/>
      <c r="K486" s="33"/>
    </row>
    <row r="487" spans="2:11">
      <c r="B487" s="1" t="s">
        <v>1</v>
      </c>
      <c r="C487" s="1" t="s">
        <v>872</v>
      </c>
      <c r="E487" s="1" t="s">
        <v>806</v>
      </c>
      <c r="G487" s="1" t="s">
        <v>873</v>
      </c>
      <c r="K487" s="1" t="s">
        <v>874</v>
      </c>
    </row>
    <row r="488" spans="2:11">
      <c r="C488" s="1" t="s">
        <v>875</v>
      </c>
      <c r="D488" s="1" t="s">
        <v>876</v>
      </c>
      <c r="E488" s="1" t="s">
        <v>877</v>
      </c>
      <c r="F488" s="1" t="s">
        <v>878</v>
      </c>
      <c r="G488" s="1" t="s">
        <v>879</v>
      </c>
      <c r="H488" s="1" t="s">
        <v>880</v>
      </c>
      <c r="I488" s="1" t="s">
        <v>881</v>
      </c>
      <c r="J488" s="1" t="s">
        <v>882</v>
      </c>
    </row>
    <row r="489" spans="2:11">
      <c r="B489" s="1" t="s">
        <v>357</v>
      </c>
      <c r="C489" s="31">
        <v>487249.563</v>
      </c>
      <c r="D489" s="31">
        <v>3374127.1353</v>
      </c>
      <c r="E489" s="1">
        <v>62000.3242313191</v>
      </c>
      <c r="F489" s="1">
        <v>62000.3242313191</v>
      </c>
      <c r="G489" s="32">
        <v>0</v>
      </c>
      <c r="H489" s="32">
        <v>0</v>
      </c>
      <c r="I489" s="32">
        <v>0</v>
      </c>
      <c r="J489" s="32">
        <v>0</v>
      </c>
      <c r="K489" s="33">
        <v>447.385</v>
      </c>
    </row>
    <row r="490" spans="2:11">
      <c r="B490" s="1" t="s">
        <v>358</v>
      </c>
      <c r="C490" s="31">
        <v>487385.0811</v>
      </c>
      <c r="D490" s="31">
        <v>3374035.3684</v>
      </c>
      <c r="E490" s="1">
        <v>62163.989497528</v>
      </c>
      <c r="F490" s="1">
        <v>62163.989497528</v>
      </c>
      <c r="G490" s="32">
        <v>0</v>
      </c>
      <c r="H490" s="32">
        <v>0</v>
      </c>
      <c r="I490" s="32">
        <v>0</v>
      </c>
      <c r="J490" s="32">
        <v>0</v>
      </c>
      <c r="K490" s="33">
        <v>447.354</v>
      </c>
    </row>
    <row r="491" spans="2:11">
      <c r="B491" s="1" t="s">
        <v>359</v>
      </c>
      <c r="C491" s="31">
        <v>487456.146</v>
      </c>
      <c r="D491" s="31">
        <v>3373987.2464</v>
      </c>
      <c r="E491" s="1">
        <v>62208.7963252731</v>
      </c>
      <c r="F491" s="1">
        <v>62284.6008616091</v>
      </c>
      <c r="G491" s="32">
        <v>54.291</v>
      </c>
      <c r="H491" s="32">
        <v>80</v>
      </c>
      <c r="I491" s="32">
        <v>41.0182670466775</v>
      </c>
      <c r="J491" s="32">
        <v>75.8045363360193</v>
      </c>
      <c r="K491" s="33">
        <v>447.338</v>
      </c>
    </row>
    <row r="492" spans="2:11">
      <c r="C492" s="31"/>
      <c r="D492" s="31"/>
      <c r="G492" s="32"/>
      <c r="H492" s="32"/>
      <c r="I492" s="32"/>
      <c r="J492" s="32"/>
      <c r="K492" s="33"/>
    </row>
    <row r="493" spans="2:11">
      <c r="B493" s="1" t="s">
        <v>1</v>
      </c>
      <c r="C493" s="1" t="s">
        <v>872</v>
      </c>
      <c r="E493" s="1" t="s">
        <v>806</v>
      </c>
      <c r="G493" s="1" t="s">
        <v>873</v>
      </c>
      <c r="K493" s="1" t="s">
        <v>874</v>
      </c>
    </row>
    <row r="494" spans="2:11">
      <c r="C494" s="1" t="s">
        <v>875</v>
      </c>
      <c r="D494" s="1" t="s">
        <v>876</v>
      </c>
      <c r="E494" s="1" t="s">
        <v>877</v>
      </c>
      <c r="F494" s="1" t="s">
        <v>878</v>
      </c>
      <c r="G494" s="1" t="s">
        <v>879</v>
      </c>
      <c r="H494" s="1" t="s">
        <v>880</v>
      </c>
      <c r="I494" s="1" t="s">
        <v>881</v>
      </c>
      <c r="J494" s="1" t="s">
        <v>882</v>
      </c>
    </row>
    <row r="495" spans="2:11">
      <c r="B495" s="1" t="s">
        <v>360</v>
      </c>
      <c r="C495" s="31">
        <v>487507.2179</v>
      </c>
      <c r="D495" s="31">
        <v>3372163.87</v>
      </c>
      <c r="E495" s="1">
        <v>64173.782064128</v>
      </c>
      <c r="F495" s="1">
        <v>64173.782064128</v>
      </c>
      <c r="G495" s="32">
        <v>0</v>
      </c>
      <c r="H495" s="32">
        <v>0</v>
      </c>
      <c r="I495" s="32">
        <v>0</v>
      </c>
      <c r="J495" s="32">
        <v>0</v>
      </c>
      <c r="K495" s="33">
        <v>447.006</v>
      </c>
    </row>
    <row r="496" spans="2:11">
      <c r="B496" s="1" t="s">
        <v>361</v>
      </c>
      <c r="C496" s="31">
        <v>487507.673</v>
      </c>
      <c r="D496" s="31">
        <v>3372147.6244</v>
      </c>
      <c r="E496" s="1">
        <v>64183.3612430916</v>
      </c>
      <c r="F496" s="1">
        <v>64196.6760108892</v>
      </c>
      <c r="G496" s="32">
        <v>9.536</v>
      </c>
      <c r="H496" s="32">
        <v>80</v>
      </c>
      <c r="I496" s="32">
        <v>6.67279431261217</v>
      </c>
      <c r="J496" s="32">
        <v>13.3147677976143</v>
      </c>
      <c r="K496" s="33">
        <v>446.985</v>
      </c>
    </row>
    <row r="497" spans="2:11">
      <c r="B497" s="1" t="s">
        <v>894</v>
      </c>
      <c r="C497" s="31">
        <v>487531.7772</v>
      </c>
      <c r="D497" s="31">
        <v>3372025.2203</v>
      </c>
      <c r="E497" s="1">
        <v>64314.7580808282</v>
      </c>
      <c r="F497" s="1">
        <v>64314.7580808282</v>
      </c>
      <c r="G497" s="32">
        <v>0</v>
      </c>
      <c r="H497" s="32">
        <v>0</v>
      </c>
      <c r="I497" s="32">
        <v>0</v>
      </c>
      <c r="J497" s="32">
        <v>0</v>
      </c>
      <c r="K497" s="33">
        <v>446.96</v>
      </c>
    </row>
    <row r="498" spans="2:11">
      <c r="B498" s="1" t="s">
        <v>364</v>
      </c>
      <c r="C498" s="31">
        <v>487542.7985</v>
      </c>
      <c r="D498" s="31">
        <v>3371969.2531</v>
      </c>
      <c r="E498" s="1">
        <v>64371.8001401315</v>
      </c>
      <c r="F498" s="1">
        <v>64371.8001401315</v>
      </c>
      <c r="G498" s="32">
        <v>0</v>
      </c>
      <c r="H498" s="32">
        <v>0</v>
      </c>
      <c r="I498" s="32">
        <v>0</v>
      </c>
      <c r="J498" s="32">
        <v>0</v>
      </c>
      <c r="K498" s="33">
        <v>447.276</v>
      </c>
    </row>
    <row r="499" spans="2:11">
      <c r="B499" s="1" t="s">
        <v>365</v>
      </c>
      <c r="C499" s="31">
        <v>487577.3944</v>
      </c>
      <c r="D499" s="31">
        <v>3371793.571</v>
      </c>
      <c r="E499" s="1">
        <v>64545.6737294522</v>
      </c>
      <c r="F499" s="1">
        <v>64556.0242300482</v>
      </c>
      <c r="G499" s="32">
        <v>7.413</v>
      </c>
      <c r="H499" s="32">
        <v>80</v>
      </c>
      <c r="I499" s="32">
        <v>5.18248166595819</v>
      </c>
      <c r="J499" s="32">
        <v>10.3505005960272</v>
      </c>
      <c r="K499" s="33">
        <v>447.243</v>
      </c>
    </row>
    <row r="500" spans="2:11">
      <c r="B500" s="1" t="s">
        <v>366</v>
      </c>
      <c r="C500" s="31">
        <v>487588.9887</v>
      </c>
      <c r="D500" s="31">
        <v>3371615.6063</v>
      </c>
      <c r="E500" s="1">
        <v>64729.1837295267</v>
      </c>
      <c r="F500" s="1">
        <v>64729.1837295267</v>
      </c>
      <c r="G500" s="32">
        <v>0</v>
      </c>
      <c r="H500" s="32">
        <v>0</v>
      </c>
      <c r="I500" s="32">
        <v>0</v>
      </c>
      <c r="J500" s="32">
        <v>0</v>
      </c>
      <c r="K500" s="33">
        <v>447.211</v>
      </c>
    </row>
    <row r="501" spans="2:11">
      <c r="B501" s="1" t="s">
        <v>367</v>
      </c>
      <c r="C501" s="31">
        <v>487595.7847</v>
      </c>
      <c r="D501" s="31">
        <v>3371511.2906</v>
      </c>
      <c r="E501" s="1">
        <v>64833.7205693609</v>
      </c>
      <c r="F501" s="1">
        <v>64833.7205693609</v>
      </c>
      <c r="G501" s="32">
        <v>0</v>
      </c>
      <c r="H501" s="32">
        <v>0</v>
      </c>
      <c r="I501" s="32">
        <v>0</v>
      </c>
      <c r="J501" s="32">
        <v>0</v>
      </c>
      <c r="K501" s="33">
        <v>447.191</v>
      </c>
    </row>
    <row r="502" spans="2:11">
      <c r="B502" s="1" t="s">
        <v>368</v>
      </c>
      <c r="C502" s="31">
        <v>487613.2134</v>
      </c>
      <c r="D502" s="31">
        <v>3371243.7706</v>
      </c>
      <c r="E502" s="1">
        <v>65097.9468316282</v>
      </c>
      <c r="F502" s="1">
        <v>65105.6625831854</v>
      </c>
      <c r="G502" s="32">
        <v>5.526</v>
      </c>
      <c r="H502" s="32">
        <v>80</v>
      </c>
      <c r="I502" s="32">
        <v>3.86086906080873</v>
      </c>
      <c r="J502" s="32">
        <v>7.71575155721653</v>
      </c>
      <c r="K502" s="33">
        <v>447.142</v>
      </c>
    </row>
    <row r="503" spans="2:11">
      <c r="C503" s="31"/>
      <c r="D503" s="31"/>
      <c r="G503" s="32"/>
      <c r="H503" s="32"/>
      <c r="I503" s="32"/>
      <c r="J503" s="32"/>
      <c r="K503" s="33"/>
    </row>
    <row r="504" spans="2:11">
      <c r="C504" s="31"/>
      <c r="D504" s="31"/>
      <c r="G504" s="32"/>
      <c r="H504" s="32"/>
      <c r="I504" s="32"/>
      <c r="J504" s="32"/>
      <c r="K504" s="33"/>
    </row>
    <row r="505" spans="2:11">
      <c r="C505" s="31"/>
      <c r="D505" s="31"/>
      <c r="G505" s="32"/>
      <c r="H505" s="32"/>
      <c r="I505" s="32"/>
      <c r="J505" s="32"/>
      <c r="K505" s="33"/>
    </row>
    <row r="506" spans="2:11">
      <c r="C506" s="31"/>
      <c r="D506" s="31"/>
      <c r="G506" s="32"/>
      <c r="H506" s="32"/>
      <c r="I506" s="32"/>
      <c r="J506" s="32"/>
      <c r="K506" s="33"/>
    </row>
    <row r="507" spans="2:11">
      <c r="C507" s="31"/>
      <c r="D507" s="31"/>
      <c r="G507" s="32"/>
      <c r="H507" s="32"/>
      <c r="I507" s="32"/>
      <c r="J507" s="32"/>
      <c r="K507" s="33"/>
    </row>
    <row r="508" spans="2:11">
      <c r="C508" s="31"/>
      <c r="D508" s="31"/>
      <c r="G508" s="32"/>
      <c r="H508" s="32"/>
      <c r="I508" s="32"/>
      <c r="J508" s="32"/>
      <c r="K508" s="33"/>
    </row>
    <row r="509" spans="2:11">
      <c r="C509" s="31"/>
      <c r="D509" s="31"/>
      <c r="G509" s="32"/>
      <c r="H509" s="32"/>
      <c r="I509" s="32"/>
      <c r="J509" s="32"/>
      <c r="K509" s="33"/>
    </row>
    <row r="510" spans="2:11">
      <c r="C510" s="31"/>
      <c r="D510" s="31"/>
      <c r="G510" s="32"/>
      <c r="H510" s="32"/>
      <c r="I510" s="32"/>
      <c r="J510" s="32"/>
      <c r="K510" s="33"/>
    </row>
    <row r="511" spans="2:11">
      <c r="C511" s="31"/>
      <c r="D511" s="31"/>
      <c r="G511" s="32"/>
      <c r="H511" s="32"/>
      <c r="I511" s="32"/>
      <c r="J511" s="32"/>
      <c r="K511" s="33"/>
    </row>
    <row r="512" spans="2:11">
      <c r="C512" s="31"/>
      <c r="D512" s="31"/>
      <c r="G512" s="32"/>
      <c r="H512" s="32"/>
      <c r="I512" s="32"/>
      <c r="J512" s="32"/>
      <c r="K512" s="33"/>
    </row>
    <row r="513" spans="3:11">
      <c r="C513" s="31"/>
      <c r="D513" s="31"/>
      <c r="G513" s="32"/>
      <c r="H513" s="32"/>
      <c r="I513" s="32"/>
      <c r="J513" s="32"/>
      <c r="K513" s="33"/>
    </row>
    <row r="514" spans="3:11">
      <c r="C514" s="31"/>
      <c r="D514" s="31"/>
      <c r="G514" s="32"/>
      <c r="H514" s="32"/>
      <c r="I514" s="32"/>
      <c r="J514" s="32"/>
      <c r="K514" s="33"/>
    </row>
    <row r="515" spans="3:11">
      <c r="C515" s="31"/>
      <c r="D515" s="31"/>
      <c r="G515" s="32"/>
      <c r="H515" s="32"/>
      <c r="I515" s="32"/>
      <c r="J515" s="32"/>
      <c r="K515" s="33"/>
    </row>
    <row r="516" spans="3:11">
      <c r="C516" s="31"/>
      <c r="D516" s="31"/>
      <c r="G516" s="32"/>
      <c r="H516" s="32"/>
      <c r="I516" s="32"/>
      <c r="J516" s="32"/>
      <c r="K516" s="33"/>
    </row>
    <row r="517" spans="3:11">
      <c r="C517" s="31"/>
      <c r="D517" s="31"/>
      <c r="G517" s="32"/>
      <c r="H517" s="32"/>
      <c r="I517" s="32"/>
      <c r="J517" s="32"/>
      <c r="K517" s="33"/>
    </row>
    <row r="518" spans="3:11">
      <c r="C518" s="31"/>
      <c r="D518" s="31"/>
      <c r="G518" s="32"/>
      <c r="H518" s="32"/>
      <c r="I518" s="32"/>
      <c r="J518" s="32"/>
      <c r="K518" s="33"/>
    </row>
    <row r="519" spans="3:11">
      <c r="C519" s="31"/>
      <c r="D519" s="31"/>
      <c r="G519" s="32"/>
      <c r="H519" s="32"/>
      <c r="I519" s="32"/>
      <c r="J519" s="32"/>
      <c r="K519" s="33"/>
    </row>
    <row r="520" spans="3:11">
      <c r="C520" s="31"/>
      <c r="D520" s="31"/>
      <c r="G520" s="32"/>
      <c r="H520" s="32"/>
      <c r="I520" s="32"/>
      <c r="J520" s="32"/>
      <c r="K520" s="33"/>
    </row>
    <row r="521" spans="3:11">
      <c r="C521" s="31"/>
      <c r="D521" s="31"/>
      <c r="G521" s="32"/>
      <c r="H521" s="32"/>
      <c r="I521" s="32"/>
      <c r="J521" s="32"/>
      <c r="K521" s="33"/>
    </row>
    <row r="522" spans="3:11">
      <c r="C522" s="31"/>
      <c r="D522" s="31"/>
      <c r="G522" s="32"/>
      <c r="H522" s="32"/>
      <c r="I522" s="32"/>
      <c r="J522" s="32"/>
      <c r="K522" s="33"/>
    </row>
    <row r="523" spans="3:11">
      <c r="C523" s="31"/>
      <c r="D523" s="31"/>
      <c r="G523" s="32"/>
      <c r="H523" s="32"/>
      <c r="I523" s="32"/>
      <c r="J523" s="32"/>
      <c r="K523" s="33"/>
    </row>
    <row r="524" spans="3:11">
      <c r="C524" s="31"/>
      <c r="D524" s="31"/>
      <c r="G524" s="32"/>
      <c r="H524" s="32"/>
      <c r="I524" s="32"/>
      <c r="J524" s="32"/>
      <c r="K524" s="33"/>
    </row>
    <row r="525" spans="3:11">
      <c r="C525" s="31"/>
      <c r="D525" s="31"/>
      <c r="G525" s="32"/>
      <c r="H525" s="32"/>
      <c r="I525" s="32"/>
      <c r="J525" s="32"/>
      <c r="K525" s="33"/>
    </row>
    <row r="526" spans="3:11">
      <c r="C526" s="31"/>
      <c r="D526" s="31"/>
      <c r="G526" s="32"/>
      <c r="H526" s="32"/>
      <c r="I526" s="32"/>
      <c r="J526" s="32"/>
      <c r="K526" s="33"/>
    </row>
    <row r="527" spans="3:11">
      <c r="C527" s="31"/>
      <c r="D527" s="31"/>
      <c r="G527" s="32"/>
      <c r="H527" s="32"/>
      <c r="I527" s="32"/>
      <c r="J527" s="32"/>
      <c r="K527" s="33"/>
    </row>
    <row r="528" spans="3:11">
      <c r="C528" s="31"/>
      <c r="D528" s="31"/>
      <c r="G528" s="32"/>
      <c r="H528" s="32"/>
      <c r="I528" s="32"/>
      <c r="J528" s="32"/>
      <c r="K528" s="33"/>
    </row>
    <row r="529" spans="3:11">
      <c r="C529" s="31"/>
      <c r="D529" s="31"/>
      <c r="G529" s="32"/>
      <c r="H529" s="32"/>
      <c r="I529" s="32"/>
      <c r="J529" s="32"/>
      <c r="K529" s="33"/>
    </row>
    <row r="530" spans="3:11">
      <c r="C530" s="31"/>
      <c r="D530" s="31"/>
      <c r="G530" s="32"/>
      <c r="H530" s="32"/>
      <c r="I530" s="32"/>
      <c r="J530" s="32"/>
      <c r="K530" s="33"/>
    </row>
    <row r="531" spans="3:11">
      <c r="C531" s="31"/>
      <c r="D531" s="31"/>
      <c r="G531" s="32"/>
      <c r="H531" s="32"/>
      <c r="I531" s="32"/>
      <c r="J531" s="32"/>
      <c r="K531" s="33"/>
    </row>
    <row r="532" spans="3:11">
      <c r="C532" s="31"/>
      <c r="D532" s="31"/>
      <c r="G532" s="32"/>
      <c r="H532" s="32"/>
      <c r="I532" s="32"/>
      <c r="J532" s="32"/>
      <c r="K532" s="33"/>
    </row>
    <row r="533" spans="3:11">
      <c r="C533" s="31"/>
      <c r="D533" s="31"/>
      <c r="G533" s="32"/>
      <c r="H533" s="32"/>
      <c r="I533" s="32"/>
      <c r="J533" s="32"/>
      <c r="K533" s="33"/>
    </row>
    <row r="534" spans="3:11">
      <c r="C534" s="31"/>
      <c r="D534" s="31"/>
      <c r="G534" s="32"/>
      <c r="H534" s="32"/>
      <c r="I534" s="32"/>
      <c r="J534" s="32"/>
      <c r="K534" s="33"/>
    </row>
    <row r="535" spans="3:11">
      <c r="C535" s="31"/>
      <c r="D535" s="31"/>
      <c r="G535" s="32"/>
      <c r="H535" s="32"/>
      <c r="I535" s="32"/>
      <c r="J535" s="32"/>
      <c r="K535" s="33"/>
    </row>
    <row r="536" spans="3:11">
      <c r="C536" s="31"/>
      <c r="D536" s="31"/>
      <c r="G536" s="32"/>
      <c r="H536" s="32"/>
      <c r="I536" s="32"/>
      <c r="J536" s="32"/>
      <c r="K536" s="33"/>
    </row>
    <row r="537" spans="3:11">
      <c r="C537" s="31"/>
      <c r="D537" s="31"/>
      <c r="G537" s="32"/>
      <c r="H537" s="32"/>
      <c r="I537" s="32"/>
      <c r="J537" s="32"/>
      <c r="K537" s="33"/>
    </row>
    <row r="538" spans="3:11">
      <c r="C538" s="31"/>
      <c r="D538" s="31"/>
      <c r="G538" s="32"/>
      <c r="H538" s="32"/>
      <c r="I538" s="32"/>
      <c r="J538" s="32"/>
      <c r="K538" s="33"/>
    </row>
    <row r="539" spans="3:11">
      <c r="C539" s="31"/>
      <c r="D539" s="31"/>
      <c r="G539" s="32"/>
      <c r="H539" s="32"/>
      <c r="I539" s="32"/>
      <c r="J539" s="32"/>
      <c r="K539" s="33"/>
    </row>
    <row r="540" spans="3:11">
      <c r="C540" s="31"/>
      <c r="D540" s="31"/>
      <c r="G540" s="32"/>
      <c r="H540" s="32"/>
      <c r="I540" s="32"/>
      <c r="J540" s="32"/>
      <c r="K540" s="33"/>
    </row>
    <row r="541" spans="3:11">
      <c r="C541" s="31"/>
      <c r="D541" s="31"/>
      <c r="G541" s="32"/>
      <c r="H541" s="32"/>
      <c r="I541" s="32"/>
      <c r="J541" s="32"/>
      <c r="K541" s="33"/>
    </row>
    <row r="542" spans="3:11">
      <c r="C542" s="31"/>
      <c r="D542" s="31"/>
      <c r="G542" s="32"/>
      <c r="H542" s="32"/>
      <c r="I542" s="32"/>
      <c r="J542" s="32"/>
      <c r="K542" s="33"/>
    </row>
    <row r="543" spans="3:11">
      <c r="C543" s="31"/>
      <c r="D543" s="31"/>
      <c r="G543" s="32"/>
      <c r="H543" s="32"/>
      <c r="I543" s="32"/>
      <c r="J543" s="32"/>
      <c r="K543" s="33"/>
    </row>
    <row r="544" spans="3:11">
      <c r="C544" s="31"/>
      <c r="D544" s="31"/>
      <c r="G544" s="32"/>
      <c r="H544" s="32"/>
      <c r="I544" s="32"/>
      <c r="J544" s="32"/>
      <c r="K544" s="33"/>
    </row>
    <row r="545" spans="3:11">
      <c r="C545" s="31"/>
      <c r="D545" s="31"/>
      <c r="G545" s="32"/>
      <c r="H545" s="32"/>
      <c r="I545" s="32"/>
      <c r="J545" s="32"/>
      <c r="K545" s="33"/>
    </row>
    <row r="546" spans="3:11">
      <c r="C546" s="31"/>
      <c r="D546" s="31"/>
      <c r="G546" s="32"/>
      <c r="H546" s="32"/>
      <c r="I546" s="32"/>
      <c r="J546" s="32"/>
      <c r="K546" s="33"/>
    </row>
    <row r="547" spans="3:11">
      <c r="C547" s="31"/>
      <c r="D547" s="31"/>
      <c r="G547" s="32"/>
      <c r="H547" s="32"/>
      <c r="I547" s="32"/>
      <c r="J547" s="32"/>
      <c r="K547" s="33"/>
    </row>
    <row r="548" spans="3:11">
      <c r="C548" s="31"/>
      <c r="D548" s="31"/>
      <c r="G548" s="32"/>
      <c r="H548" s="32"/>
      <c r="I548" s="32"/>
      <c r="J548" s="32"/>
      <c r="K548" s="33"/>
    </row>
    <row r="549" spans="3:11">
      <c r="C549" s="31"/>
      <c r="D549" s="31"/>
      <c r="G549" s="32"/>
      <c r="H549" s="32"/>
      <c r="I549" s="32"/>
      <c r="J549" s="32"/>
      <c r="K549" s="33"/>
    </row>
    <row r="550" spans="3:11">
      <c r="C550" s="31"/>
      <c r="D550" s="31"/>
      <c r="G550" s="32"/>
      <c r="H550" s="32"/>
      <c r="I550" s="32"/>
      <c r="J550" s="32"/>
      <c r="K550" s="33"/>
    </row>
    <row r="551" spans="3:11">
      <c r="C551" s="31"/>
      <c r="D551" s="31"/>
      <c r="G551" s="32"/>
      <c r="H551" s="32"/>
      <c r="I551" s="32"/>
      <c r="J551" s="32"/>
      <c r="K551" s="33"/>
    </row>
    <row r="552" spans="3:11">
      <c r="C552" s="31"/>
      <c r="D552" s="31"/>
      <c r="G552" s="32"/>
      <c r="H552" s="32"/>
      <c r="I552" s="32"/>
      <c r="J552" s="32"/>
      <c r="K552" s="33"/>
    </row>
    <row r="553" spans="3:11">
      <c r="C553" s="31"/>
      <c r="D553" s="31"/>
      <c r="G553" s="32"/>
      <c r="H553" s="32"/>
      <c r="I553" s="32"/>
      <c r="J553" s="32"/>
      <c r="K553" s="33"/>
    </row>
    <row r="554" spans="3:11">
      <c r="C554" s="31"/>
      <c r="D554" s="31"/>
      <c r="G554" s="32"/>
      <c r="H554" s="32"/>
      <c r="I554" s="32"/>
      <c r="J554" s="32"/>
      <c r="K554" s="33"/>
    </row>
    <row r="555" spans="3:11">
      <c r="C555" s="31"/>
      <c r="D555" s="31"/>
      <c r="G555" s="32"/>
      <c r="H555" s="32"/>
      <c r="I555" s="32"/>
      <c r="J555" s="32"/>
      <c r="K555" s="33"/>
    </row>
    <row r="556" spans="3:11">
      <c r="C556" s="31"/>
      <c r="D556" s="31"/>
      <c r="G556" s="32"/>
      <c r="H556" s="32"/>
      <c r="I556" s="32"/>
      <c r="J556" s="32"/>
      <c r="K556" s="33"/>
    </row>
    <row r="557" spans="3:11">
      <c r="C557" s="31"/>
      <c r="D557" s="31"/>
      <c r="G557" s="32"/>
      <c r="H557" s="32"/>
      <c r="I557" s="32"/>
      <c r="J557" s="32"/>
      <c r="K557" s="33"/>
    </row>
    <row r="558" spans="3:11">
      <c r="C558" s="31"/>
      <c r="D558" s="31"/>
      <c r="G558" s="32"/>
      <c r="H558" s="32"/>
      <c r="I558" s="32"/>
      <c r="J558" s="32"/>
      <c r="K558" s="33"/>
    </row>
    <row r="559" spans="3:11">
      <c r="C559" s="31"/>
      <c r="D559" s="31"/>
      <c r="G559" s="32"/>
      <c r="H559" s="32"/>
      <c r="I559" s="32"/>
      <c r="J559" s="32"/>
      <c r="K559" s="33"/>
    </row>
    <row r="560" spans="3:11">
      <c r="C560" s="31"/>
      <c r="D560" s="31"/>
      <c r="G560" s="32"/>
      <c r="H560" s="32"/>
      <c r="I560" s="32"/>
      <c r="J560" s="32"/>
      <c r="K560" s="33"/>
    </row>
    <row r="561" spans="3:11">
      <c r="C561" s="31"/>
      <c r="D561" s="31"/>
      <c r="G561" s="32"/>
      <c r="H561" s="32"/>
      <c r="I561" s="32"/>
      <c r="J561" s="32"/>
      <c r="K561" s="33"/>
    </row>
    <row r="562" spans="3:11">
      <c r="C562" s="31"/>
      <c r="D562" s="31"/>
      <c r="G562" s="32"/>
      <c r="H562" s="32"/>
      <c r="I562" s="32"/>
      <c r="J562" s="32"/>
      <c r="K562" s="33"/>
    </row>
    <row r="563" spans="3:11">
      <c r="C563" s="31"/>
      <c r="D563" s="31"/>
      <c r="G563" s="32"/>
      <c r="H563" s="32"/>
      <c r="I563" s="32"/>
      <c r="J563" s="32"/>
      <c r="K563" s="33"/>
    </row>
    <row r="564" spans="3:11">
      <c r="C564" s="31"/>
      <c r="D564" s="31"/>
      <c r="G564" s="32"/>
      <c r="H564" s="32"/>
      <c r="I564" s="32"/>
      <c r="J564" s="32"/>
      <c r="K564" s="33"/>
    </row>
    <row r="565" spans="3:11">
      <c r="C565" s="31"/>
      <c r="D565" s="31"/>
      <c r="G565" s="32"/>
      <c r="H565" s="32"/>
      <c r="I565" s="32"/>
      <c r="J565" s="32"/>
      <c r="K565" s="33"/>
    </row>
    <row r="566" spans="3:11">
      <c r="C566" s="31"/>
      <c r="D566" s="31"/>
      <c r="G566" s="32"/>
      <c r="H566" s="32"/>
      <c r="I566" s="32"/>
      <c r="J566" s="32"/>
      <c r="K566" s="33"/>
    </row>
    <row r="567" spans="3:11">
      <c r="C567" s="31"/>
      <c r="D567" s="31"/>
      <c r="G567" s="32"/>
      <c r="H567" s="32"/>
      <c r="I567" s="32"/>
      <c r="J567" s="32"/>
      <c r="K567" s="33"/>
    </row>
    <row r="568" spans="3:11">
      <c r="C568" s="31"/>
      <c r="D568" s="31"/>
      <c r="G568" s="32"/>
      <c r="H568" s="32"/>
      <c r="I568" s="32"/>
      <c r="J568" s="32"/>
      <c r="K568" s="33"/>
    </row>
    <row r="569" spans="3:11">
      <c r="C569" s="31"/>
      <c r="D569" s="31"/>
      <c r="G569" s="32"/>
      <c r="H569" s="32"/>
      <c r="I569" s="32"/>
      <c r="J569" s="32"/>
      <c r="K569" s="33"/>
    </row>
    <row r="570" spans="3:11">
      <c r="C570" s="31"/>
      <c r="D570" s="31"/>
      <c r="G570" s="32"/>
      <c r="H570" s="32"/>
      <c r="I570" s="32"/>
      <c r="J570" s="32"/>
      <c r="K570" s="33"/>
    </row>
    <row r="571" spans="3:11">
      <c r="C571" s="31"/>
      <c r="D571" s="31"/>
      <c r="G571" s="32"/>
      <c r="H571" s="32"/>
      <c r="I571" s="32"/>
      <c r="J571" s="32"/>
      <c r="K571" s="33"/>
    </row>
    <row r="572" spans="3:11">
      <c r="C572" s="31"/>
      <c r="D572" s="31"/>
      <c r="G572" s="32"/>
      <c r="H572" s="32"/>
      <c r="I572" s="32"/>
      <c r="J572" s="32"/>
      <c r="K572" s="33"/>
    </row>
    <row r="573" spans="3:11">
      <c r="C573" s="31"/>
      <c r="D573" s="31"/>
      <c r="G573" s="32"/>
      <c r="H573" s="32"/>
      <c r="I573" s="32"/>
      <c r="J573" s="32"/>
      <c r="K573" s="33"/>
    </row>
    <row r="574" spans="3:11">
      <c r="C574" s="31"/>
      <c r="D574" s="31"/>
      <c r="G574" s="32"/>
      <c r="H574" s="32"/>
      <c r="I574" s="32"/>
      <c r="J574" s="32"/>
      <c r="K574" s="33"/>
    </row>
    <row r="575" spans="3:11">
      <c r="C575" s="31"/>
      <c r="D575" s="31"/>
      <c r="G575" s="32"/>
      <c r="H575" s="32"/>
      <c r="I575" s="32"/>
      <c r="J575" s="32"/>
      <c r="K575" s="33"/>
    </row>
    <row r="576" spans="3:11">
      <c r="C576" s="31"/>
      <c r="D576" s="31"/>
      <c r="G576" s="32"/>
      <c r="H576" s="32"/>
      <c r="I576" s="32"/>
      <c r="J576" s="32"/>
      <c r="K576" s="33"/>
    </row>
    <row r="577" spans="3:11">
      <c r="C577" s="31"/>
      <c r="D577" s="31"/>
      <c r="G577" s="32"/>
      <c r="H577" s="32"/>
      <c r="I577" s="32"/>
      <c r="J577" s="32"/>
      <c r="K577" s="33"/>
    </row>
    <row r="578" spans="3:11">
      <c r="C578" s="31"/>
      <c r="D578" s="31"/>
      <c r="G578" s="32"/>
      <c r="H578" s="32"/>
      <c r="I578" s="32"/>
      <c r="J578" s="32"/>
      <c r="K578" s="33"/>
    </row>
    <row r="579" spans="3:11">
      <c r="C579" s="31"/>
      <c r="D579" s="31"/>
      <c r="G579" s="32"/>
      <c r="H579" s="32"/>
      <c r="I579" s="32"/>
      <c r="J579" s="32"/>
      <c r="K579" s="33"/>
    </row>
    <row r="580" spans="3:11">
      <c r="C580" s="31"/>
      <c r="D580" s="31"/>
      <c r="G580" s="32"/>
      <c r="H580" s="32"/>
      <c r="I580" s="32"/>
      <c r="J580" s="32"/>
      <c r="K580" s="33"/>
    </row>
    <row r="581" spans="3:11">
      <c r="C581" s="31"/>
      <c r="D581" s="31"/>
      <c r="G581" s="32"/>
      <c r="H581" s="32"/>
      <c r="I581" s="32"/>
      <c r="J581" s="32"/>
      <c r="K581" s="33"/>
    </row>
    <row r="582" spans="3:11">
      <c r="C582" s="31"/>
      <c r="D582" s="31"/>
      <c r="G582" s="32"/>
      <c r="H582" s="32"/>
      <c r="I582" s="32"/>
      <c r="J582" s="32"/>
      <c r="K582" s="33"/>
    </row>
    <row r="583" spans="3:11">
      <c r="C583" s="31"/>
      <c r="D583" s="31"/>
      <c r="G583" s="32"/>
      <c r="H583" s="32"/>
      <c r="I583" s="32"/>
      <c r="J583" s="32"/>
      <c r="K583" s="33"/>
    </row>
    <row r="584" spans="3:11">
      <c r="C584" s="31"/>
      <c r="D584" s="31"/>
      <c r="G584" s="32"/>
      <c r="H584" s="32"/>
      <c r="I584" s="32"/>
      <c r="J584" s="32"/>
      <c r="K584" s="33"/>
    </row>
    <row r="585" spans="3:11">
      <c r="C585" s="31"/>
      <c r="D585" s="31"/>
      <c r="G585" s="32"/>
      <c r="H585" s="32"/>
      <c r="I585" s="32"/>
      <c r="J585" s="32"/>
      <c r="K585" s="33"/>
    </row>
    <row r="586" spans="3:11">
      <c r="C586" s="31"/>
      <c r="D586" s="31"/>
      <c r="G586" s="32"/>
      <c r="H586" s="32"/>
      <c r="I586" s="32"/>
      <c r="J586" s="32"/>
      <c r="K586" s="33"/>
    </row>
    <row r="587" spans="3:11">
      <c r="C587" s="31"/>
      <c r="D587" s="31"/>
      <c r="G587" s="32"/>
      <c r="H587" s="32"/>
      <c r="I587" s="32"/>
      <c r="J587" s="32"/>
      <c r="K587" s="33"/>
    </row>
    <row r="588" spans="3:11">
      <c r="C588" s="31"/>
      <c r="D588" s="31"/>
      <c r="G588" s="32"/>
      <c r="H588" s="32"/>
      <c r="I588" s="32"/>
      <c r="J588" s="32"/>
      <c r="K588" s="33"/>
    </row>
    <row r="589" spans="3:11">
      <c r="C589" s="31"/>
      <c r="D589" s="31"/>
      <c r="G589" s="32"/>
      <c r="H589" s="32"/>
      <c r="I589" s="32"/>
      <c r="J589" s="32"/>
      <c r="K589" s="33"/>
    </row>
    <row r="590" spans="3:11">
      <c r="C590" s="31"/>
      <c r="D590" s="31"/>
      <c r="G590" s="32"/>
      <c r="H590" s="32"/>
      <c r="I590" s="32"/>
      <c r="J590" s="32"/>
      <c r="K590" s="33"/>
    </row>
    <row r="591" spans="3:11">
      <c r="C591" s="31"/>
      <c r="D591" s="31"/>
      <c r="G591" s="32"/>
      <c r="H591" s="32"/>
      <c r="I591" s="32"/>
      <c r="J591" s="32"/>
      <c r="K591" s="33"/>
    </row>
    <row r="592" spans="3:11">
      <c r="C592" s="31"/>
      <c r="D592" s="31"/>
      <c r="G592" s="32"/>
      <c r="H592" s="32"/>
      <c r="I592" s="32"/>
      <c r="J592" s="32"/>
      <c r="K592" s="33"/>
    </row>
    <row r="593" spans="3:11">
      <c r="C593" s="31"/>
      <c r="D593" s="31"/>
      <c r="G593" s="32"/>
      <c r="H593" s="32"/>
      <c r="I593" s="32"/>
      <c r="J593" s="32"/>
      <c r="K593" s="33"/>
    </row>
    <row r="594" spans="3:11">
      <c r="C594" s="31"/>
      <c r="D594" s="31"/>
      <c r="G594" s="32"/>
      <c r="H594" s="32"/>
      <c r="I594" s="32"/>
      <c r="J594" s="32"/>
      <c r="K594" s="33"/>
    </row>
    <row r="595" spans="3:11">
      <c r="C595" s="31"/>
      <c r="D595" s="31"/>
      <c r="G595" s="32"/>
      <c r="H595" s="32"/>
      <c r="I595" s="32"/>
      <c r="J595" s="32"/>
      <c r="K595" s="33"/>
    </row>
    <row r="596" spans="3:11">
      <c r="C596" s="31"/>
      <c r="D596" s="31"/>
      <c r="G596" s="32"/>
      <c r="H596" s="32"/>
      <c r="I596" s="32"/>
      <c r="J596" s="32"/>
      <c r="K596" s="33"/>
    </row>
    <row r="597" spans="3:11">
      <c r="C597" s="31"/>
      <c r="D597" s="31"/>
      <c r="G597" s="32"/>
      <c r="H597" s="32"/>
      <c r="I597" s="32"/>
      <c r="J597" s="32"/>
      <c r="K597" s="33"/>
    </row>
    <row r="598" spans="3:11">
      <c r="C598" s="31"/>
      <c r="D598" s="31"/>
      <c r="G598" s="32"/>
      <c r="H598" s="32"/>
      <c r="I598" s="32"/>
      <c r="J598" s="32"/>
      <c r="K598" s="33"/>
    </row>
    <row r="599" spans="3:11">
      <c r="C599" s="31"/>
      <c r="D599" s="31"/>
      <c r="G599" s="32"/>
      <c r="H599" s="32"/>
      <c r="I599" s="32"/>
      <c r="J599" s="32"/>
      <c r="K599" s="33"/>
    </row>
    <row r="600" spans="3:11">
      <c r="C600" s="31"/>
      <c r="D600" s="31"/>
      <c r="G600" s="32"/>
      <c r="H600" s="32"/>
      <c r="I600" s="32"/>
      <c r="J600" s="32"/>
      <c r="K600" s="33"/>
    </row>
    <row r="601" spans="3:11">
      <c r="C601" s="31"/>
      <c r="D601" s="31"/>
      <c r="G601" s="32"/>
      <c r="H601" s="32"/>
      <c r="I601" s="32"/>
      <c r="J601" s="32"/>
      <c r="K601" s="33"/>
    </row>
    <row r="602" spans="3:11">
      <c r="C602" s="31"/>
      <c r="D602" s="31"/>
      <c r="G602" s="32"/>
      <c r="H602" s="32"/>
      <c r="I602" s="32"/>
      <c r="J602" s="32"/>
      <c r="K602" s="33"/>
    </row>
    <row r="603" spans="3:11">
      <c r="C603" s="31"/>
      <c r="D603" s="31"/>
      <c r="G603" s="32"/>
      <c r="H603" s="32"/>
      <c r="I603" s="32"/>
      <c r="J603" s="32"/>
      <c r="K603" s="33"/>
    </row>
    <row r="604" spans="3:11">
      <c r="C604" s="31"/>
      <c r="D604" s="31"/>
      <c r="G604" s="32"/>
      <c r="H604" s="32"/>
      <c r="I604" s="32"/>
      <c r="J604" s="32"/>
      <c r="K604" s="33"/>
    </row>
    <row r="605" spans="3:11">
      <c r="C605" s="31"/>
      <c r="D605" s="31"/>
      <c r="G605" s="32"/>
      <c r="H605" s="32"/>
      <c r="I605" s="32"/>
      <c r="J605" s="32"/>
      <c r="K605" s="33"/>
    </row>
    <row r="606" spans="3:11">
      <c r="C606" s="31"/>
      <c r="D606" s="31"/>
      <c r="G606" s="32"/>
      <c r="H606" s="32"/>
      <c r="I606" s="32"/>
      <c r="J606" s="32"/>
      <c r="K606" s="33"/>
    </row>
    <row r="607" spans="3:11">
      <c r="C607" s="31"/>
      <c r="D607" s="31"/>
      <c r="G607" s="32"/>
      <c r="H607" s="32"/>
      <c r="I607" s="32"/>
      <c r="J607" s="32"/>
      <c r="K607" s="33"/>
    </row>
    <row r="608" spans="3:11">
      <c r="C608" s="31"/>
      <c r="D608" s="31"/>
      <c r="G608" s="32"/>
      <c r="H608" s="32"/>
      <c r="I608" s="32"/>
      <c r="J608" s="32"/>
      <c r="K608" s="33"/>
    </row>
    <row r="609" spans="3:11">
      <c r="C609" s="31"/>
      <c r="D609" s="31"/>
      <c r="G609" s="32"/>
      <c r="H609" s="32"/>
      <c r="I609" s="32"/>
      <c r="J609" s="32"/>
      <c r="K609" s="33"/>
    </row>
    <row r="610" spans="3:11">
      <c r="C610" s="31"/>
      <c r="D610" s="31"/>
      <c r="G610" s="32"/>
      <c r="H610" s="32"/>
      <c r="I610" s="32"/>
      <c r="J610" s="32"/>
      <c r="K610" s="33"/>
    </row>
    <row r="611" spans="3:11">
      <c r="C611" s="31"/>
      <c r="D611" s="31"/>
      <c r="G611" s="32"/>
      <c r="H611" s="32"/>
      <c r="I611" s="32"/>
      <c r="J611" s="32"/>
      <c r="K611" s="33"/>
    </row>
    <row r="612" spans="3:11">
      <c r="C612" s="31"/>
      <c r="D612" s="31"/>
      <c r="G612" s="32"/>
      <c r="H612" s="32"/>
      <c r="I612" s="32"/>
      <c r="J612" s="32"/>
      <c r="K612" s="33"/>
    </row>
    <row r="613" spans="3:11">
      <c r="C613" s="31"/>
      <c r="D613" s="31"/>
      <c r="G613" s="32"/>
      <c r="H613" s="32"/>
      <c r="I613" s="32"/>
      <c r="J613" s="32"/>
      <c r="K613" s="33"/>
    </row>
    <row r="614" spans="3:11">
      <c r="C614" s="31"/>
      <c r="D614" s="31"/>
      <c r="G614" s="32"/>
      <c r="H614" s="32"/>
      <c r="I614" s="32"/>
      <c r="K614" s="33"/>
    </row>
    <row r="615" spans="3:11">
      <c r="C615" s="31"/>
      <c r="D615" s="31"/>
      <c r="G615" s="32"/>
      <c r="H615" s="32"/>
      <c r="I615" s="32"/>
      <c r="K615" s="33"/>
    </row>
    <row r="616" spans="3:11">
      <c r="C616" s="31"/>
      <c r="D616" s="31"/>
      <c r="G616" s="32"/>
      <c r="H616" s="32"/>
      <c r="I616" s="32"/>
      <c r="K616" s="33"/>
    </row>
    <row r="617" spans="3:11">
      <c r="C617" s="31"/>
      <c r="D617" s="31"/>
      <c r="G617" s="32"/>
      <c r="H617" s="32"/>
      <c r="I617" s="32"/>
      <c r="K617" s="33"/>
    </row>
    <row r="618" spans="3:11">
      <c r="C618" s="31"/>
      <c r="D618" s="31"/>
      <c r="G618" s="32"/>
      <c r="H618" s="32"/>
      <c r="I618" s="32"/>
      <c r="K618" s="33"/>
    </row>
    <row r="619" spans="3:11">
      <c r="C619" s="31"/>
      <c r="D619" s="31"/>
      <c r="G619" s="32"/>
      <c r="H619" s="32"/>
      <c r="I619" s="32"/>
      <c r="K619" s="33"/>
    </row>
    <row r="620" spans="3:11">
      <c r="C620" s="31"/>
      <c r="D620" s="31"/>
      <c r="G620" s="32"/>
      <c r="H620" s="32"/>
      <c r="I620" s="32"/>
      <c r="K620" s="33"/>
    </row>
    <row r="621" spans="3:11">
      <c r="C621" s="31"/>
      <c r="D621" s="31"/>
      <c r="G621" s="32"/>
      <c r="H621" s="32"/>
      <c r="I621" s="32"/>
      <c r="K621" s="33"/>
    </row>
    <row r="622" spans="3:11">
      <c r="C622" s="31"/>
      <c r="D622" s="31"/>
      <c r="G622" s="32"/>
      <c r="H622" s="32"/>
      <c r="I622" s="32"/>
      <c r="K622" s="33"/>
    </row>
    <row r="623" spans="3:11">
      <c r="C623" s="31"/>
      <c r="D623" s="31"/>
      <c r="G623" s="32"/>
      <c r="H623" s="32"/>
      <c r="I623" s="32"/>
      <c r="K623" s="33"/>
    </row>
    <row r="624" spans="3:11">
      <c r="C624" s="31"/>
      <c r="D624" s="31"/>
      <c r="G624" s="32"/>
      <c r="H624" s="32"/>
      <c r="I624" s="32"/>
      <c r="K624" s="33"/>
    </row>
    <row r="625" spans="3:11">
      <c r="C625" s="31"/>
      <c r="D625" s="31"/>
      <c r="G625" s="32"/>
      <c r="H625" s="32"/>
      <c r="I625" s="32"/>
      <c r="K625" s="33"/>
    </row>
    <row r="626" spans="3:11">
      <c r="C626" s="31"/>
      <c r="D626" s="31"/>
      <c r="G626" s="32"/>
      <c r="H626" s="32"/>
      <c r="I626" s="32"/>
      <c r="K626" s="33"/>
    </row>
    <row r="627" spans="3:11">
      <c r="C627" s="31"/>
      <c r="D627" s="31"/>
      <c r="G627" s="32"/>
      <c r="H627" s="32"/>
      <c r="I627" s="32"/>
      <c r="K627" s="33"/>
    </row>
    <row r="628" spans="3:11">
      <c r="C628" s="31"/>
      <c r="D628" s="31"/>
      <c r="G628" s="32"/>
      <c r="H628" s="32"/>
      <c r="I628" s="32"/>
      <c r="K628" s="33"/>
    </row>
    <row r="629" spans="3:11">
      <c r="C629" s="31"/>
      <c r="D629" s="31"/>
      <c r="G629" s="32"/>
      <c r="H629" s="32"/>
      <c r="I629" s="32"/>
      <c r="K629" s="33"/>
    </row>
    <row r="630" spans="3:11">
      <c r="C630" s="31"/>
      <c r="D630" s="31"/>
      <c r="G630" s="32"/>
      <c r="H630" s="32"/>
      <c r="I630" s="32"/>
      <c r="K630" s="33"/>
    </row>
    <row r="631" spans="3:11">
      <c r="C631" s="31"/>
      <c r="D631" s="31"/>
      <c r="G631" s="32"/>
      <c r="H631" s="32"/>
      <c r="I631" s="32"/>
      <c r="K631" s="33"/>
    </row>
    <row r="632" spans="3:11">
      <c r="C632" s="31"/>
      <c r="D632" s="31"/>
      <c r="G632" s="32"/>
      <c r="H632" s="32"/>
      <c r="I632" s="32"/>
      <c r="K632" s="33"/>
    </row>
    <row r="633" spans="3:11">
      <c r="C633" s="31"/>
      <c r="D633" s="31"/>
      <c r="G633" s="32"/>
      <c r="H633" s="32"/>
      <c r="I633" s="32"/>
      <c r="K633" s="33"/>
    </row>
    <row r="634" spans="3:11">
      <c r="C634" s="31"/>
      <c r="D634" s="31"/>
      <c r="G634" s="32"/>
      <c r="H634" s="32"/>
      <c r="I634" s="32"/>
      <c r="K634" s="33"/>
    </row>
    <row r="635" spans="3:11">
      <c r="C635" s="31"/>
      <c r="D635" s="31"/>
      <c r="G635" s="32"/>
      <c r="H635" s="32"/>
      <c r="I635" s="32"/>
      <c r="K635" s="33"/>
    </row>
    <row r="636" spans="3:11">
      <c r="C636" s="31"/>
      <c r="D636" s="31"/>
      <c r="G636" s="32"/>
      <c r="H636" s="32"/>
      <c r="I636" s="32"/>
      <c r="K636" s="33"/>
    </row>
    <row r="637" spans="3:11">
      <c r="C637" s="31"/>
      <c r="D637" s="31"/>
      <c r="G637" s="32"/>
      <c r="H637" s="32"/>
      <c r="I637" s="32"/>
      <c r="K637" s="33"/>
    </row>
    <row r="638" spans="3:11">
      <c r="C638" s="31"/>
      <c r="D638" s="31"/>
      <c r="G638" s="32"/>
      <c r="H638" s="32"/>
      <c r="I638" s="32"/>
      <c r="K638" s="33"/>
    </row>
    <row r="639" spans="3:11">
      <c r="C639" s="31"/>
      <c r="D639" s="31"/>
      <c r="G639" s="32"/>
      <c r="H639" s="32"/>
      <c r="I639" s="32"/>
      <c r="K639" s="33"/>
    </row>
    <row r="640" spans="3:11">
      <c r="C640" s="31"/>
      <c r="D640" s="31"/>
      <c r="G640" s="32"/>
      <c r="H640" s="32"/>
      <c r="I640" s="32"/>
      <c r="K640" s="33"/>
    </row>
    <row r="641" spans="3:11">
      <c r="C641" s="31"/>
      <c r="D641" s="31"/>
      <c r="G641" s="32"/>
      <c r="H641" s="32"/>
      <c r="I641" s="32"/>
      <c r="K641" s="33"/>
    </row>
    <row r="642" spans="3:11">
      <c r="C642" s="31"/>
      <c r="D642" s="31"/>
      <c r="G642" s="32"/>
      <c r="H642" s="32"/>
      <c r="I642" s="32"/>
      <c r="K642" s="33"/>
    </row>
    <row r="643" spans="3:11">
      <c r="C643" s="31"/>
      <c r="D643" s="31"/>
      <c r="G643" s="32"/>
      <c r="H643" s="32"/>
      <c r="I643" s="32"/>
      <c r="K643" s="33"/>
    </row>
    <row r="644" spans="3:11">
      <c r="C644" s="31"/>
      <c r="D644" s="31"/>
      <c r="G644" s="32"/>
      <c r="H644" s="32"/>
      <c r="I644" s="32"/>
      <c r="K644" s="33"/>
    </row>
    <row r="645" spans="3:11">
      <c r="C645" s="31"/>
      <c r="D645" s="31"/>
      <c r="G645" s="32"/>
      <c r="H645" s="32"/>
      <c r="I645" s="32"/>
      <c r="K645" s="33"/>
    </row>
    <row r="646" spans="3:11">
      <c r="C646" s="31"/>
      <c r="D646" s="31"/>
      <c r="G646" s="32"/>
      <c r="H646" s="32"/>
      <c r="I646" s="32"/>
      <c r="K646" s="33"/>
    </row>
    <row r="647" spans="3:11">
      <c r="C647" s="31"/>
      <c r="D647" s="31"/>
      <c r="G647" s="32"/>
      <c r="H647" s="32"/>
      <c r="I647" s="32"/>
      <c r="K647" s="33"/>
    </row>
    <row r="648" spans="3:11">
      <c r="C648" s="31"/>
      <c r="D648" s="31"/>
      <c r="G648" s="32"/>
      <c r="H648" s="32"/>
      <c r="I648" s="32"/>
      <c r="K648" s="33"/>
    </row>
    <row r="649" spans="3:11">
      <c r="C649" s="31"/>
      <c r="D649" s="31"/>
      <c r="G649" s="32"/>
      <c r="H649" s="32"/>
      <c r="I649" s="32"/>
      <c r="K649" s="33"/>
    </row>
    <row r="650" spans="3:11">
      <c r="C650" s="31"/>
      <c r="D650" s="31"/>
      <c r="G650" s="32"/>
      <c r="H650" s="32"/>
      <c r="I650" s="32"/>
      <c r="K650" s="33"/>
    </row>
    <row r="651" spans="3:11">
      <c r="C651" s="31"/>
      <c r="D651" s="31"/>
      <c r="G651" s="32"/>
      <c r="H651" s="32"/>
      <c r="I651" s="32"/>
      <c r="K651" s="33"/>
    </row>
    <row r="652" spans="3:11">
      <c r="C652" s="31"/>
      <c r="D652" s="31"/>
      <c r="G652" s="32"/>
      <c r="H652" s="32"/>
      <c r="I652" s="32"/>
      <c r="K652" s="33"/>
    </row>
    <row r="653" spans="3:11">
      <c r="C653" s="31"/>
      <c r="D653" s="31"/>
      <c r="G653" s="32"/>
      <c r="H653" s="32"/>
      <c r="I653" s="32"/>
      <c r="K653" s="33"/>
    </row>
    <row r="654" spans="3:11">
      <c r="C654" s="31"/>
      <c r="D654" s="31"/>
      <c r="G654" s="32"/>
      <c r="H654" s="32"/>
      <c r="I654" s="32"/>
      <c r="K654" s="33"/>
    </row>
    <row r="655" spans="3:11">
      <c r="C655" s="31"/>
      <c r="D655" s="31"/>
      <c r="G655" s="32"/>
      <c r="H655" s="32"/>
      <c r="I655" s="32"/>
      <c r="K655" s="33"/>
    </row>
    <row r="656" spans="3:11">
      <c r="C656" s="31"/>
      <c r="D656" s="31"/>
      <c r="G656" s="32"/>
      <c r="H656" s="32"/>
      <c r="I656" s="32"/>
      <c r="K656" s="33"/>
    </row>
    <row r="657" spans="3:11">
      <c r="C657" s="31"/>
      <c r="D657" s="31"/>
      <c r="G657" s="32"/>
      <c r="H657" s="32"/>
      <c r="I657" s="32"/>
      <c r="K657" s="33"/>
    </row>
    <row r="658" spans="3:11">
      <c r="C658" s="31"/>
      <c r="D658" s="31"/>
      <c r="G658" s="32"/>
      <c r="H658" s="32"/>
      <c r="I658" s="32"/>
      <c r="K658" s="33"/>
    </row>
    <row r="659" spans="3:11">
      <c r="C659" s="31"/>
      <c r="D659" s="31"/>
      <c r="G659" s="32"/>
      <c r="H659" s="32"/>
      <c r="I659" s="32"/>
      <c r="K659" s="33"/>
    </row>
    <row r="660" spans="3:11">
      <c r="C660" s="31"/>
      <c r="D660" s="31"/>
      <c r="G660" s="32"/>
      <c r="H660" s="32"/>
      <c r="I660" s="32"/>
      <c r="K660" s="33"/>
    </row>
    <row r="661" spans="3:11">
      <c r="C661" s="31"/>
      <c r="D661" s="31"/>
      <c r="G661" s="32"/>
      <c r="H661" s="32"/>
      <c r="I661" s="32"/>
      <c r="K661" s="33"/>
    </row>
    <row r="662" spans="3:11">
      <c r="C662" s="31"/>
      <c r="D662" s="31"/>
      <c r="G662" s="32"/>
      <c r="H662" s="32"/>
      <c r="I662" s="32"/>
      <c r="K662" s="33"/>
    </row>
    <row r="663" spans="3:11">
      <c r="C663" s="31"/>
      <c r="D663" s="31"/>
      <c r="G663" s="32"/>
      <c r="H663" s="32"/>
      <c r="I663" s="32"/>
      <c r="K663" s="33"/>
    </row>
    <row r="664" spans="3:11">
      <c r="C664" s="31"/>
      <c r="D664" s="31"/>
      <c r="G664" s="32"/>
      <c r="H664" s="32"/>
      <c r="I664" s="32"/>
      <c r="K664" s="33"/>
    </row>
    <row r="665" spans="3:11">
      <c r="C665" s="31"/>
      <c r="D665" s="31"/>
      <c r="G665" s="32"/>
      <c r="H665" s="32"/>
      <c r="I665" s="32"/>
      <c r="K665" s="33"/>
    </row>
    <row r="666" spans="3:11">
      <c r="C666" s="31"/>
      <c r="D666" s="31"/>
      <c r="G666" s="32"/>
      <c r="H666" s="32"/>
      <c r="I666" s="32"/>
      <c r="K666" s="33"/>
    </row>
    <row r="667" spans="3:11">
      <c r="C667" s="31"/>
      <c r="D667" s="31"/>
      <c r="G667" s="32"/>
      <c r="H667" s="32"/>
      <c r="I667" s="32"/>
      <c r="K667" s="33"/>
    </row>
    <row r="668" spans="3:11">
      <c r="C668" s="31"/>
      <c r="D668" s="31"/>
      <c r="G668" s="32"/>
      <c r="H668" s="32"/>
      <c r="I668" s="32"/>
      <c r="K668" s="33"/>
    </row>
    <row r="669" spans="3:11">
      <c r="C669" s="31"/>
      <c r="D669" s="31"/>
      <c r="G669" s="32"/>
      <c r="H669" s="32"/>
      <c r="I669" s="32"/>
      <c r="K669" s="33"/>
    </row>
    <row r="670" spans="3:11">
      <c r="C670" s="31"/>
      <c r="D670" s="31"/>
      <c r="G670" s="32"/>
      <c r="H670" s="32"/>
      <c r="I670" s="32"/>
      <c r="K670" s="33"/>
    </row>
    <row r="671" spans="3:11">
      <c r="C671" s="31"/>
      <c r="D671" s="31"/>
      <c r="G671" s="32"/>
      <c r="H671" s="32"/>
      <c r="I671" s="32"/>
      <c r="K671" s="33"/>
    </row>
    <row r="672" spans="3:11">
      <c r="C672" s="31"/>
      <c r="D672" s="31"/>
      <c r="G672" s="32"/>
      <c r="H672" s="32"/>
      <c r="I672" s="32"/>
      <c r="K672" s="33"/>
    </row>
    <row r="673" spans="3:11">
      <c r="C673" s="31"/>
      <c r="D673" s="31"/>
      <c r="G673" s="32"/>
      <c r="H673" s="32"/>
      <c r="I673" s="32"/>
      <c r="K673" s="33"/>
    </row>
    <row r="674" spans="3:11">
      <c r="C674" s="31"/>
      <c r="D674" s="31"/>
      <c r="G674" s="32"/>
      <c r="H674" s="32"/>
      <c r="I674" s="32"/>
      <c r="K674" s="33"/>
    </row>
    <row r="675" spans="3:11">
      <c r="C675" s="31"/>
      <c r="D675" s="31"/>
      <c r="G675" s="32"/>
      <c r="H675" s="32"/>
      <c r="I675" s="32"/>
      <c r="K675" s="33"/>
    </row>
    <row r="676" spans="3:11">
      <c r="C676" s="31"/>
      <c r="D676" s="31"/>
      <c r="G676" s="32"/>
      <c r="H676" s="32"/>
      <c r="I676" s="32"/>
      <c r="K676" s="33"/>
    </row>
    <row r="677" spans="3:11">
      <c r="C677" s="31"/>
      <c r="D677" s="31"/>
      <c r="G677" s="32"/>
      <c r="H677" s="32"/>
      <c r="I677" s="32"/>
      <c r="K677" s="33"/>
    </row>
    <row r="678" spans="3:11">
      <c r="C678" s="31"/>
      <c r="D678" s="31"/>
      <c r="G678" s="32"/>
      <c r="H678" s="32"/>
      <c r="I678" s="32"/>
      <c r="K678" s="33"/>
    </row>
    <row r="679" spans="3:11">
      <c r="C679" s="31"/>
      <c r="D679" s="31"/>
      <c r="G679" s="32"/>
      <c r="H679" s="32"/>
      <c r="I679" s="32"/>
      <c r="K679" s="33"/>
    </row>
    <row r="680" spans="3:11">
      <c r="C680" s="31"/>
      <c r="D680" s="31"/>
      <c r="G680" s="32"/>
      <c r="H680" s="32"/>
      <c r="I680" s="32"/>
      <c r="K680" s="33"/>
    </row>
    <row r="681" spans="3:11">
      <c r="C681" s="31"/>
      <c r="D681" s="31"/>
      <c r="G681" s="32"/>
      <c r="H681" s="32"/>
      <c r="I681" s="32"/>
      <c r="K681" s="33"/>
    </row>
    <row r="682" spans="3:11">
      <c r="C682" s="31"/>
      <c r="D682" s="31"/>
      <c r="G682" s="32"/>
      <c r="H682" s="32"/>
      <c r="I682" s="32"/>
      <c r="K682" s="33"/>
    </row>
    <row r="683" spans="3:11">
      <c r="C683" s="31"/>
      <c r="D683" s="31"/>
      <c r="G683" s="32"/>
      <c r="H683" s="32"/>
      <c r="I683" s="32"/>
      <c r="K683" s="33"/>
    </row>
    <row r="684" spans="3:11">
      <c r="C684" s="31"/>
      <c r="D684" s="31"/>
      <c r="G684" s="32"/>
      <c r="H684" s="32"/>
      <c r="I684" s="32"/>
      <c r="K684" s="33"/>
    </row>
    <row r="685" spans="3:11">
      <c r="C685" s="31"/>
      <c r="D685" s="31"/>
      <c r="G685" s="32"/>
      <c r="H685" s="32"/>
      <c r="I685" s="32"/>
      <c r="K685" s="33"/>
    </row>
    <row r="686" spans="3:11">
      <c r="C686" s="31"/>
      <c r="D686" s="31"/>
      <c r="G686" s="32"/>
      <c r="H686" s="32"/>
      <c r="I686" s="32"/>
      <c r="K686" s="33"/>
    </row>
    <row r="687" spans="3:11">
      <c r="C687" s="31"/>
      <c r="D687" s="31"/>
      <c r="G687" s="32"/>
      <c r="H687" s="32"/>
      <c r="I687" s="32"/>
      <c r="K687" s="33"/>
    </row>
    <row r="688" spans="3:11">
      <c r="C688" s="31"/>
      <c r="D688" s="31"/>
      <c r="G688" s="32"/>
      <c r="H688" s="32"/>
      <c r="I688" s="32"/>
      <c r="K688" s="33"/>
    </row>
    <row r="689" spans="3:11">
      <c r="C689" s="31"/>
      <c r="D689" s="31"/>
      <c r="G689" s="32"/>
      <c r="H689" s="32"/>
      <c r="I689" s="32"/>
      <c r="K689" s="33"/>
    </row>
    <row r="690" spans="3:11">
      <c r="C690" s="31"/>
      <c r="D690" s="31"/>
      <c r="G690" s="32"/>
      <c r="H690" s="32"/>
      <c r="I690" s="32"/>
      <c r="K690" s="33"/>
    </row>
    <row r="691" spans="3:11">
      <c r="C691" s="31"/>
      <c r="D691" s="31"/>
      <c r="G691" s="32"/>
      <c r="H691" s="32"/>
      <c r="I691" s="32"/>
      <c r="K691" s="33"/>
    </row>
    <row r="692" spans="3:11">
      <c r="C692" s="31"/>
      <c r="D692" s="31"/>
      <c r="G692" s="32"/>
      <c r="H692" s="32"/>
      <c r="I692" s="32"/>
      <c r="K692" s="33"/>
    </row>
    <row r="693" spans="3:11">
      <c r="C693" s="31"/>
      <c r="D693" s="31"/>
      <c r="G693" s="32"/>
      <c r="H693" s="32"/>
      <c r="I693" s="32"/>
      <c r="K693" s="33"/>
    </row>
    <row r="694" spans="3:11">
      <c r="C694" s="31"/>
      <c r="D694" s="31"/>
      <c r="G694" s="32"/>
      <c r="H694" s="32"/>
      <c r="I694" s="32"/>
      <c r="K694" s="33"/>
    </row>
    <row r="695" spans="3:11">
      <c r="C695" s="31"/>
      <c r="D695" s="31"/>
      <c r="G695" s="32"/>
      <c r="H695" s="32"/>
      <c r="I695" s="32"/>
      <c r="K695" s="33"/>
    </row>
    <row r="696" spans="3:11">
      <c r="C696" s="31"/>
      <c r="D696" s="31"/>
      <c r="G696" s="32"/>
      <c r="H696" s="32"/>
      <c r="I696" s="32"/>
      <c r="K696" s="33"/>
    </row>
    <row r="697" spans="3:11">
      <c r="C697" s="31"/>
      <c r="D697" s="31"/>
      <c r="G697" s="32"/>
      <c r="H697" s="32"/>
      <c r="I697" s="32"/>
      <c r="K697" s="33"/>
    </row>
    <row r="698" spans="3:11">
      <c r="C698" s="31"/>
      <c r="D698" s="31"/>
      <c r="G698" s="32"/>
      <c r="H698" s="32"/>
      <c r="I698" s="32"/>
      <c r="K698" s="33"/>
    </row>
    <row r="699" spans="3:11">
      <c r="C699" s="31"/>
      <c r="D699" s="31"/>
      <c r="G699" s="32"/>
      <c r="H699" s="32"/>
      <c r="I699" s="32"/>
      <c r="K699" s="33"/>
    </row>
    <row r="700" spans="3:11">
      <c r="C700" s="31"/>
      <c r="D700" s="31"/>
      <c r="G700" s="32"/>
      <c r="H700" s="32"/>
      <c r="I700" s="32"/>
      <c r="K700" s="33"/>
    </row>
    <row r="701" spans="3:11">
      <c r="C701" s="31"/>
      <c r="D701" s="31"/>
      <c r="G701" s="32"/>
      <c r="H701" s="32"/>
      <c r="I701" s="32"/>
      <c r="K701" s="33"/>
    </row>
    <row r="702" spans="3:11">
      <c r="C702" s="31"/>
      <c r="D702" s="31"/>
      <c r="G702" s="32"/>
      <c r="H702" s="32"/>
      <c r="I702" s="32"/>
      <c r="K702" s="33"/>
    </row>
    <row r="703" spans="3:11">
      <c r="C703" s="31"/>
      <c r="D703" s="31"/>
      <c r="G703" s="32"/>
      <c r="H703" s="32"/>
      <c r="I703" s="32"/>
      <c r="K703" s="33"/>
    </row>
    <row r="704" spans="3:11">
      <c r="C704" s="31"/>
      <c r="D704" s="31"/>
      <c r="G704" s="32"/>
      <c r="H704" s="32"/>
      <c r="I704" s="32"/>
      <c r="K704" s="33"/>
    </row>
    <row r="705" spans="3:11">
      <c r="C705" s="31"/>
      <c r="D705" s="31"/>
      <c r="G705" s="32"/>
      <c r="H705" s="32"/>
      <c r="I705" s="32"/>
      <c r="K705" s="33"/>
    </row>
    <row r="706" spans="3:11">
      <c r="C706" s="31"/>
      <c r="D706" s="31"/>
      <c r="G706" s="32"/>
      <c r="H706" s="32"/>
      <c r="I706" s="32"/>
      <c r="K706" s="33"/>
    </row>
    <row r="707" spans="3:11">
      <c r="C707" s="31"/>
      <c r="D707" s="31"/>
      <c r="G707" s="32"/>
      <c r="H707" s="32"/>
      <c r="I707" s="32"/>
      <c r="K707" s="33"/>
    </row>
    <row r="708" spans="3:11">
      <c r="C708" s="31"/>
      <c r="D708" s="31"/>
      <c r="G708" s="32"/>
      <c r="H708" s="32"/>
      <c r="I708" s="32"/>
      <c r="K708" s="33"/>
    </row>
    <row r="709" spans="3:11">
      <c r="C709" s="31"/>
      <c r="D709" s="31"/>
      <c r="G709" s="32"/>
      <c r="H709" s="32"/>
      <c r="I709" s="32"/>
      <c r="K709" s="33"/>
    </row>
    <row r="710" spans="3:11">
      <c r="C710" s="31"/>
      <c r="D710" s="31"/>
      <c r="G710" s="32"/>
      <c r="H710" s="32"/>
      <c r="I710" s="32"/>
      <c r="K710" s="33"/>
    </row>
    <row r="711" spans="3:11">
      <c r="C711" s="31"/>
      <c r="D711" s="31"/>
      <c r="G711" s="32"/>
      <c r="H711" s="32"/>
      <c r="I711" s="32"/>
      <c r="K711" s="33"/>
    </row>
    <row r="712" spans="3:11">
      <c r="C712" s="31"/>
      <c r="D712" s="31"/>
      <c r="G712" s="32"/>
      <c r="H712" s="32"/>
      <c r="I712" s="32"/>
      <c r="K712" s="33"/>
    </row>
    <row r="713" spans="3:11">
      <c r="C713" s="31"/>
      <c r="D713" s="31"/>
      <c r="G713" s="32"/>
      <c r="H713" s="32"/>
      <c r="I713" s="32"/>
      <c r="K713" s="33"/>
    </row>
    <row r="714" spans="3:11">
      <c r="C714" s="31"/>
      <c r="D714" s="31"/>
      <c r="G714" s="32"/>
      <c r="H714" s="32"/>
      <c r="I714" s="32"/>
      <c r="K714" s="33"/>
    </row>
    <row r="715" spans="3:11">
      <c r="C715" s="31"/>
      <c r="D715" s="31"/>
      <c r="G715" s="32"/>
      <c r="H715" s="32"/>
      <c r="I715" s="32"/>
      <c r="K715" s="33"/>
    </row>
    <row r="716" spans="3:11">
      <c r="C716" s="31"/>
      <c r="D716" s="31"/>
      <c r="G716" s="32"/>
      <c r="H716" s="32"/>
      <c r="I716" s="32"/>
      <c r="K716" s="33"/>
    </row>
    <row r="717" spans="3:11">
      <c r="C717" s="31"/>
      <c r="D717" s="31"/>
      <c r="G717" s="32"/>
      <c r="H717" s="32"/>
      <c r="I717" s="32"/>
      <c r="K717" s="33"/>
    </row>
    <row r="718" spans="3:11">
      <c r="C718" s="31"/>
      <c r="D718" s="31"/>
      <c r="G718" s="32"/>
      <c r="H718" s="32"/>
      <c r="I718" s="32"/>
      <c r="K718" s="33"/>
    </row>
    <row r="719" spans="3:11">
      <c r="C719" s="31"/>
      <c r="D719" s="31"/>
      <c r="G719" s="32"/>
      <c r="H719" s="32"/>
      <c r="I719" s="32"/>
      <c r="K719" s="33"/>
    </row>
    <row r="720" spans="3:11">
      <c r="C720" s="31"/>
      <c r="D720" s="31"/>
      <c r="G720" s="32"/>
      <c r="H720" s="32"/>
      <c r="I720" s="32"/>
      <c r="K720" s="33"/>
    </row>
    <row r="721" spans="3:11">
      <c r="C721" s="31"/>
      <c r="D721" s="31"/>
      <c r="G721" s="32"/>
      <c r="H721" s="32"/>
      <c r="I721" s="32"/>
      <c r="K721" s="33"/>
    </row>
    <row r="722" spans="3:11">
      <c r="C722" s="31"/>
      <c r="D722" s="31"/>
      <c r="G722" s="32"/>
      <c r="H722" s="32"/>
      <c r="I722" s="32"/>
      <c r="K722" s="33"/>
    </row>
    <row r="723" spans="3:11">
      <c r="C723" s="31"/>
      <c r="D723" s="31"/>
      <c r="G723" s="32"/>
      <c r="H723" s="32"/>
      <c r="I723" s="32"/>
      <c r="K723" s="33"/>
    </row>
    <row r="724" spans="3:11">
      <c r="C724" s="31"/>
      <c r="D724" s="31"/>
      <c r="G724" s="32"/>
      <c r="H724" s="32"/>
      <c r="I724" s="32"/>
      <c r="K724" s="33"/>
    </row>
    <row r="725" spans="3:11">
      <c r="C725" s="31"/>
      <c r="D725" s="31"/>
      <c r="G725" s="32"/>
      <c r="H725" s="32"/>
      <c r="I725" s="32"/>
      <c r="K725" s="33"/>
    </row>
    <row r="726" spans="3:11">
      <c r="C726" s="31"/>
      <c r="D726" s="31"/>
      <c r="G726" s="32"/>
      <c r="H726" s="32"/>
      <c r="I726" s="32"/>
      <c r="K726" s="33"/>
    </row>
    <row r="727" spans="3:11">
      <c r="C727" s="31"/>
      <c r="D727" s="31"/>
      <c r="G727" s="32"/>
      <c r="H727" s="32"/>
      <c r="I727" s="32"/>
      <c r="K727" s="33"/>
    </row>
    <row r="728" spans="3:11">
      <c r="C728" s="31"/>
      <c r="D728" s="31"/>
      <c r="G728" s="32"/>
      <c r="H728" s="32"/>
      <c r="I728" s="32"/>
      <c r="K728" s="33"/>
    </row>
    <row r="729" spans="3:11">
      <c r="C729" s="31"/>
      <c r="D729" s="31"/>
      <c r="G729" s="32"/>
      <c r="H729" s="32"/>
      <c r="I729" s="32"/>
      <c r="K729" s="33"/>
    </row>
    <row r="730" spans="3:11">
      <c r="C730" s="31"/>
      <c r="D730" s="31"/>
      <c r="G730" s="32"/>
      <c r="H730" s="32"/>
      <c r="I730" s="32"/>
      <c r="K730" s="33"/>
    </row>
    <row r="731" spans="3:11">
      <c r="C731" s="31"/>
      <c r="D731" s="31"/>
      <c r="G731" s="32"/>
      <c r="H731" s="32"/>
      <c r="I731" s="32"/>
      <c r="K731" s="33"/>
    </row>
    <row r="732" spans="3:11">
      <c r="C732" s="31"/>
      <c r="D732" s="31"/>
      <c r="G732" s="32"/>
      <c r="H732" s="32"/>
      <c r="I732" s="32"/>
      <c r="K732" s="33"/>
    </row>
    <row r="733" spans="3:11">
      <c r="C733" s="31"/>
      <c r="D733" s="31"/>
      <c r="G733" s="32"/>
      <c r="H733" s="32"/>
      <c r="I733" s="32"/>
      <c r="K733" s="33"/>
    </row>
    <row r="734" spans="3:11">
      <c r="C734" s="31"/>
      <c r="D734" s="31"/>
      <c r="G734" s="32"/>
      <c r="H734" s="32"/>
      <c r="I734" s="32"/>
      <c r="K734" s="33"/>
    </row>
    <row r="735" spans="3:11">
      <c r="C735" s="31"/>
      <c r="D735" s="31"/>
      <c r="G735" s="32"/>
      <c r="H735" s="32"/>
      <c r="I735" s="32"/>
      <c r="K735" s="33"/>
    </row>
    <row r="736" spans="3:11">
      <c r="C736" s="31"/>
      <c r="D736" s="31"/>
      <c r="G736" s="32"/>
      <c r="H736" s="32"/>
      <c r="I736" s="32"/>
      <c r="K736" s="33"/>
    </row>
    <row r="737" spans="3:11">
      <c r="C737" s="31"/>
      <c r="D737" s="31"/>
      <c r="G737" s="32"/>
      <c r="H737" s="32"/>
      <c r="I737" s="32"/>
      <c r="K737" s="33"/>
    </row>
    <row r="738" spans="3:11">
      <c r="C738" s="31"/>
      <c r="D738" s="31"/>
      <c r="G738" s="32"/>
      <c r="H738" s="32"/>
      <c r="I738" s="32"/>
      <c r="K738" s="33"/>
    </row>
    <row r="739" spans="3:11">
      <c r="C739" s="31"/>
      <c r="D739" s="31"/>
      <c r="G739" s="32"/>
      <c r="H739" s="32"/>
      <c r="I739" s="32"/>
      <c r="K739" s="33"/>
    </row>
    <row r="740" spans="3:11">
      <c r="C740" s="31"/>
      <c r="D740" s="31"/>
      <c r="G740" s="32"/>
      <c r="H740" s="32"/>
      <c r="I740" s="32"/>
      <c r="K740" s="33"/>
    </row>
    <row r="741" spans="3:11">
      <c r="C741" s="31"/>
      <c r="D741" s="31"/>
      <c r="G741" s="32"/>
      <c r="H741" s="32"/>
      <c r="I741" s="32"/>
      <c r="K741" s="33"/>
    </row>
    <row r="742" spans="3:11">
      <c r="C742" s="31"/>
      <c r="D742" s="31"/>
      <c r="G742" s="32"/>
      <c r="H742" s="32"/>
      <c r="I742" s="32"/>
      <c r="K742" s="33"/>
    </row>
    <row r="743" spans="3:11">
      <c r="C743" s="31"/>
      <c r="D743" s="31"/>
      <c r="G743" s="32"/>
      <c r="H743" s="32"/>
      <c r="I743" s="32"/>
      <c r="K743" s="33"/>
    </row>
    <row r="744" spans="3:11">
      <c r="C744" s="31"/>
      <c r="D744" s="31"/>
      <c r="G744" s="32"/>
      <c r="H744" s="32"/>
      <c r="I744" s="32"/>
      <c r="K744" s="33"/>
    </row>
    <row r="745" spans="3:11">
      <c r="C745" s="31"/>
      <c r="D745" s="31"/>
      <c r="G745" s="32"/>
      <c r="H745" s="32"/>
      <c r="I745" s="32"/>
      <c r="K745" s="33"/>
    </row>
    <row r="746" spans="3:11">
      <c r="C746" s="31"/>
      <c r="D746" s="31"/>
      <c r="G746" s="32"/>
      <c r="H746" s="32"/>
      <c r="I746" s="32"/>
      <c r="K746" s="33"/>
    </row>
    <row r="747" spans="3:11">
      <c r="C747" s="31"/>
      <c r="D747" s="31"/>
      <c r="G747" s="32"/>
      <c r="H747" s="32"/>
      <c r="I747" s="32"/>
      <c r="K747" s="33"/>
    </row>
    <row r="748" spans="3:11">
      <c r="C748" s="31"/>
      <c r="D748" s="31"/>
      <c r="G748" s="32"/>
      <c r="H748" s="32"/>
      <c r="I748" s="32"/>
      <c r="K748" s="33"/>
    </row>
    <row r="749" spans="3:11">
      <c r="C749" s="31"/>
      <c r="D749" s="31"/>
      <c r="G749" s="32"/>
      <c r="H749" s="32"/>
      <c r="I749" s="32"/>
      <c r="K749" s="33"/>
    </row>
    <row r="750" spans="3:11">
      <c r="C750" s="31"/>
      <c r="D750" s="31"/>
      <c r="G750" s="32"/>
      <c r="H750" s="32"/>
      <c r="I750" s="32"/>
      <c r="K750" s="33"/>
    </row>
    <row r="751" spans="3:11">
      <c r="C751" s="31"/>
      <c r="D751" s="31"/>
      <c r="G751" s="32"/>
      <c r="H751" s="32"/>
      <c r="I751" s="32"/>
      <c r="K751" s="33"/>
    </row>
    <row r="752" spans="3:11">
      <c r="C752" s="31"/>
      <c r="D752" s="31"/>
      <c r="G752" s="32"/>
      <c r="H752" s="32"/>
      <c r="I752" s="32"/>
      <c r="K752" s="33"/>
    </row>
    <row r="753" spans="3:11">
      <c r="C753" s="31"/>
      <c r="D753" s="31"/>
      <c r="G753" s="32"/>
      <c r="H753" s="32"/>
      <c r="I753" s="32"/>
      <c r="K753" s="33"/>
    </row>
    <row r="754" spans="3:11">
      <c r="C754" s="31"/>
      <c r="D754" s="31"/>
      <c r="G754" s="32"/>
      <c r="H754" s="32"/>
      <c r="I754" s="32"/>
      <c r="K754" s="33"/>
    </row>
    <row r="755" spans="3:11">
      <c r="C755" s="31"/>
      <c r="D755" s="31"/>
      <c r="G755" s="32"/>
      <c r="H755" s="32"/>
      <c r="I755" s="32"/>
      <c r="K755" s="33"/>
    </row>
    <row r="756" spans="3:11">
      <c r="C756" s="31"/>
      <c r="D756" s="31"/>
      <c r="G756" s="32"/>
      <c r="H756" s="32"/>
      <c r="I756" s="32"/>
      <c r="K756" s="33"/>
    </row>
    <row r="757" spans="3:11">
      <c r="C757" s="31"/>
      <c r="D757" s="31"/>
      <c r="G757" s="32"/>
      <c r="H757" s="32"/>
      <c r="I757" s="32"/>
      <c r="K757" s="33"/>
    </row>
    <row r="758" spans="3:11">
      <c r="C758" s="31"/>
      <c r="D758" s="31"/>
      <c r="G758" s="32"/>
      <c r="H758" s="32"/>
      <c r="I758" s="32"/>
      <c r="K758" s="33"/>
    </row>
    <row r="759" spans="3:11">
      <c r="C759" s="31"/>
      <c r="D759" s="31"/>
      <c r="G759" s="32"/>
      <c r="H759" s="32"/>
      <c r="I759" s="32"/>
      <c r="K759" s="33"/>
    </row>
    <row r="760" spans="3:11">
      <c r="C760" s="31"/>
      <c r="D760" s="31"/>
      <c r="G760" s="32"/>
      <c r="H760" s="32"/>
      <c r="I760" s="32"/>
      <c r="K760" s="33"/>
    </row>
    <row r="761" spans="3:11">
      <c r="C761" s="31"/>
      <c r="D761" s="31"/>
      <c r="G761" s="32"/>
      <c r="H761" s="32"/>
      <c r="I761" s="32"/>
      <c r="K761" s="33"/>
    </row>
    <row r="762" spans="3:11">
      <c r="C762" s="31"/>
      <c r="D762" s="31"/>
      <c r="G762" s="32"/>
      <c r="H762" s="32"/>
      <c r="I762" s="32"/>
      <c r="K762" s="33"/>
    </row>
    <row r="763" spans="3:11">
      <c r="C763" s="31"/>
      <c r="D763" s="31"/>
      <c r="G763" s="32"/>
      <c r="H763" s="32"/>
      <c r="I763" s="32"/>
      <c r="K763" s="33"/>
    </row>
    <row r="764" spans="3:11">
      <c r="C764" s="31"/>
      <c r="D764" s="31"/>
      <c r="G764" s="32"/>
      <c r="H764" s="32"/>
      <c r="I764" s="32"/>
      <c r="K764" s="33"/>
    </row>
    <row r="765" spans="3:11">
      <c r="C765" s="31"/>
      <c r="D765" s="31"/>
      <c r="G765" s="32"/>
      <c r="H765" s="32"/>
      <c r="I765" s="32"/>
      <c r="K765" s="33"/>
    </row>
    <row r="766" spans="3:11">
      <c r="C766" s="31"/>
      <c r="D766" s="31"/>
      <c r="G766" s="32"/>
      <c r="H766" s="32"/>
      <c r="I766" s="32"/>
      <c r="K766" s="33"/>
    </row>
    <row r="767" spans="3:11">
      <c r="C767" s="31"/>
      <c r="D767" s="31"/>
      <c r="G767" s="32"/>
      <c r="H767" s="32"/>
      <c r="I767" s="32"/>
      <c r="K767" s="33"/>
    </row>
    <row r="768" spans="3:11">
      <c r="C768" s="31"/>
      <c r="D768" s="31"/>
      <c r="G768" s="32"/>
      <c r="H768" s="32"/>
      <c r="I768" s="32"/>
      <c r="K768" s="33"/>
    </row>
    <row r="769" spans="3:11">
      <c r="C769" s="31"/>
      <c r="D769" s="31"/>
      <c r="G769" s="32"/>
      <c r="H769" s="32"/>
      <c r="I769" s="32"/>
      <c r="K769" s="33"/>
    </row>
    <row r="770" spans="3:11">
      <c r="C770" s="31"/>
      <c r="D770" s="31"/>
      <c r="G770" s="32"/>
      <c r="H770" s="32"/>
      <c r="I770" s="32"/>
      <c r="K770" s="33"/>
    </row>
    <row r="771" spans="3:11">
      <c r="C771" s="31"/>
      <c r="D771" s="31"/>
      <c r="G771" s="32"/>
      <c r="H771" s="32"/>
      <c r="I771" s="32"/>
      <c r="K771" s="33"/>
    </row>
    <row r="772" spans="3:11">
      <c r="C772" s="31"/>
      <c r="D772" s="31"/>
      <c r="G772" s="32"/>
      <c r="H772" s="32"/>
      <c r="I772" s="32"/>
      <c r="K772" s="33"/>
    </row>
    <row r="773" spans="3:11">
      <c r="C773" s="31"/>
      <c r="D773" s="31"/>
      <c r="G773" s="32"/>
      <c r="H773" s="32"/>
      <c r="I773" s="32"/>
      <c r="K773" s="33"/>
    </row>
    <row r="774" spans="3:11">
      <c r="C774" s="31"/>
      <c r="D774" s="31"/>
      <c r="G774" s="32"/>
      <c r="H774" s="32"/>
      <c r="I774" s="32"/>
      <c r="K774" s="33"/>
    </row>
    <row r="775" spans="3:11">
      <c r="C775" s="31"/>
      <c r="D775" s="31"/>
      <c r="G775" s="32"/>
      <c r="H775" s="32"/>
      <c r="I775" s="32"/>
      <c r="K775" s="33"/>
    </row>
    <row r="776" spans="3:11">
      <c r="C776" s="31"/>
      <c r="D776" s="31"/>
      <c r="G776" s="32"/>
      <c r="H776" s="32"/>
      <c r="I776" s="32"/>
      <c r="K776" s="33"/>
    </row>
    <row r="777" spans="3:11">
      <c r="C777" s="31"/>
      <c r="D777" s="31"/>
      <c r="G777" s="32"/>
      <c r="H777" s="32"/>
      <c r="I777" s="32"/>
      <c r="K777" s="33"/>
    </row>
    <row r="778" spans="3:11">
      <c r="C778" s="31"/>
      <c r="D778" s="31"/>
      <c r="G778" s="32"/>
      <c r="H778" s="32"/>
      <c r="I778" s="32"/>
      <c r="K778" s="33"/>
    </row>
    <row r="779" spans="3:11">
      <c r="C779" s="31"/>
      <c r="D779" s="31"/>
      <c r="G779" s="32"/>
      <c r="H779" s="32"/>
      <c r="I779" s="32"/>
      <c r="K779" s="33"/>
    </row>
    <row r="780" spans="3:11">
      <c r="C780" s="31"/>
      <c r="D780" s="31"/>
      <c r="G780" s="32"/>
      <c r="H780" s="32"/>
      <c r="I780" s="32"/>
      <c r="K780" s="33"/>
    </row>
    <row r="781" spans="3:11">
      <c r="C781" s="31"/>
      <c r="D781" s="31"/>
      <c r="G781" s="32"/>
      <c r="H781" s="32"/>
      <c r="I781" s="32"/>
      <c r="K781" s="33"/>
    </row>
    <row r="782" spans="3:11">
      <c r="C782" s="31"/>
      <c r="D782" s="31"/>
      <c r="G782" s="32"/>
      <c r="H782" s="32"/>
      <c r="I782" s="32"/>
      <c r="K782" s="33"/>
    </row>
    <row r="783" spans="3:11">
      <c r="C783" s="31"/>
      <c r="D783" s="31"/>
      <c r="G783" s="32"/>
      <c r="H783" s="32"/>
      <c r="I783" s="32"/>
      <c r="K783" s="33"/>
    </row>
    <row r="784" spans="3:11">
      <c r="C784" s="31"/>
      <c r="D784" s="31"/>
      <c r="G784" s="32"/>
      <c r="H784" s="32"/>
      <c r="I784" s="32"/>
      <c r="K784" s="33"/>
    </row>
    <row r="785" spans="3:11">
      <c r="C785" s="31"/>
      <c r="D785" s="31"/>
      <c r="G785" s="32"/>
      <c r="H785" s="32"/>
      <c r="I785" s="32"/>
      <c r="K785" s="33"/>
    </row>
    <row r="786" spans="3:11">
      <c r="C786" s="31"/>
      <c r="D786" s="31"/>
      <c r="G786" s="32"/>
      <c r="H786" s="32"/>
      <c r="I786" s="32"/>
      <c r="K786" s="33"/>
    </row>
    <row r="787" spans="3:11">
      <c r="C787" s="31"/>
      <c r="D787" s="31"/>
      <c r="G787" s="32"/>
      <c r="H787" s="32"/>
      <c r="I787" s="32"/>
      <c r="K787" s="33"/>
    </row>
    <row r="788" spans="3:11">
      <c r="C788" s="31"/>
      <c r="D788" s="31"/>
      <c r="G788" s="32"/>
      <c r="H788" s="32"/>
      <c r="I788" s="32"/>
      <c r="K788" s="33"/>
    </row>
    <row r="789" spans="3:11">
      <c r="C789" s="31"/>
      <c r="D789" s="31"/>
      <c r="G789" s="32"/>
      <c r="H789" s="32"/>
      <c r="I789" s="32"/>
      <c r="K789" s="33"/>
    </row>
    <row r="790" spans="3:11">
      <c r="C790" s="31"/>
      <c r="D790" s="31"/>
      <c r="G790" s="32"/>
      <c r="H790" s="32"/>
      <c r="I790" s="32"/>
      <c r="K790" s="33"/>
    </row>
    <row r="791" spans="3:11">
      <c r="G791" s="32"/>
      <c r="H791" s="32"/>
      <c r="I791" s="32"/>
      <c r="K791" s="33"/>
    </row>
    <row r="792" spans="3:11">
      <c r="G792" s="32"/>
      <c r="H792" s="32"/>
      <c r="I792" s="32"/>
      <c r="K792" s="33"/>
    </row>
    <row r="793" spans="3:11">
      <c r="G793" s="32"/>
      <c r="H793" s="32"/>
      <c r="I793" s="32"/>
    </row>
    <row r="794" spans="3:11">
      <c r="G794" s="32"/>
      <c r="H794" s="32"/>
      <c r="I794" s="32"/>
    </row>
    <row r="795" spans="3:11">
      <c r="G795" s="32"/>
      <c r="H795" s="32"/>
      <c r="I795" s="32"/>
    </row>
    <row r="796" spans="3:11">
      <c r="G796" s="32"/>
      <c r="H796" s="32"/>
      <c r="I796" s="32"/>
    </row>
    <row r="797" spans="3:11">
      <c r="G797" s="32"/>
      <c r="H797" s="32"/>
      <c r="I797" s="32"/>
    </row>
    <row r="798" spans="3:11">
      <c r="G798" s="32"/>
      <c r="H798" s="32"/>
      <c r="I798" s="32"/>
    </row>
    <row r="799" spans="3:11">
      <c r="G799" s="32"/>
      <c r="H799" s="32"/>
      <c r="I799" s="32"/>
    </row>
    <row r="800" spans="3:11">
      <c r="G800" s="32"/>
      <c r="H800" s="32"/>
      <c r="I800" s="32"/>
    </row>
  </sheetData>
  <sortState ref="B2:E813">
    <sortCondition ref="B2:B813" descending="1"/>
  </sortState>
  <mergeCells count="190">
    <mergeCell ref="C3:D3"/>
    <mergeCell ref="E3:F3"/>
    <mergeCell ref="G3:J3"/>
    <mergeCell ref="C10:D10"/>
    <mergeCell ref="E10:F10"/>
    <mergeCell ref="G10:J10"/>
    <mergeCell ref="C14:D14"/>
    <mergeCell ref="E14:F14"/>
    <mergeCell ref="G14:J14"/>
    <mergeCell ref="C18:D18"/>
    <mergeCell ref="E18:F18"/>
    <mergeCell ref="G18:J18"/>
    <mergeCell ref="C28:D28"/>
    <mergeCell ref="E28:F28"/>
    <mergeCell ref="G28:J28"/>
    <mergeCell ref="C39:D39"/>
    <mergeCell ref="E39:F39"/>
    <mergeCell ref="G39:J39"/>
    <mergeCell ref="C65:D65"/>
    <mergeCell ref="E65:F65"/>
    <mergeCell ref="G65:J65"/>
    <mergeCell ref="C86:D86"/>
    <mergeCell ref="E86:F86"/>
    <mergeCell ref="G86:J86"/>
    <mergeCell ref="C95:D95"/>
    <mergeCell ref="E95:F95"/>
    <mergeCell ref="G95:J95"/>
    <mergeCell ref="C105:D105"/>
    <mergeCell ref="E105:F105"/>
    <mergeCell ref="G105:J105"/>
    <mergeCell ref="C120:D120"/>
    <mergeCell ref="E120:F120"/>
    <mergeCell ref="G120:J120"/>
    <mergeCell ref="C134:D134"/>
    <mergeCell ref="E134:F134"/>
    <mergeCell ref="G134:J134"/>
    <mergeCell ref="C142:D142"/>
    <mergeCell ref="E142:F142"/>
    <mergeCell ref="G142:J142"/>
    <mergeCell ref="C155:D155"/>
    <mergeCell ref="E155:F155"/>
    <mergeCell ref="G155:J155"/>
    <mergeCell ref="C169:D169"/>
    <mergeCell ref="E169:F169"/>
    <mergeCell ref="G169:J169"/>
    <mergeCell ref="C179:D179"/>
    <mergeCell ref="E179:F179"/>
    <mergeCell ref="G179:J179"/>
    <mergeCell ref="C187:D187"/>
    <mergeCell ref="E187:F187"/>
    <mergeCell ref="G187:J187"/>
    <mergeCell ref="C198:D198"/>
    <mergeCell ref="E198:F198"/>
    <mergeCell ref="G198:J198"/>
    <mergeCell ref="C216:D216"/>
    <mergeCell ref="E216:F216"/>
    <mergeCell ref="G216:J216"/>
    <mergeCell ref="C235:D235"/>
    <mergeCell ref="E235:F235"/>
    <mergeCell ref="G235:J235"/>
    <mergeCell ref="C251:D251"/>
    <mergeCell ref="E251:F251"/>
    <mergeCell ref="G251:J251"/>
    <mergeCell ref="C269:D269"/>
    <mergeCell ref="E269:F269"/>
    <mergeCell ref="G269:J269"/>
    <mergeCell ref="C288:D288"/>
    <mergeCell ref="E288:F288"/>
    <mergeCell ref="G288:J288"/>
    <mergeCell ref="C301:D301"/>
    <mergeCell ref="E301:F301"/>
    <mergeCell ref="G301:J301"/>
    <mergeCell ref="C317:D317"/>
    <mergeCell ref="E317:F317"/>
    <mergeCell ref="G317:J317"/>
    <mergeCell ref="C336:D336"/>
    <mergeCell ref="E336:F336"/>
    <mergeCell ref="G336:J336"/>
    <mergeCell ref="C354:D354"/>
    <mergeCell ref="E354:F354"/>
    <mergeCell ref="G354:J354"/>
    <mergeCell ref="C369:D369"/>
    <mergeCell ref="E369:F369"/>
    <mergeCell ref="G369:J369"/>
    <mergeCell ref="C378:D378"/>
    <mergeCell ref="E378:F378"/>
    <mergeCell ref="G378:J378"/>
    <mergeCell ref="C391:D391"/>
    <mergeCell ref="E391:F391"/>
    <mergeCell ref="G391:J391"/>
    <mergeCell ref="C403:D403"/>
    <mergeCell ref="E403:F403"/>
    <mergeCell ref="G403:J403"/>
    <mergeCell ref="C417:D417"/>
    <mergeCell ref="E417:F417"/>
    <mergeCell ref="G417:J417"/>
    <mergeCell ref="C430:D430"/>
    <mergeCell ref="E430:F430"/>
    <mergeCell ref="G430:J430"/>
    <mergeCell ref="C449:D449"/>
    <mergeCell ref="E449:F449"/>
    <mergeCell ref="G449:J449"/>
    <mergeCell ref="C462:D462"/>
    <mergeCell ref="E462:F462"/>
    <mergeCell ref="G462:J462"/>
    <mergeCell ref="C474:D474"/>
    <mergeCell ref="E474:F474"/>
    <mergeCell ref="G474:J474"/>
    <mergeCell ref="C487:D487"/>
    <mergeCell ref="E487:F487"/>
    <mergeCell ref="G487:J487"/>
    <mergeCell ref="C493:D493"/>
    <mergeCell ref="E493:F493"/>
    <mergeCell ref="G493:J493"/>
    <mergeCell ref="B3:B4"/>
    <mergeCell ref="B10:B11"/>
    <mergeCell ref="B14:B15"/>
    <mergeCell ref="B18:B19"/>
    <mergeCell ref="B28:B29"/>
    <mergeCell ref="B39:B40"/>
    <mergeCell ref="B65:B66"/>
    <mergeCell ref="B86:B87"/>
    <mergeCell ref="B95:B96"/>
    <mergeCell ref="B105:B106"/>
    <mergeCell ref="B120:B121"/>
    <mergeCell ref="B134:B135"/>
    <mergeCell ref="B142:B143"/>
    <mergeCell ref="B155:B156"/>
    <mergeCell ref="B169:B170"/>
    <mergeCell ref="B179:B180"/>
    <mergeCell ref="B187:B188"/>
    <mergeCell ref="B198:B199"/>
    <mergeCell ref="B216:B217"/>
    <mergeCell ref="B235:B236"/>
    <mergeCell ref="B251:B252"/>
    <mergeCell ref="B269:B270"/>
    <mergeCell ref="B288:B289"/>
    <mergeCell ref="B301:B302"/>
    <mergeCell ref="B317:B318"/>
    <mergeCell ref="B336:B337"/>
    <mergeCell ref="B354:B355"/>
    <mergeCell ref="B369:B370"/>
    <mergeCell ref="B378:B379"/>
    <mergeCell ref="B391:B392"/>
    <mergeCell ref="B403:B404"/>
    <mergeCell ref="B417:B418"/>
    <mergeCell ref="B430:B431"/>
    <mergeCell ref="B449:B450"/>
    <mergeCell ref="B462:B463"/>
    <mergeCell ref="B474:B475"/>
    <mergeCell ref="B487:B488"/>
    <mergeCell ref="B493:B494"/>
    <mergeCell ref="K3:K4"/>
    <mergeCell ref="K10:K11"/>
    <mergeCell ref="K14:K15"/>
    <mergeCell ref="K18:K19"/>
    <mergeCell ref="K28:K29"/>
    <mergeCell ref="K39:K40"/>
    <mergeCell ref="K65:K66"/>
    <mergeCell ref="K86:K87"/>
    <mergeCell ref="K95:K96"/>
    <mergeCell ref="K105:K106"/>
    <mergeCell ref="K120:K121"/>
    <mergeCell ref="K134:K135"/>
    <mergeCell ref="K142:K143"/>
    <mergeCell ref="K155:K156"/>
    <mergeCell ref="K169:K170"/>
    <mergeCell ref="K179:K180"/>
    <mergeCell ref="K187:K188"/>
    <mergeCell ref="K198:K199"/>
    <mergeCell ref="K216:K217"/>
    <mergeCell ref="K235:K236"/>
    <mergeCell ref="K251:K252"/>
    <mergeCell ref="K269:K270"/>
    <mergeCell ref="K288:K289"/>
    <mergeCell ref="K301:K302"/>
    <mergeCell ref="K317:K318"/>
    <mergeCell ref="K336:K337"/>
    <mergeCell ref="K354:K355"/>
    <mergeCell ref="K369:K370"/>
    <mergeCell ref="K378:K379"/>
    <mergeCell ref="K391:K392"/>
    <mergeCell ref="K403:K404"/>
    <mergeCell ref="K417:K418"/>
    <mergeCell ref="K430:K431"/>
    <mergeCell ref="K449:K450"/>
    <mergeCell ref="K462:K463"/>
    <mergeCell ref="K474:K475"/>
    <mergeCell ref="K487:K488"/>
    <mergeCell ref="K493:K494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2:X804"/>
  <sheetViews>
    <sheetView workbookViewId="0">
      <selection activeCell="T2" sqref="P2:P11 T2:U11"/>
    </sheetView>
  </sheetViews>
  <sheetFormatPr defaultColWidth="9" defaultRowHeight="13.8"/>
  <cols>
    <col min="1" max="10" width="9" style="1"/>
    <col min="11" max="12" width="12.7777777777778" style="1" customWidth="1"/>
    <col min="13" max="17" width="9" style="1"/>
    <col min="18" max="19" width="11.4444444444444" style="1" customWidth="1"/>
    <col min="20" max="21" width="10.3333333333333" style="1" customWidth="1"/>
    <col min="22" max="22" width="12.8888888888889" style="1" customWidth="1"/>
    <col min="23" max="23" width="9" style="1"/>
    <col min="24" max="24" width="11.4444444444444" style="1" customWidth="1"/>
    <col min="25" max="16384" width="9" style="1"/>
  </cols>
  <sheetData>
    <row r="2" spans="2:24">
      <c r="B2" s="1" t="s">
        <v>895</v>
      </c>
      <c r="C2" s="1" t="s">
        <v>896</v>
      </c>
      <c r="D2" s="1" t="s">
        <v>897</v>
      </c>
      <c r="E2" s="1" t="s">
        <v>898</v>
      </c>
      <c r="K2" s="1">
        <v>437990.2047</v>
      </c>
      <c r="L2" s="1">
        <v>3399778.1403</v>
      </c>
      <c r="O2" s="1" t="s">
        <v>7</v>
      </c>
      <c r="P2" s="1" t="s">
        <v>899</v>
      </c>
      <c r="Q2" s="1" t="s">
        <v>900</v>
      </c>
      <c r="R2" s="1" t="s">
        <v>901</v>
      </c>
      <c r="S2" s="1" t="s">
        <v>902</v>
      </c>
      <c r="T2" s="1" t="s">
        <v>903</v>
      </c>
      <c r="U2" s="1" t="s">
        <v>904</v>
      </c>
      <c r="V2" s="1" t="s">
        <v>905</v>
      </c>
      <c r="W2" s="1" t="s">
        <v>906</v>
      </c>
      <c r="X2" s="1" t="s">
        <v>907</v>
      </c>
    </row>
    <row r="3" ht="16.2" spans="2:24">
      <c r="B3" s="1" t="s">
        <v>908</v>
      </c>
      <c r="C3" s="1" t="s">
        <v>909</v>
      </c>
      <c r="D3" s="1" t="s">
        <v>910</v>
      </c>
      <c r="E3" s="1" t="s">
        <v>911</v>
      </c>
      <c r="K3" s="1">
        <v>438004.2888</v>
      </c>
      <c r="L3" s="1">
        <v>3399744.8331</v>
      </c>
      <c r="Q3" s="1" t="s">
        <v>912</v>
      </c>
      <c r="R3" s="29" t="s">
        <v>913</v>
      </c>
      <c r="S3" s="29" t="s">
        <v>913</v>
      </c>
      <c r="T3" s="1" t="s">
        <v>914</v>
      </c>
      <c r="U3" s="1" t="s">
        <v>914</v>
      </c>
      <c r="V3" s="1" t="s">
        <v>914</v>
      </c>
      <c r="W3" s="1" t="s">
        <v>914</v>
      </c>
      <c r="X3" s="1" t="s">
        <v>914</v>
      </c>
    </row>
    <row r="4" spans="2:24">
      <c r="B4" s="1" t="s">
        <v>915</v>
      </c>
      <c r="C4" s="1" t="s">
        <v>916</v>
      </c>
      <c r="D4" s="1" t="s">
        <v>917</v>
      </c>
      <c r="E4" s="1" t="s">
        <v>918</v>
      </c>
      <c r="K4" s="1">
        <v>438016.9796</v>
      </c>
      <c r="L4" s="1">
        <v>3399714.8206</v>
      </c>
      <c r="O4" s="1" t="s">
        <v>919</v>
      </c>
      <c r="P4" s="1" t="s">
        <v>920</v>
      </c>
      <c r="Q4" s="1">
        <v>6000</v>
      </c>
      <c r="R4" s="6">
        <v>38</v>
      </c>
      <c r="S4" s="1" t="s">
        <v>886</v>
      </c>
      <c r="T4" s="6">
        <v>6.9</v>
      </c>
      <c r="U4" s="6">
        <v>5.5</v>
      </c>
      <c r="V4" s="30">
        <v>3.96915249940159</v>
      </c>
      <c r="W4" s="6">
        <v>0.6</v>
      </c>
      <c r="X4" s="6">
        <v>0.4</v>
      </c>
    </row>
    <row r="5" spans="2:24">
      <c r="B5" s="1" t="s">
        <v>921</v>
      </c>
      <c r="C5" s="1" t="s">
        <v>922</v>
      </c>
      <c r="D5" s="1" t="s">
        <v>923</v>
      </c>
      <c r="E5" s="1" t="s">
        <v>924</v>
      </c>
      <c r="K5" s="1">
        <v>438870.4108</v>
      </c>
      <c r="L5" s="1">
        <v>3399511.727</v>
      </c>
      <c r="P5" s="1" t="s">
        <v>925</v>
      </c>
      <c r="Q5" s="1">
        <v>6000</v>
      </c>
      <c r="R5" s="6">
        <v>31.9</v>
      </c>
      <c r="S5" s="1" t="s">
        <v>886</v>
      </c>
      <c r="T5" s="6">
        <v>5.6</v>
      </c>
      <c r="U5" s="6">
        <v>5.95</v>
      </c>
      <c r="V5" s="30">
        <v>4.33485518088286</v>
      </c>
      <c r="W5" s="6">
        <v>0.5</v>
      </c>
      <c r="X5" s="6">
        <v>0.35</v>
      </c>
    </row>
    <row r="6" spans="2:24">
      <c r="B6" s="1" t="s">
        <v>926</v>
      </c>
      <c r="C6" s="1" t="s">
        <v>927</v>
      </c>
      <c r="D6" s="1" t="s">
        <v>928</v>
      </c>
      <c r="E6" s="1" t="s">
        <v>929</v>
      </c>
      <c r="K6" s="1">
        <v>439771.8093</v>
      </c>
      <c r="L6" s="1">
        <v>3399241.8116</v>
      </c>
      <c r="P6" s="1" t="s">
        <v>930</v>
      </c>
      <c r="Q6" s="1">
        <v>6000</v>
      </c>
      <c r="R6" s="6">
        <v>27.6</v>
      </c>
      <c r="S6" s="1" t="s">
        <v>886</v>
      </c>
      <c r="T6" s="6">
        <v>5.4</v>
      </c>
      <c r="U6" s="6">
        <v>5.6</v>
      </c>
      <c r="V6" s="30">
        <v>4.02502487494912</v>
      </c>
      <c r="W6" s="6">
        <v>0.5</v>
      </c>
      <c r="X6" s="6">
        <v>0.35</v>
      </c>
    </row>
    <row r="7" spans="2:24">
      <c r="B7" s="1" t="s">
        <v>931</v>
      </c>
      <c r="C7" s="1" t="s">
        <v>932</v>
      </c>
      <c r="D7" s="1" t="s">
        <v>933</v>
      </c>
      <c r="E7" s="1" t="s">
        <v>934</v>
      </c>
      <c r="K7" s="1">
        <v>446605.0642</v>
      </c>
      <c r="L7" s="1">
        <v>3398474.8603</v>
      </c>
      <c r="P7" s="1" t="s">
        <v>935</v>
      </c>
      <c r="Q7" s="1">
        <v>6000</v>
      </c>
      <c r="R7" s="6">
        <v>26.8</v>
      </c>
      <c r="S7" s="1" t="s">
        <v>886</v>
      </c>
      <c r="T7" s="6">
        <v>5.4</v>
      </c>
      <c r="U7" s="6">
        <v>5.45</v>
      </c>
      <c r="V7" s="30">
        <v>3.93284030974248</v>
      </c>
      <c r="W7" s="6">
        <v>0.5</v>
      </c>
      <c r="X7" s="6">
        <v>0.35</v>
      </c>
    </row>
    <row r="8" spans="2:24">
      <c r="B8" s="1" t="s">
        <v>936</v>
      </c>
      <c r="C8" s="1" t="s">
        <v>937</v>
      </c>
      <c r="D8" s="1" t="s">
        <v>938</v>
      </c>
      <c r="E8" s="1" t="s">
        <v>939</v>
      </c>
      <c r="K8" s="1">
        <v>448883.2453</v>
      </c>
      <c r="L8" s="1">
        <v>3397089.3703</v>
      </c>
      <c r="P8" s="1" t="s">
        <v>940</v>
      </c>
      <c r="Q8" s="1">
        <v>6000</v>
      </c>
      <c r="R8" s="6">
        <v>26.1</v>
      </c>
      <c r="S8" s="1" t="s">
        <v>886</v>
      </c>
      <c r="T8" s="6">
        <v>5.3</v>
      </c>
      <c r="U8" s="6">
        <v>5.45</v>
      </c>
      <c r="V8" s="30">
        <v>3.93173492350584</v>
      </c>
      <c r="W8" s="6">
        <v>0.5</v>
      </c>
      <c r="X8" s="6">
        <v>0.35</v>
      </c>
    </row>
    <row r="9" spans="2:24">
      <c r="B9" s="1" t="s">
        <v>941</v>
      </c>
      <c r="C9" s="1" t="s">
        <v>942</v>
      </c>
      <c r="D9" s="1" t="s">
        <v>943</v>
      </c>
      <c r="E9" s="1" t="s">
        <v>944</v>
      </c>
      <c r="K9" s="1">
        <v>448941.969</v>
      </c>
      <c r="L9" s="1">
        <v>3396964.6625</v>
      </c>
      <c r="P9" s="1" t="s">
        <v>945</v>
      </c>
      <c r="Q9" s="1">
        <v>6000</v>
      </c>
      <c r="R9" s="6">
        <v>23.3</v>
      </c>
      <c r="S9" s="1" t="s">
        <v>886</v>
      </c>
      <c r="T9" s="6">
        <v>5.1</v>
      </c>
      <c r="U9" s="6">
        <v>5.2</v>
      </c>
      <c r="V9" s="30">
        <v>3.751000402512</v>
      </c>
      <c r="W9" s="6">
        <v>0.5</v>
      </c>
      <c r="X9" s="6">
        <v>0.35</v>
      </c>
    </row>
    <row r="10" spans="2:24">
      <c r="B10" s="1" t="s">
        <v>946</v>
      </c>
      <c r="C10" s="1" t="s">
        <v>947</v>
      </c>
      <c r="D10" s="1" t="s">
        <v>948</v>
      </c>
      <c r="E10" s="1" t="s">
        <v>949</v>
      </c>
      <c r="K10" s="1">
        <v>448952.1282</v>
      </c>
      <c r="L10" s="1">
        <v>3396943.088</v>
      </c>
      <c r="P10" s="1" t="s">
        <v>950</v>
      </c>
      <c r="Q10" s="1">
        <v>6000</v>
      </c>
      <c r="R10" s="6">
        <v>14.3</v>
      </c>
      <c r="S10" s="1" t="s">
        <v>886</v>
      </c>
      <c r="T10" s="6">
        <v>4.8</v>
      </c>
      <c r="U10" s="6">
        <v>4</v>
      </c>
      <c r="V10" s="30">
        <v>2.74104190524853</v>
      </c>
      <c r="W10" s="6">
        <v>0.4</v>
      </c>
      <c r="X10" s="6">
        <v>0.3</v>
      </c>
    </row>
    <row r="11" spans="2:24">
      <c r="B11" s="1" t="s">
        <v>951</v>
      </c>
      <c r="C11" s="1" t="s">
        <v>952</v>
      </c>
      <c r="D11" s="1" t="s">
        <v>953</v>
      </c>
      <c r="E11" s="1" t="s">
        <v>954</v>
      </c>
      <c r="K11" s="1">
        <v>448963.9261</v>
      </c>
      <c r="L11" s="1">
        <v>3396918.0335</v>
      </c>
      <c r="P11" s="1" t="s">
        <v>955</v>
      </c>
      <c r="Q11" s="1">
        <v>6000</v>
      </c>
      <c r="R11" s="6">
        <v>12.7</v>
      </c>
      <c r="S11" s="1" t="s">
        <v>886</v>
      </c>
      <c r="T11" s="6">
        <v>4.5</v>
      </c>
      <c r="U11" s="6">
        <v>4.85</v>
      </c>
      <c r="V11" s="30">
        <v>2.67698573779517</v>
      </c>
      <c r="W11" s="6">
        <v>0.4</v>
      </c>
      <c r="X11" s="6">
        <v>0.3</v>
      </c>
    </row>
    <row r="12" spans="2:24">
      <c r="B12" s="1" t="s">
        <v>956</v>
      </c>
      <c r="C12" s="1" t="s">
        <v>957</v>
      </c>
      <c r="D12" s="1" t="s">
        <v>958</v>
      </c>
      <c r="E12" s="1" t="s">
        <v>959</v>
      </c>
      <c r="K12" s="1">
        <v>449017.1788</v>
      </c>
      <c r="L12" s="1">
        <v>3396804.9442</v>
      </c>
    </row>
    <row r="13" spans="2:24">
      <c r="B13" s="1" t="s">
        <v>960</v>
      </c>
      <c r="C13" s="1" t="s">
        <v>961</v>
      </c>
      <c r="D13" s="1" t="s">
        <v>962</v>
      </c>
      <c r="E13" s="1" t="s">
        <v>963</v>
      </c>
      <c r="K13" s="1">
        <v>449027.6145</v>
      </c>
      <c r="L13" s="1">
        <v>3396782.7825</v>
      </c>
    </row>
    <row r="14" spans="2:24">
      <c r="B14" s="1" t="s">
        <v>964</v>
      </c>
      <c r="C14" s="1" t="s">
        <v>965</v>
      </c>
      <c r="D14" s="1" t="s">
        <v>966</v>
      </c>
      <c r="E14" s="1" t="s">
        <v>967</v>
      </c>
      <c r="K14" s="1">
        <v>449155.0898</v>
      </c>
      <c r="L14" s="1">
        <v>3396512.0717</v>
      </c>
    </row>
    <row r="15" spans="2:24">
      <c r="B15" s="1" t="s">
        <v>968</v>
      </c>
      <c r="C15" s="1" t="s">
        <v>969</v>
      </c>
      <c r="D15" s="1" t="s">
        <v>970</v>
      </c>
      <c r="E15" s="1" t="s">
        <v>971</v>
      </c>
      <c r="K15" s="1">
        <v>451577.1078</v>
      </c>
      <c r="L15" s="1">
        <v>3395076.3759</v>
      </c>
    </row>
    <row r="16" spans="2:24">
      <c r="B16" s="1" t="s">
        <v>972</v>
      </c>
      <c r="C16" s="1" t="s">
        <v>973</v>
      </c>
      <c r="D16" s="1" t="s">
        <v>974</v>
      </c>
      <c r="E16" s="1" t="s">
        <v>975</v>
      </c>
      <c r="K16" s="1">
        <v>451855.8872</v>
      </c>
      <c r="L16" s="1">
        <v>3395056.2758</v>
      </c>
    </row>
    <row r="17" spans="2:12">
      <c r="B17" s="1" t="s">
        <v>976</v>
      </c>
      <c r="C17" s="1" t="s">
        <v>977</v>
      </c>
      <c r="D17" s="1" t="s">
        <v>978</v>
      </c>
      <c r="E17" s="1" t="s">
        <v>979</v>
      </c>
      <c r="K17" s="1">
        <v>451870.866</v>
      </c>
      <c r="L17" s="1">
        <v>3395055.1959</v>
      </c>
    </row>
    <row r="18" spans="2:12">
      <c r="B18" s="1" t="s">
        <v>980</v>
      </c>
      <c r="C18" s="1" t="s">
        <v>981</v>
      </c>
      <c r="D18" s="1" t="s">
        <v>982</v>
      </c>
      <c r="E18" s="1" t="s">
        <v>983</v>
      </c>
      <c r="K18" s="1">
        <v>452045.4181</v>
      </c>
      <c r="L18" s="1">
        <v>3395042.6105</v>
      </c>
    </row>
    <row r="19" spans="2:12">
      <c r="B19" s="1" t="s">
        <v>984</v>
      </c>
      <c r="C19" s="1" t="s">
        <v>985</v>
      </c>
      <c r="D19" s="1" t="s">
        <v>986</v>
      </c>
      <c r="E19" s="1" t="s">
        <v>987</v>
      </c>
      <c r="K19" s="1">
        <v>452091.5816</v>
      </c>
      <c r="L19" s="1">
        <v>3395039.2822</v>
      </c>
    </row>
    <row r="20" spans="2:12">
      <c r="B20" s="1" t="s">
        <v>988</v>
      </c>
      <c r="C20" s="1" t="s">
        <v>989</v>
      </c>
      <c r="D20" s="1" t="s">
        <v>990</v>
      </c>
      <c r="E20" s="1" t="s">
        <v>991</v>
      </c>
      <c r="K20" s="1">
        <v>452210.2102</v>
      </c>
      <c r="L20" s="1">
        <v>3395030.729</v>
      </c>
    </row>
    <row r="21" spans="2:12">
      <c r="B21" s="1" t="s">
        <v>992</v>
      </c>
      <c r="C21" s="1" t="s">
        <v>993</v>
      </c>
      <c r="D21" s="1" t="s">
        <v>994</v>
      </c>
      <c r="E21" s="1" t="s">
        <v>995</v>
      </c>
      <c r="K21" s="1">
        <v>452332.7543</v>
      </c>
      <c r="L21" s="1">
        <v>3394912.4389</v>
      </c>
    </row>
    <row r="22" spans="2:12">
      <c r="B22" s="1" t="s">
        <v>996</v>
      </c>
      <c r="C22" s="1" t="s">
        <v>997</v>
      </c>
      <c r="D22" s="1" t="s">
        <v>998</v>
      </c>
      <c r="E22" s="1" t="s">
        <v>999</v>
      </c>
      <c r="K22" s="1">
        <v>452346.8878</v>
      </c>
      <c r="L22" s="1">
        <v>3394898.796</v>
      </c>
    </row>
    <row r="23" spans="2:12">
      <c r="B23" s="1" t="s">
        <v>1000</v>
      </c>
      <c r="C23" s="1" t="s">
        <v>1001</v>
      </c>
      <c r="D23" s="1" t="s">
        <v>1002</v>
      </c>
      <c r="E23" s="1" t="s">
        <v>1003</v>
      </c>
      <c r="K23" s="1">
        <v>452469.2017</v>
      </c>
      <c r="L23" s="1">
        <v>3394780.728</v>
      </c>
    </row>
    <row r="24" spans="2:12">
      <c r="B24" s="1" t="s">
        <v>1004</v>
      </c>
      <c r="C24" s="1" t="s">
        <v>1005</v>
      </c>
      <c r="D24" s="1" t="s">
        <v>1006</v>
      </c>
      <c r="E24" s="1" t="s">
        <v>1007</v>
      </c>
      <c r="K24" s="1">
        <v>452479.3029</v>
      </c>
      <c r="L24" s="1">
        <v>3394770.9774</v>
      </c>
    </row>
    <row r="25" spans="2:12">
      <c r="B25" s="1" t="s">
        <v>1008</v>
      </c>
      <c r="C25" s="1" t="s">
        <v>1009</v>
      </c>
      <c r="D25" s="1" t="s">
        <v>1010</v>
      </c>
      <c r="E25" s="1" t="s">
        <v>1011</v>
      </c>
      <c r="K25" s="1">
        <v>452645.3297</v>
      </c>
      <c r="L25" s="1">
        <v>3394610.7139</v>
      </c>
    </row>
    <row r="26" spans="2:12">
      <c r="B26" s="1" t="s">
        <v>1012</v>
      </c>
      <c r="C26" s="1" t="s">
        <v>1013</v>
      </c>
      <c r="D26" s="1" t="s">
        <v>1014</v>
      </c>
      <c r="E26" s="1" t="s">
        <v>1015</v>
      </c>
      <c r="K26" s="1">
        <v>452653.8154</v>
      </c>
      <c r="L26" s="1">
        <v>3394591.3818</v>
      </c>
    </row>
    <row r="27" spans="2:12">
      <c r="B27" s="1" t="s">
        <v>1016</v>
      </c>
      <c r="C27" s="1" t="s">
        <v>1017</v>
      </c>
      <c r="D27" s="1" t="s">
        <v>1018</v>
      </c>
      <c r="E27" s="1" t="s">
        <v>1019</v>
      </c>
      <c r="K27" s="1">
        <v>452659.067</v>
      </c>
      <c r="L27" s="1">
        <v>3394579.4175</v>
      </c>
    </row>
    <row r="28" spans="2:12">
      <c r="B28" s="1" t="s">
        <v>1020</v>
      </c>
      <c r="C28" s="1" t="s">
        <v>1021</v>
      </c>
      <c r="D28" s="1" t="s">
        <v>1022</v>
      </c>
      <c r="E28" s="1" t="s">
        <v>1023</v>
      </c>
      <c r="K28" s="1">
        <v>452687.3033</v>
      </c>
      <c r="L28" s="1">
        <v>3394515.0897</v>
      </c>
    </row>
    <row r="29" spans="2:12">
      <c r="B29" s="1" t="s">
        <v>1024</v>
      </c>
      <c r="C29" s="1" t="s">
        <v>1025</v>
      </c>
      <c r="D29" s="1" t="s">
        <v>1026</v>
      </c>
      <c r="E29" s="1" t="s">
        <v>1027</v>
      </c>
      <c r="K29" s="1">
        <v>452692.7894</v>
      </c>
      <c r="L29" s="1">
        <v>3394502.5913</v>
      </c>
    </row>
    <row r="30" spans="2:12">
      <c r="B30" s="1" t="s">
        <v>1028</v>
      </c>
      <c r="C30" s="1" t="s">
        <v>1029</v>
      </c>
      <c r="D30" s="1" t="s">
        <v>1030</v>
      </c>
      <c r="E30" s="1" t="s">
        <v>1031</v>
      </c>
      <c r="K30" s="1">
        <v>452700.5564</v>
      </c>
      <c r="L30" s="1">
        <v>3394484.8965</v>
      </c>
    </row>
    <row r="31" spans="2:12">
      <c r="B31" s="1" t="s">
        <v>1032</v>
      </c>
      <c r="C31" s="1" t="s">
        <v>1033</v>
      </c>
      <c r="D31" s="1" t="s">
        <v>1034</v>
      </c>
      <c r="E31" s="1" t="s">
        <v>1035</v>
      </c>
      <c r="K31" s="1">
        <v>452684.0253</v>
      </c>
      <c r="L31" s="1">
        <v>3394384.524</v>
      </c>
    </row>
    <row r="32" spans="2:12">
      <c r="B32" s="1" t="s">
        <v>1036</v>
      </c>
      <c r="C32" s="1" t="s">
        <v>1037</v>
      </c>
      <c r="D32" s="1" t="s">
        <v>1038</v>
      </c>
      <c r="E32" s="1" t="s">
        <v>1039</v>
      </c>
      <c r="K32" s="1">
        <v>452682.255</v>
      </c>
      <c r="L32" s="1">
        <v>3394373.7756</v>
      </c>
    </row>
    <row r="33" spans="2:12">
      <c r="B33" s="1" t="s">
        <v>1040</v>
      </c>
      <c r="C33" s="1" t="s">
        <v>1041</v>
      </c>
      <c r="D33" s="1" t="s">
        <v>1042</v>
      </c>
      <c r="E33" s="1" t="s">
        <v>1043</v>
      </c>
      <c r="K33" s="1">
        <v>452662.8585</v>
      </c>
      <c r="L33" s="1">
        <v>3394256.0049</v>
      </c>
    </row>
    <row r="34" spans="2:12">
      <c r="B34" s="1" t="s">
        <v>1044</v>
      </c>
      <c r="C34" s="1" t="s">
        <v>1045</v>
      </c>
      <c r="D34" s="1" t="s">
        <v>1046</v>
      </c>
      <c r="E34" s="1" t="s">
        <v>1047</v>
      </c>
      <c r="K34" s="1">
        <v>452660.1965</v>
      </c>
      <c r="L34" s="1">
        <v>3394239.8424</v>
      </c>
    </row>
    <row r="35" spans="2:12">
      <c r="B35" s="1" t="s">
        <v>1048</v>
      </c>
      <c r="C35" s="1" t="s">
        <v>1049</v>
      </c>
      <c r="D35" s="1" t="s">
        <v>1050</v>
      </c>
      <c r="E35" s="1" t="s">
        <v>1051</v>
      </c>
      <c r="K35" s="1">
        <v>452644.5835</v>
      </c>
      <c r="L35" s="1">
        <v>3394218.2844</v>
      </c>
    </row>
    <row r="36" spans="2:12">
      <c r="B36" s="1" t="s">
        <v>1052</v>
      </c>
      <c r="C36" s="1" t="s">
        <v>1053</v>
      </c>
      <c r="D36" s="1" t="s">
        <v>1054</v>
      </c>
      <c r="E36" s="1" t="s">
        <v>1055</v>
      </c>
      <c r="K36" s="1">
        <v>452574.9386</v>
      </c>
      <c r="L36" s="1">
        <v>3394122.1207</v>
      </c>
    </row>
    <row r="37" spans="2:12">
      <c r="B37" s="1" t="s">
        <v>1056</v>
      </c>
      <c r="C37" s="1" t="s">
        <v>1057</v>
      </c>
      <c r="D37" s="1" t="s">
        <v>1058</v>
      </c>
      <c r="E37" s="1" t="s">
        <v>1059</v>
      </c>
      <c r="K37" s="1">
        <v>452521.3433</v>
      </c>
      <c r="L37" s="1">
        <v>3394011.6776</v>
      </c>
    </row>
    <row r="38" spans="2:12">
      <c r="B38" s="1" t="s">
        <v>1060</v>
      </c>
      <c r="C38" s="1" t="s">
        <v>1061</v>
      </c>
      <c r="D38" s="1" t="s">
        <v>1062</v>
      </c>
      <c r="E38" s="1" t="s">
        <v>1063</v>
      </c>
      <c r="K38" s="1">
        <v>452549.1184</v>
      </c>
      <c r="L38" s="1">
        <v>3393894.6456</v>
      </c>
    </row>
    <row r="39" spans="2:12">
      <c r="B39" s="1" t="s">
        <v>1064</v>
      </c>
      <c r="C39" s="1" t="s">
        <v>1065</v>
      </c>
      <c r="D39" s="1" t="s">
        <v>1066</v>
      </c>
      <c r="E39" s="1" t="s">
        <v>1067</v>
      </c>
      <c r="K39" s="1">
        <v>452546.4904</v>
      </c>
      <c r="L39" s="1">
        <v>3393754.681</v>
      </c>
    </row>
    <row r="40" spans="2:12">
      <c r="B40" s="1" t="s">
        <v>1068</v>
      </c>
      <c r="C40" s="1" t="s">
        <v>1069</v>
      </c>
      <c r="D40" s="1" t="s">
        <v>1070</v>
      </c>
      <c r="E40" s="1" t="s">
        <v>1071</v>
      </c>
      <c r="K40" s="1">
        <v>452555.6035</v>
      </c>
      <c r="L40" s="1">
        <v>3393674.357</v>
      </c>
    </row>
    <row r="41" spans="2:12">
      <c r="B41" s="1" t="s">
        <v>1072</v>
      </c>
      <c r="C41" s="1" t="s">
        <v>1073</v>
      </c>
      <c r="D41" s="1" t="s">
        <v>1074</v>
      </c>
      <c r="E41" s="1" t="s">
        <v>1075</v>
      </c>
      <c r="K41" s="1">
        <v>452633.5115</v>
      </c>
      <c r="L41" s="1">
        <v>3393625.7569</v>
      </c>
    </row>
    <row r="42" spans="2:12">
      <c r="B42" s="1" t="s">
        <v>1076</v>
      </c>
      <c r="C42" s="1" t="s">
        <v>1077</v>
      </c>
      <c r="D42" s="1" t="s">
        <v>1078</v>
      </c>
      <c r="E42" s="1" t="s">
        <v>1079</v>
      </c>
      <c r="K42" s="1">
        <v>452632.9603</v>
      </c>
      <c r="L42" s="1">
        <v>3393553.5985</v>
      </c>
    </row>
    <row r="43" spans="2:12">
      <c r="B43" s="1" t="s">
        <v>1080</v>
      </c>
      <c r="C43" s="1" t="s">
        <v>1081</v>
      </c>
      <c r="D43" s="1" t="s">
        <v>1082</v>
      </c>
      <c r="E43" s="1" t="s">
        <v>1083</v>
      </c>
      <c r="K43" s="1">
        <v>452632.8464</v>
      </c>
      <c r="L43" s="1">
        <v>3393538.6819</v>
      </c>
    </row>
    <row r="44" spans="2:12">
      <c r="B44" s="1" t="s">
        <v>1084</v>
      </c>
      <c r="C44" s="1" t="s">
        <v>1085</v>
      </c>
      <c r="D44" s="1" t="s">
        <v>1086</v>
      </c>
      <c r="E44" s="1" t="s">
        <v>1087</v>
      </c>
      <c r="K44" s="1">
        <v>452632.422</v>
      </c>
      <c r="L44" s="1">
        <v>3393483.1367</v>
      </c>
    </row>
    <row r="45" spans="2:12">
      <c r="B45" s="1" t="s">
        <v>1088</v>
      </c>
      <c r="C45" s="1" t="s">
        <v>1089</v>
      </c>
      <c r="D45" s="1" t="s">
        <v>1090</v>
      </c>
      <c r="E45" s="1" t="s">
        <v>1091</v>
      </c>
      <c r="K45" s="1">
        <v>452640.5047</v>
      </c>
      <c r="L45" s="1">
        <v>3393470.1765</v>
      </c>
    </row>
    <row r="46" spans="2:12">
      <c r="B46" s="1" t="s">
        <v>1092</v>
      </c>
      <c r="C46" s="1" t="s">
        <v>1093</v>
      </c>
      <c r="D46" s="1" t="s">
        <v>1094</v>
      </c>
      <c r="E46" s="1" t="s">
        <v>1095</v>
      </c>
      <c r="K46" s="1">
        <v>452665.3101</v>
      </c>
      <c r="L46" s="1">
        <v>3393430.4022</v>
      </c>
    </row>
    <row r="47" spans="2:12">
      <c r="B47" s="1" t="s">
        <v>1096</v>
      </c>
      <c r="C47" s="1" t="s">
        <v>1097</v>
      </c>
      <c r="D47" s="1" t="s">
        <v>1098</v>
      </c>
      <c r="E47" s="1" t="s">
        <v>1099</v>
      </c>
      <c r="K47" s="1">
        <v>452672.0851</v>
      </c>
      <c r="L47" s="1">
        <v>3393365.6235</v>
      </c>
    </row>
    <row r="48" spans="2:12">
      <c r="B48" s="1" t="s">
        <v>1100</v>
      </c>
      <c r="C48" s="1" t="s">
        <v>1101</v>
      </c>
      <c r="D48" s="1" t="s">
        <v>1102</v>
      </c>
      <c r="E48" s="1" t="s">
        <v>1103</v>
      </c>
      <c r="K48" s="1">
        <v>452679.6681</v>
      </c>
      <c r="L48" s="1">
        <v>3393352.5262</v>
      </c>
    </row>
    <row r="49" spans="2:12">
      <c r="B49" s="1" t="s">
        <v>1104</v>
      </c>
      <c r="C49" s="1" t="s">
        <v>1105</v>
      </c>
      <c r="D49" s="1" t="s">
        <v>1106</v>
      </c>
      <c r="E49" s="1" t="s">
        <v>1107</v>
      </c>
      <c r="K49" s="1">
        <v>452740.0001</v>
      </c>
      <c r="L49" s="1">
        <v>3393248.3212</v>
      </c>
    </row>
    <row r="50" spans="2:12">
      <c r="B50" s="1" t="s">
        <v>1108</v>
      </c>
      <c r="C50" s="1" t="s">
        <v>1109</v>
      </c>
      <c r="D50" s="1" t="s">
        <v>1110</v>
      </c>
      <c r="E50" s="1" t="s">
        <v>1111</v>
      </c>
      <c r="K50" s="1">
        <v>452750.4215</v>
      </c>
      <c r="L50" s="1">
        <v>3393230.3213</v>
      </c>
    </row>
    <row r="51" spans="2:12">
      <c r="B51" s="1" t="s">
        <v>1112</v>
      </c>
      <c r="C51" s="1" t="s">
        <v>1113</v>
      </c>
      <c r="D51" s="1" t="s">
        <v>1114</v>
      </c>
      <c r="E51" s="1" t="s">
        <v>1115</v>
      </c>
      <c r="K51" s="1">
        <v>452865.7405</v>
      </c>
      <c r="L51" s="1">
        <v>3393206.2313</v>
      </c>
    </row>
    <row r="52" spans="2:12">
      <c r="B52" s="1" t="s">
        <v>1116</v>
      </c>
      <c r="C52" s="1" t="s">
        <v>1117</v>
      </c>
      <c r="D52" s="1" t="s">
        <v>1118</v>
      </c>
      <c r="E52" s="1" t="s">
        <v>1119</v>
      </c>
      <c r="K52" s="1">
        <v>452904.5113</v>
      </c>
      <c r="L52" s="1">
        <v>3393138.7046</v>
      </c>
    </row>
    <row r="53" spans="2:12">
      <c r="B53" s="1" t="s">
        <v>1120</v>
      </c>
      <c r="C53" s="1" t="s">
        <v>1121</v>
      </c>
      <c r="D53" s="1" t="s">
        <v>1122</v>
      </c>
      <c r="E53" s="1" t="s">
        <v>1123</v>
      </c>
      <c r="K53" s="1">
        <v>452922.8022</v>
      </c>
      <c r="L53" s="1">
        <v>3393106.8476</v>
      </c>
    </row>
    <row r="54" spans="2:12">
      <c r="B54" s="1" t="s">
        <v>1124</v>
      </c>
      <c r="C54" s="1" t="s">
        <v>1125</v>
      </c>
      <c r="D54" s="1" t="s">
        <v>1126</v>
      </c>
      <c r="E54" s="1" t="s">
        <v>1127</v>
      </c>
      <c r="K54" s="1">
        <v>452891.9637</v>
      </c>
      <c r="L54" s="1">
        <v>3393029.3385</v>
      </c>
    </row>
    <row r="55" spans="2:12">
      <c r="B55" s="1" t="s">
        <v>1128</v>
      </c>
      <c r="C55" s="1" t="s">
        <v>1129</v>
      </c>
      <c r="D55" s="1" t="s">
        <v>1130</v>
      </c>
      <c r="E55" s="1" t="s">
        <v>1131</v>
      </c>
      <c r="K55" s="1">
        <v>452871.8398</v>
      </c>
      <c r="L55" s="1">
        <v>3392978.7594</v>
      </c>
    </row>
    <row r="56" spans="2:12">
      <c r="B56" s="1" t="s">
        <v>1132</v>
      </c>
      <c r="C56" s="1" t="s">
        <v>1133</v>
      </c>
      <c r="D56" s="1" t="s">
        <v>1134</v>
      </c>
      <c r="E56" s="1" t="s">
        <v>1135</v>
      </c>
      <c r="K56" s="1">
        <v>452900.8982</v>
      </c>
      <c r="L56" s="1">
        <v>3392851.4753</v>
      </c>
    </row>
    <row r="57" spans="2:12">
      <c r="B57" s="1" t="s">
        <v>1136</v>
      </c>
      <c r="C57" s="1" t="s">
        <v>1137</v>
      </c>
      <c r="D57" s="1" t="s">
        <v>1138</v>
      </c>
      <c r="E57" s="1" t="s">
        <v>1139</v>
      </c>
      <c r="K57" s="1">
        <v>452955.8249</v>
      </c>
      <c r="L57" s="1">
        <v>3392810.5601</v>
      </c>
    </row>
    <row r="58" spans="2:12">
      <c r="B58" s="1" t="s">
        <v>1140</v>
      </c>
      <c r="C58" s="1" t="s">
        <v>1141</v>
      </c>
      <c r="D58" s="1" t="s">
        <v>1142</v>
      </c>
      <c r="E58" s="1" t="s">
        <v>1143</v>
      </c>
      <c r="K58" s="1">
        <v>452967.8393</v>
      </c>
      <c r="L58" s="1">
        <v>3392729.8052</v>
      </c>
    </row>
    <row r="59" spans="2:12">
      <c r="B59" s="1" t="s">
        <v>1144</v>
      </c>
      <c r="C59" s="1" t="s">
        <v>1145</v>
      </c>
      <c r="D59" s="1" t="s">
        <v>1146</v>
      </c>
      <c r="E59" s="1" t="s">
        <v>1147</v>
      </c>
      <c r="K59" s="1">
        <v>453079.7429</v>
      </c>
      <c r="L59" s="1">
        <v>3392657.6115</v>
      </c>
    </row>
    <row r="60" spans="2:12">
      <c r="B60" s="1" t="s">
        <v>1148</v>
      </c>
      <c r="C60" s="1" t="s">
        <v>1149</v>
      </c>
      <c r="D60" s="1" t="s">
        <v>1150</v>
      </c>
      <c r="E60" s="1" t="s">
        <v>1151</v>
      </c>
      <c r="K60" s="1">
        <v>453282.0086</v>
      </c>
      <c r="L60" s="1">
        <v>3392527.1214</v>
      </c>
    </row>
    <row r="61" spans="2:12">
      <c r="B61" s="1" t="s">
        <v>1152</v>
      </c>
      <c r="C61" s="1" t="s">
        <v>1153</v>
      </c>
      <c r="D61" s="1" t="s">
        <v>1154</v>
      </c>
      <c r="E61" s="1" t="s">
        <v>1155</v>
      </c>
      <c r="K61" s="1">
        <v>453293.3141</v>
      </c>
      <c r="L61" s="1">
        <v>3392519.8278</v>
      </c>
    </row>
    <row r="62" spans="2:12">
      <c r="B62" s="1" t="s">
        <v>1156</v>
      </c>
      <c r="C62" s="1" t="s">
        <v>1157</v>
      </c>
      <c r="D62" s="1" t="s">
        <v>1158</v>
      </c>
      <c r="E62" s="1" t="s">
        <v>1159</v>
      </c>
      <c r="K62" s="1">
        <v>453406.423</v>
      </c>
      <c r="L62" s="1">
        <v>3392500.0149</v>
      </c>
    </row>
    <row r="63" spans="2:12">
      <c r="B63" s="1" t="s">
        <v>1160</v>
      </c>
      <c r="C63" s="1" t="s">
        <v>1161</v>
      </c>
      <c r="D63" s="1" t="s">
        <v>1162</v>
      </c>
      <c r="E63" s="1" t="s">
        <v>1163</v>
      </c>
      <c r="K63" s="1">
        <v>453455.9112</v>
      </c>
      <c r="L63" s="1">
        <v>3392340.3717</v>
      </c>
    </row>
    <row r="64" spans="2:12">
      <c r="B64" s="1" t="s">
        <v>1164</v>
      </c>
      <c r="C64" s="1" t="s">
        <v>1165</v>
      </c>
      <c r="D64" s="1" t="s">
        <v>1166</v>
      </c>
      <c r="E64" s="1" t="s">
        <v>1167</v>
      </c>
      <c r="K64" s="1">
        <v>453564.0533</v>
      </c>
      <c r="L64" s="1">
        <v>3392311.1476</v>
      </c>
    </row>
    <row r="65" spans="2:12">
      <c r="B65" s="1" t="s">
        <v>1168</v>
      </c>
      <c r="C65" s="1" t="s">
        <v>1169</v>
      </c>
      <c r="D65" s="1" t="s">
        <v>1170</v>
      </c>
      <c r="E65" s="1" t="s">
        <v>1171</v>
      </c>
      <c r="K65" s="1">
        <v>453584.7811</v>
      </c>
      <c r="L65" s="1">
        <v>3392291.2298</v>
      </c>
    </row>
    <row r="66" spans="2:12">
      <c r="B66" s="1" t="s">
        <v>1172</v>
      </c>
      <c r="C66" s="1" t="s">
        <v>1173</v>
      </c>
      <c r="D66" s="1" t="s">
        <v>1174</v>
      </c>
      <c r="E66" s="1" t="s">
        <v>1175</v>
      </c>
      <c r="K66" s="1">
        <v>453690.0395</v>
      </c>
      <c r="L66" s="1">
        <v>3392190.0841</v>
      </c>
    </row>
    <row r="67" spans="2:12">
      <c r="B67" s="1" t="s">
        <v>1176</v>
      </c>
      <c r="C67" s="1" t="s">
        <v>1177</v>
      </c>
      <c r="D67" s="1" t="s">
        <v>1178</v>
      </c>
      <c r="E67" s="1" t="s">
        <v>1179</v>
      </c>
      <c r="K67" s="1">
        <v>453919.1821</v>
      </c>
      <c r="L67" s="1">
        <v>3392211.7643</v>
      </c>
    </row>
    <row r="68" spans="2:12">
      <c r="B68" s="1" t="s">
        <v>1180</v>
      </c>
      <c r="C68" s="1" t="s">
        <v>1181</v>
      </c>
      <c r="D68" s="1" t="s">
        <v>1182</v>
      </c>
      <c r="E68" s="1" t="s">
        <v>1183</v>
      </c>
      <c r="K68" s="1">
        <v>454680.7167</v>
      </c>
      <c r="L68" s="1">
        <v>3391697.2134</v>
      </c>
    </row>
    <row r="69" spans="2:12">
      <c r="B69" s="1" t="s">
        <v>1184</v>
      </c>
      <c r="C69" s="1" t="s">
        <v>1185</v>
      </c>
      <c r="D69" s="1" t="s">
        <v>1186</v>
      </c>
      <c r="E69" s="1" t="s">
        <v>1187</v>
      </c>
      <c r="K69" s="1">
        <v>455323.8452</v>
      </c>
      <c r="L69" s="1">
        <v>3391458.0205</v>
      </c>
    </row>
    <row r="70" spans="2:12">
      <c r="B70" s="1" t="s">
        <v>1188</v>
      </c>
      <c r="C70" s="1" t="s">
        <v>1189</v>
      </c>
      <c r="D70" s="1" t="s">
        <v>1190</v>
      </c>
      <c r="E70" s="1" t="s">
        <v>1191</v>
      </c>
      <c r="K70" s="1">
        <v>455357.5071</v>
      </c>
      <c r="L70" s="1">
        <v>3391327.9196</v>
      </c>
    </row>
    <row r="71" spans="2:12">
      <c r="B71" s="1" t="s">
        <v>1192</v>
      </c>
      <c r="C71" s="1" t="s">
        <v>1193</v>
      </c>
      <c r="D71" s="1" t="s">
        <v>1194</v>
      </c>
      <c r="E71" s="1" t="s">
        <v>1195</v>
      </c>
      <c r="K71" s="1">
        <v>455428.4972</v>
      </c>
      <c r="L71" s="1">
        <v>3391244.5485</v>
      </c>
    </row>
    <row r="72" spans="2:12">
      <c r="B72" s="1" t="s">
        <v>1196</v>
      </c>
      <c r="C72" s="1" t="s">
        <v>1197</v>
      </c>
      <c r="D72" s="1" t="s">
        <v>1198</v>
      </c>
      <c r="E72" s="1" t="s">
        <v>1199</v>
      </c>
      <c r="K72" s="1">
        <v>455557.972</v>
      </c>
      <c r="L72" s="1">
        <v>3391168.2421</v>
      </c>
    </row>
    <row r="73" spans="2:12">
      <c r="B73" s="1" t="s">
        <v>1200</v>
      </c>
      <c r="C73" s="1" t="s">
        <v>1201</v>
      </c>
      <c r="D73" s="1" t="s">
        <v>1202</v>
      </c>
      <c r="E73" s="1" t="s">
        <v>1203</v>
      </c>
      <c r="K73" s="1">
        <v>455565.152</v>
      </c>
      <c r="L73" s="1">
        <v>3391161.6881</v>
      </c>
    </row>
    <row r="74" spans="2:12">
      <c r="B74" s="1" t="s">
        <v>1204</v>
      </c>
      <c r="C74" s="1" t="s">
        <v>1205</v>
      </c>
      <c r="D74" s="1" t="s">
        <v>1206</v>
      </c>
      <c r="E74" s="1" t="s">
        <v>1207</v>
      </c>
      <c r="K74" s="1">
        <v>455589.9069</v>
      </c>
      <c r="L74" s="1">
        <v>3391139.0913</v>
      </c>
    </row>
    <row r="75" spans="2:12">
      <c r="B75" s="1" t="s">
        <v>1208</v>
      </c>
      <c r="C75" s="1" t="s">
        <v>1209</v>
      </c>
      <c r="D75" s="1" t="s">
        <v>1210</v>
      </c>
      <c r="E75" s="1" t="s">
        <v>1211</v>
      </c>
      <c r="K75" s="1">
        <v>455619.132</v>
      </c>
      <c r="L75" s="1">
        <v>3391112.414</v>
      </c>
    </row>
    <row r="76" spans="2:12">
      <c r="B76" s="1" t="s">
        <v>1212</v>
      </c>
      <c r="C76" s="1" t="s">
        <v>1213</v>
      </c>
      <c r="D76" s="1" t="s">
        <v>1214</v>
      </c>
      <c r="E76" s="1" t="s">
        <v>1215</v>
      </c>
      <c r="K76" s="1">
        <v>455660.571</v>
      </c>
      <c r="L76" s="1">
        <v>3391074.5876</v>
      </c>
    </row>
    <row r="77" spans="2:12">
      <c r="B77" s="1" t="s">
        <v>1216</v>
      </c>
      <c r="C77" s="1" t="s">
        <v>1217</v>
      </c>
      <c r="D77" s="1" t="s">
        <v>1218</v>
      </c>
      <c r="E77" s="1" t="s">
        <v>1219</v>
      </c>
      <c r="K77" s="1">
        <v>455743.1634</v>
      </c>
      <c r="L77" s="1">
        <v>3390869.0748</v>
      </c>
    </row>
    <row r="78" spans="2:12">
      <c r="B78" s="1" t="s">
        <v>1220</v>
      </c>
      <c r="C78" s="1" t="s">
        <v>1221</v>
      </c>
      <c r="D78" s="1" t="s">
        <v>1222</v>
      </c>
      <c r="E78" s="1" t="s">
        <v>1223</v>
      </c>
      <c r="K78" s="1">
        <v>456407.9626</v>
      </c>
      <c r="L78" s="1">
        <v>3390625.9498</v>
      </c>
    </row>
    <row r="79" spans="2:12">
      <c r="B79" s="1" t="s">
        <v>1224</v>
      </c>
      <c r="C79" s="1" t="s">
        <v>1225</v>
      </c>
      <c r="D79" s="1" t="s">
        <v>1226</v>
      </c>
      <c r="E79" s="1" t="s">
        <v>1227</v>
      </c>
      <c r="K79" s="1">
        <v>456638.225</v>
      </c>
      <c r="L79" s="1">
        <v>3390401.2871</v>
      </c>
    </row>
    <row r="80" spans="2:12">
      <c r="B80" s="1" t="s">
        <v>1228</v>
      </c>
      <c r="C80" s="1" t="s">
        <v>1229</v>
      </c>
      <c r="D80" s="1" t="s">
        <v>1230</v>
      </c>
      <c r="E80" s="1" t="s">
        <v>1231</v>
      </c>
      <c r="K80" s="1">
        <v>456773.1372</v>
      </c>
      <c r="L80" s="1">
        <v>3390348.4419</v>
      </c>
    </row>
    <row r="81" spans="2:12">
      <c r="B81" s="1" t="s">
        <v>1232</v>
      </c>
      <c r="C81" s="1" t="s">
        <v>1233</v>
      </c>
      <c r="D81" s="1" t="s">
        <v>1234</v>
      </c>
      <c r="E81" s="1" t="s">
        <v>1235</v>
      </c>
      <c r="K81" s="1">
        <v>457019.6671</v>
      </c>
      <c r="L81" s="1">
        <v>3390170.7684</v>
      </c>
    </row>
    <row r="82" spans="2:12">
      <c r="B82" s="1" t="s">
        <v>1236</v>
      </c>
      <c r="C82" s="1" t="s">
        <v>1237</v>
      </c>
      <c r="D82" s="1" t="s">
        <v>1238</v>
      </c>
      <c r="E82" s="1" t="s">
        <v>1239</v>
      </c>
      <c r="K82" s="1">
        <v>457051.1221</v>
      </c>
      <c r="L82" s="1">
        <v>3390023.4491</v>
      </c>
    </row>
    <row r="83" spans="2:12">
      <c r="B83" s="1" t="s">
        <v>1240</v>
      </c>
      <c r="C83" s="1" t="s">
        <v>1241</v>
      </c>
      <c r="D83" s="1" t="s">
        <v>1242</v>
      </c>
      <c r="E83" s="1" t="s">
        <v>1243</v>
      </c>
      <c r="K83" s="1">
        <v>457422.3435</v>
      </c>
      <c r="L83" s="1">
        <v>3389753.1397</v>
      </c>
    </row>
    <row r="84" spans="2:12">
      <c r="B84" s="1" t="s">
        <v>1244</v>
      </c>
      <c r="C84" s="1" t="s">
        <v>1245</v>
      </c>
      <c r="D84" s="1" t="s">
        <v>1246</v>
      </c>
      <c r="E84" s="1" t="s">
        <v>1247</v>
      </c>
      <c r="K84" s="1">
        <v>457700.5573</v>
      </c>
      <c r="L84" s="1">
        <v>3389810.5718</v>
      </c>
    </row>
    <row r="85" spans="2:12">
      <c r="B85" s="1" t="s">
        <v>1248</v>
      </c>
      <c r="C85" s="1" t="s">
        <v>1249</v>
      </c>
      <c r="D85" s="1" t="s">
        <v>1250</v>
      </c>
      <c r="E85" s="1" t="s">
        <v>1251</v>
      </c>
      <c r="K85" s="1">
        <v>457885.9477</v>
      </c>
      <c r="L85" s="1">
        <v>3389848.8423</v>
      </c>
    </row>
    <row r="86" spans="2:12">
      <c r="B86" s="1" t="s">
        <v>1252</v>
      </c>
      <c r="C86" s="1" t="s">
        <v>1253</v>
      </c>
      <c r="D86" s="1" t="s">
        <v>1254</v>
      </c>
      <c r="E86" s="1" t="s">
        <v>1255</v>
      </c>
      <c r="K86" s="1">
        <v>457963.8443</v>
      </c>
      <c r="L86" s="1">
        <v>3389924.7347</v>
      </c>
    </row>
    <row r="87" spans="2:12">
      <c r="B87" s="1" t="s">
        <v>1256</v>
      </c>
      <c r="C87" s="1" t="s">
        <v>1257</v>
      </c>
      <c r="D87" s="1" t="s">
        <v>1258</v>
      </c>
      <c r="E87" s="1" t="s">
        <v>1259</v>
      </c>
      <c r="K87" s="1">
        <v>458095.2335</v>
      </c>
      <c r="L87" s="1">
        <v>3389934.5045</v>
      </c>
    </row>
    <row r="88" spans="2:12">
      <c r="B88" s="1" t="s">
        <v>1260</v>
      </c>
      <c r="C88" s="1" t="s">
        <v>1261</v>
      </c>
      <c r="D88" s="1" t="s">
        <v>1262</v>
      </c>
      <c r="E88" s="1" t="s">
        <v>1263</v>
      </c>
      <c r="K88" s="1">
        <v>458118.7017</v>
      </c>
      <c r="L88" s="1">
        <v>3389936.2495</v>
      </c>
    </row>
    <row r="89" spans="2:12">
      <c r="B89" s="1" t="s">
        <v>1264</v>
      </c>
      <c r="C89" s="1" t="s">
        <v>1265</v>
      </c>
      <c r="D89" s="1" t="s">
        <v>1266</v>
      </c>
      <c r="E89" s="1" t="s">
        <v>1267</v>
      </c>
      <c r="K89" s="1">
        <v>458198.2413</v>
      </c>
      <c r="L89" s="1">
        <v>3389942.1639</v>
      </c>
    </row>
    <row r="90" spans="2:12">
      <c r="B90" s="1" t="s">
        <v>1268</v>
      </c>
      <c r="C90" s="1" t="s">
        <v>1269</v>
      </c>
      <c r="D90" s="1" t="s">
        <v>1270</v>
      </c>
      <c r="E90" s="1" t="s">
        <v>1271</v>
      </c>
      <c r="K90" s="1">
        <v>458362.46</v>
      </c>
      <c r="L90" s="1">
        <v>3389894.2</v>
      </c>
    </row>
    <row r="91" spans="2:12">
      <c r="B91" s="1" t="s">
        <v>1272</v>
      </c>
      <c r="C91" s="1" t="s">
        <v>1273</v>
      </c>
      <c r="D91" s="1" t="s">
        <v>1274</v>
      </c>
      <c r="E91" s="1" t="s">
        <v>1275</v>
      </c>
      <c r="K91" s="1">
        <v>458514.3</v>
      </c>
      <c r="L91" s="1">
        <v>3389791.8</v>
      </c>
    </row>
    <row r="92" spans="2:12">
      <c r="B92" s="1" t="s">
        <v>1276</v>
      </c>
      <c r="C92" s="1" t="s">
        <v>1277</v>
      </c>
      <c r="D92" s="1" t="s">
        <v>1278</v>
      </c>
      <c r="E92" s="1" t="s">
        <v>1279</v>
      </c>
      <c r="K92" s="1">
        <v>458540.5</v>
      </c>
      <c r="L92" s="1">
        <v>3389707.1</v>
      </c>
    </row>
    <row r="93" spans="2:12">
      <c r="B93" s="1" t="s">
        <v>1280</v>
      </c>
      <c r="C93" s="1" t="s">
        <v>1281</v>
      </c>
      <c r="D93" s="1" t="s">
        <v>1282</v>
      </c>
      <c r="E93" s="1" t="s">
        <v>1283</v>
      </c>
      <c r="K93" s="1">
        <v>458731.8302</v>
      </c>
      <c r="L93" s="1">
        <v>3389612.518</v>
      </c>
    </row>
    <row r="94" spans="2:12">
      <c r="B94" s="1" t="s">
        <v>1284</v>
      </c>
      <c r="C94" s="1" t="s">
        <v>1285</v>
      </c>
      <c r="D94" s="1" t="s">
        <v>1286</v>
      </c>
      <c r="E94" s="1" t="s">
        <v>1287</v>
      </c>
      <c r="K94" s="1">
        <v>458759.6422</v>
      </c>
      <c r="L94" s="1">
        <v>3389598.7694</v>
      </c>
    </row>
    <row r="95" spans="2:12">
      <c r="B95" s="1" t="s">
        <v>1288</v>
      </c>
      <c r="C95" s="1" t="s">
        <v>1289</v>
      </c>
      <c r="D95" s="1" t="s">
        <v>1290</v>
      </c>
      <c r="E95" s="1" t="s">
        <v>1291</v>
      </c>
      <c r="K95" s="1">
        <v>458804.4259</v>
      </c>
      <c r="L95" s="1">
        <v>3389538.656</v>
      </c>
    </row>
    <row r="96" spans="2:12">
      <c r="B96" s="1" t="s">
        <v>1292</v>
      </c>
      <c r="C96" s="1" t="s">
        <v>1293</v>
      </c>
      <c r="D96" s="1" t="s">
        <v>1294</v>
      </c>
      <c r="E96" s="1" t="s">
        <v>1295</v>
      </c>
      <c r="K96" s="1">
        <v>458836.3471</v>
      </c>
      <c r="L96" s="1">
        <v>3389495.8078</v>
      </c>
    </row>
    <row r="97" spans="2:12">
      <c r="B97" s="1" t="s">
        <v>1296</v>
      </c>
      <c r="C97" s="1" t="s">
        <v>1297</v>
      </c>
      <c r="D97" s="1" t="s">
        <v>1298</v>
      </c>
      <c r="E97" s="1" t="s">
        <v>1299</v>
      </c>
      <c r="K97" s="1">
        <v>458909.037</v>
      </c>
      <c r="L97" s="1">
        <v>3389470.9481</v>
      </c>
    </row>
    <row r="98" spans="2:12">
      <c r="B98" s="1" t="s">
        <v>1300</v>
      </c>
      <c r="C98" s="1" t="s">
        <v>1301</v>
      </c>
      <c r="D98" s="1" t="s">
        <v>1302</v>
      </c>
      <c r="E98" s="1" t="s">
        <v>1303</v>
      </c>
      <c r="K98" s="1">
        <v>459106.6242</v>
      </c>
      <c r="L98" s="1">
        <v>3389597.4297</v>
      </c>
    </row>
    <row r="99" spans="2:12">
      <c r="B99" s="1" t="s">
        <v>1304</v>
      </c>
      <c r="C99" s="1" t="s">
        <v>1305</v>
      </c>
      <c r="D99" s="1" t="s">
        <v>1306</v>
      </c>
      <c r="E99" s="1" t="s">
        <v>1307</v>
      </c>
      <c r="K99" s="1">
        <v>459227.6659</v>
      </c>
      <c r="L99" s="1">
        <v>3389674.9123</v>
      </c>
    </row>
    <row r="100" spans="2:12">
      <c r="B100" s="1" t="s">
        <v>1308</v>
      </c>
      <c r="C100" s="1" t="s">
        <v>1309</v>
      </c>
      <c r="D100" s="1" t="s">
        <v>1310</v>
      </c>
      <c r="E100" s="1" t="s">
        <v>1311</v>
      </c>
      <c r="K100" s="1">
        <v>459265.0425</v>
      </c>
      <c r="L100" s="1">
        <v>3389698.8382</v>
      </c>
    </row>
    <row r="101" spans="2:12">
      <c r="B101" s="1" t="s">
        <v>1312</v>
      </c>
      <c r="C101" s="1" t="s">
        <v>1313</v>
      </c>
      <c r="D101" s="1" t="s">
        <v>1314</v>
      </c>
      <c r="E101" s="1" t="s">
        <v>1315</v>
      </c>
      <c r="K101" s="1">
        <v>459339.3789</v>
      </c>
      <c r="L101" s="1">
        <v>3389746.4232</v>
      </c>
    </row>
    <row r="102" spans="2:12">
      <c r="B102" s="1" t="s">
        <v>1316</v>
      </c>
      <c r="C102" s="1" t="s">
        <v>1317</v>
      </c>
      <c r="D102" s="1" t="s">
        <v>1318</v>
      </c>
      <c r="E102" s="1" t="s">
        <v>1319</v>
      </c>
      <c r="K102" s="1">
        <v>459374.9734</v>
      </c>
      <c r="L102" s="1">
        <v>3389737.4248</v>
      </c>
    </row>
    <row r="103" spans="2:12">
      <c r="B103" s="1" t="s">
        <v>1320</v>
      </c>
      <c r="C103" s="1" t="s">
        <v>1321</v>
      </c>
      <c r="D103" s="1" t="s">
        <v>1322</v>
      </c>
      <c r="E103" s="1" t="s">
        <v>1323</v>
      </c>
      <c r="K103" s="1">
        <v>459386.1324</v>
      </c>
      <c r="L103" s="1">
        <v>3389734.6039</v>
      </c>
    </row>
    <row r="104" spans="2:12">
      <c r="B104" s="1" t="s">
        <v>1324</v>
      </c>
      <c r="C104" s="1" t="s">
        <v>1325</v>
      </c>
      <c r="D104" s="1" t="s">
        <v>1326</v>
      </c>
      <c r="E104" s="1" t="s">
        <v>1327</v>
      </c>
      <c r="K104" s="1">
        <v>460303.6126</v>
      </c>
      <c r="L104" s="1">
        <v>3389502.6675</v>
      </c>
    </row>
    <row r="105" spans="2:12">
      <c r="B105" s="1" t="s">
        <v>1328</v>
      </c>
      <c r="C105" s="1" t="s">
        <v>1329</v>
      </c>
      <c r="D105" s="1" t="s">
        <v>1330</v>
      </c>
      <c r="E105" s="1" t="s">
        <v>1331</v>
      </c>
      <c r="K105" s="1">
        <v>460410.1389</v>
      </c>
      <c r="L105" s="1">
        <v>3389298.1669</v>
      </c>
    </row>
    <row r="106" spans="2:12">
      <c r="B106" s="1" t="s">
        <v>1332</v>
      </c>
      <c r="C106" s="1" t="s">
        <v>1333</v>
      </c>
      <c r="D106" s="1" t="s">
        <v>1334</v>
      </c>
      <c r="E106" s="1" t="s">
        <v>1335</v>
      </c>
      <c r="K106" s="1">
        <v>460498.0837</v>
      </c>
      <c r="L106" s="1">
        <v>3389198.6617</v>
      </c>
    </row>
    <row r="107" spans="2:12">
      <c r="B107" s="1" t="s">
        <v>1336</v>
      </c>
      <c r="C107" s="1" t="s">
        <v>1337</v>
      </c>
      <c r="D107" s="1" t="s">
        <v>1338</v>
      </c>
      <c r="E107" s="1" t="s">
        <v>1339</v>
      </c>
      <c r="K107" s="1">
        <v>460544.0744</v>
      </c>
      <c r="L107" s="1">
        <v>3389146.6254</v>
      </c>
    </row>
    <row r="108" spans="2:12">
      <c r="B108" s="1" t="s">
        <v>1340</v>
      </c>
      <c r="C108" s="1" t="s">
        <v>1341</v>
      </c>
      <c r="D108" s="1" t="s">
        <v>1342</v>
      </c>
      <c r="E108" s="1" t="s">
        <v>1343</v>
      </c>
      <c r="K108" s="1">
        <v>460575.7348</v>
      </c>
      <c r="L108" s="1">
        <v>3389110.8031</v>
      </c>
    </row>
    <row r="109" spans="2:12">
      <c r="B109" s="1" t="s">
        <v>1344</v>
      </c>
      <c r="C109" s="1" t="s">
        <v>1345</v>
      </c>
      <c r="D109" s="1" t="s">
        <v>1346</v>
      </c>
      <c r="E109" s="1" t="s">
        <v>1347</v>
      </c>
      <c r="K109" s="1">
        <v>460671.0839</v>
      </c>
      <c r="L109" s="1">
        <v>3389002.9203</v>
      </c>
    </row>
    <row r="110" spans="2:12">
      <c r="B110" s="1" t="s">
        <v>1348</v>
      </c>
      <c r="C110" s="1" t="s">
        <v>1349</v>
      </c>
      <c r="D110" s="1" t="s">
        <v>1350</v>
      </c>
      <c r="E110" s="1" t="s">
        <v>1351</v>
      </c>
      <c r="K110" s="1">
        <v>460687.6963</v>
      </c>
      <c r="L110" s="1">
        <v>3388873.5458</v>
      </c>
    </row>
    <row r="111" spans="2:12">
      <c r="B111" s="1" t="s">
        <v>1352</v>
      </c>
      <c r="C111" s="1" t="s">
        <v>1353</v>
      </c>
      <c r="D111" s="1" t="s">
        <v>1354</v>
      </c>
      <c r="E111" s="1" t="s">
        <v>1355</v>
      </c>
      <c r="K111" s="1">
        <v>461246.7079</v>
      </c>
      <c r="L111" s="1">
        <v>3388600.8155</v>
      </c>
    </row>
    <row r="112" spans="2:12">
      <c r="B112" s="1" t="s">
        <v>1356</v>
      </c>
      <c r="C112" s="1" t="s">
        <v>1357</v>
      </c>
      <c r="D112" s="1" t="s">
        <v>1358</v>
      </c>
      <c r="E112" s="1" t="s">
        <v>1359</v>
      </c>
      <c r="K112" s="1">
        <v>461285.58</v>
      </c>
      <c r="L112" s="1">
        <v>3388377.51</v>
      </c>
    </row>
    <row r="113" spans="2:12">
      <c r="B113" s="1" t="s">
        <v>1360</v>
      </c>
      <c r="C113" s="1" t="s">
        <v>1361</v>
      </c>
      <c r="D113" s="1" t="s">
        <v>1362</v>
      </c>
      <c r="E113" s="1" t="s">
        <v>1363</v>
      </c>
      <c r="K113" s="1">
        <v>461397.7617</v>
      </c>
      <c r="L113" s="1">
        <v>3388149.7808</v>
      </c>
    </row>
    <row r="114" spans="2:12">
      <c r="B114" s="1" t="s">
        <v>1364</v>
      </c>
      <c r="C114" s="1" t="s">
        <v>1365</v>
      </c>
      <c r="D114" s="1" t="s">
        <v>1366</v>
      </c>
      <c r="E114" s="1" t="s">
        <v>1367</v>
      </c>
      <c r="K114" s="1">
        <v>461762.5209</v>
      </c>
      <c r="L114" s="1">
        <v>3387706.0571</v>
      </c>
    </row>
    <row r="115" spans="2:12">
      <c r="B115" s="1" t="s">
        <v>1368</v>
      </c>
      <c r="C115" s="1" t="s">
        <v>1369</v>
      </c>
      <c r="D115" s="1" t="s">
        <v>1370</v>
      </c>
      <c r="E115" s="1" t="s">
        <v>1371</v>
      </c>
      <c r="K115" s="1">
        <v>462082.391</v>
      </c>
      <c r="L115" s="1">
        <v>3387615.7723</v>
      </c>
    </row>
    <row r="116" spans="2:12">
      <c r="B116" s="1" t="s">
        <v>1372</v>
      </c>
      <c r="C116" s="1" t="s">
        <v>1373</v>
      </c>
      <c r="D116" s="1" t="s">
        <v>1374</v>
      </c>
      <c r="E116" s="1" t="s">
        <v>1375</v>
      </c>
      <c r="K116" s="1">
        <v>462442.8154</v>
      </c>
      <c r="L116" s="1">
        <v>3387252.6289</v>
      </c>
    </row>
    <row r="117" spans="2:12">
      <c r="B117" s="1" t="s">
        <v>1376</v>
      </c>
      <c r="C117" s="1" t="s">
        <v>1377</v>
      </c>
      <c r="D117" s="1" t="s">
        <v>1378</v>
      </c>
      <c r="E117" s="1" t="s">
        <v>1379</v>
      </c>
      <c r="K117" s="1">
        <v>463049.047</v>
      </c>
      <c r="L117" s="1">
        <v>3387158.5441</v>
      </c>
    </row>
    <row r="118" spans="2:12">
      <c r="B118" s="1" t="s">
        <v>1380</v>
      </c>
      <c r="C118" s="1" t="s">
        <v>1381</v>
      </c>
      <c r="D118" s="1" t="s">
        <v>1382</v>
      </c>
      <c r="E118" s="1" t="s">
        <v>1383</v>
      </c>
      <c r="K118" s="1">
        <v>463083.1912</v>
      </c>
      <c r="L118" s="1">
        <v>3387153.245</v>
      </c>
    </row>
    <row r="119" spans="2:12">
      <c r="B119" s="1" t="s">
        <v>1384</v>
      </c>
      <c r="C119" s="1" t="s">
        <v>1385</v>
      </c>
      <c r="D119" s="1" t="s">
        <v>1386</v>
      </c>
      <c r="E119" s="1" t="s">
        <v>1387</v>
      </c>
      <c r="K119" s="1">
        <v>463206.8638</v>
      </c>
      <c r="L119" s="1">
        <v>3387134.0514</v>
      </c>
    </row>
    <row r="120" spans="2:12">
      <c r="B120" s="1" t="s">
        <v>1388</v>
      </c>
      <c r="C120" s="1" t="s">
        <v>1389</v>
      </c>
      <c r="D120" s="1" t="s">
        <v>1390</v>
      </c>
      <c r="E120" s="1" t="s">
        <v>1391</v>
      </c>
      <c r="K120" s="1">
        <v>463296.4483</v>
      </c>
      <c r="L120" s="1">
        <v>3386991.139</v>
      </c>
    </row>
    <row r="121" spans="2:12">
      <c r="B121" s="1" t="s">
        <v>1392</v>
      </c>
      <c r="C121" s="1" t="s">
        <v>1393</v>
      </c>
      <c r="D121" s="1" t="s">
        <v>1394</v>
      </c>
      <c r="E121" s="1" t="s">
        <v>1395</v>
      </c>
      <c r="K121" s="1">
        <v>463385.5443</v>
      </c>
      <c r="L121" s="1">
        <v>3386849.0061</v>
      </c>
    </row>
    <row r="122" spans="2:12">
      <c r="B122" s="1" t="s">
        <v>1396</v>
      </c>
      <c r="C122" s="1" t="s">
        <v>1397</v>
      </c>
      <c r="D122" s="1" t="s">
        <v>1398</v>
      </c>
      <c r="E122" s="1" t="s">
        <v>1399</v>
      </c>
      <c r="K122" s="1">
        <v>463391.7951</v>
      </c>
      <c r="L122" s="1">
        <v>3386827.3336</v>
      </c>
    </row>
    <row r="123" spans="2:12">
      <c r="B123" s="1" t="s">
        <v>1400</v>
      </c>
      <c r="C123" s="1" t="s">
        <v>1401</v>
      </c>
      <c r="D123" s="1" t="s">
        <v>1402</v>
      </c>
      <c r="E123" s="1" t="s">
        <v>1403</v>
      </c>
      <c r="K123" s="1">
        <v>463422.8116</v>
      </c>
      <c r="L123" s="1">
        <v>3386719.795</v>
      </c>
    </row>
    <row r="124" spans="2:12">
      <c r="B124" s="1" t="s">
        <v>1404</v>
      </c>
      <c r="C124" s="1" t="s">
        <v>1405</v>
      </c>
      <c r="D124" s="1" t="s">
        <v>1406</v>
      </c>
      <c r="E124" s="1" t="s">
        <v>1407</v>
      </c>
      <c r="K124" s="1">
        <v>463440.8268</v>
      </c>
      <c r="L124" s="1">
        <v>3386657.334</v>
      </c>
    </row>
    <row r="125" spans="2:12">
      <c r="B125" s="1" t="s">
        <v>1408</v>
      </c>
      <c r="C125" s="1" t="s">
        <v>1409</v>
      </c>
      <c r="D125" s="1" t="s">
        <v>1410</v>
      </c>
      <c r="E125" s="1" t="s">
        <v>1411</v>
      </c>
      <c r="K125" s="1">
        <v>463460.2665</v>
      </c>
      <c r="L125" s="1">
        <v>3386589.9337</v>
      </c>
    </row>
    <row r="126" spans="2:12">
      <c r="B126" s="1" t="s">
        <v>1412</v>
      </c>
      <c r="C126" s="1" t="s">
        <v>1413</v>
      </c>
      <c r="D126" s="1" t="s">
        <v>1414</v>
      </c>
      <c r="E126" s="1" t="s">
        <v>1415</v>
      </c>
      <c r="K126" s="1">
        <v>463485.2464</v>
      </c>
      <c r="L126" s="1">
        <v>3386520.3824</v>
      </c>
    </row>
    <row r="127" spans="2:12">
      <c r="B127" s="1" t="s">
        <v>1416</v>
      </c>
      <c r="C127" s="1" t="s">
        <v>1417</v>
      </c>
      <c r="D127" s="1" t="s">
        <v>1418</v>
      </c>
      <c r="E127" s="1" t="s">
        <v>1419</v>
      </c>
      <c r="K127" s="1">
        <v>463531.3641</v>
      </c>
      <c r="L127" s="1">
        <v>3386391.977</v>
      </c>
    </row>
    <row r="128" spans="2:12">
      <c r="B128" s="1" t="s">
        <v>1420</v>
      </c>
      <c r="C128" s="1" t="s">
        <v>1421</v>
      </c>
      <c r="D128" s="1" t="s">
        <v>1422</v>
      </c>
      <c r="E128" s="1" t="s">
        <v>1423</v>
      </c>
      <c r="K128" s="1">
        <v>463565.7897</v>
      </c>
      <c r="L128" s="1">
        <v>3386211.3022</v>
      </c>
    </row>
    <row r="129" spans="2:12">
      <c r="B129" s="1" t="s">
        <v>1424</v>
      </c>
      <c r="C129" s="1" t="s">
        <v>1425</v>
      </c>
      <c r="D129" s="1" t="s">
        <v>1426</v>
      </c>
      <c r="E129" s="1" t="s">
        <v>1427</v>
      </c>
      <c r="K129" s="1">
        <v>463625.2019</v>
      </c>
      <c r="L129" s="1">
        <v>3386138.8642</v>
      </c>
    </row>
    <row r="130" spans="2:12">
      <c r="B130" s="1" t="s">
        <v>1428</v>
      </c>
      <c r="C130" s="1" t="s">
        <v>1429</v>
      </c>
      <c r="D130" s="1" t="s">
        <v>1430</v>
      </c>
      <c r="E130" s="1" t="s">
        <v>1431</v>
      </c>
      <c r="K130" s="1">
        <v>463704.6662</v>
      </c>
      <c r="L130" s="1">
        <v>3385896.4107</v>
      </c>
    </row>
    <row r="131" spans="2:12">
      <c r="B131" s="1" t="s">
        <v>1432</v>
      </c>
      <c r="C131" s="1" t="s">
        <v>1433</v>
      </c>
      <c r="D131" s="1" t="s">
        <v>1434</v>
      </c>
      <c r="E131" s="1" t="s">
        <v>1435</v>
      </c>
      <c r="K131" s="1">
        <v>463816.6313</v>
      </c>
      <c r="L131" s="1">
        <v>3385844.0766</v>
      </c>
    </row>
    <row r="132" spans="2:12">
      <c r="B132" s="1" t="s">
        <v>1436</v>
      </c>
      <c r="C132" s="1" t="s">
        <v>1437</v>
      </c>
      <c r="D132" s="1" t="s">
        <v>1438</v>
      </c>
      <c r="E132" s="1" t="s">
        <v>1439</v>
      </c>
      <c r="K132" s="1">
        <v>463946.5791</v>
      </c>
      <c r="L132" s="1">
        <v>3385821.5899</v>
      </c>
    </row>
    <row r="133" spans="2:12">
      <c r="B133" s="1" t="s">
        <v>1440</v>
      </c>
      <c r="C133" s="1" t="s">
        <v>1441</v>
      </c>
      <c r="D133" s="1" t="s">
        <v>1442</v>
      </c>
      <c r="E133" s="1" t="s">
        <v>1443</v>
      </c>
      <c r="K133" s="1">
        <v>463970.0768</v>
      </c>
      <c r="L133" s="1">
        <v>3385816.8227</v>
      </c>
    </row>
    <row r="134" spans="2:12">
      <c r="B134" s="1" t="s">
        <v>1444</v>
      </c>
      <c r="C134" s="1" t="s">
        <v>1445</v>
      </c>
      <c r="D134" s="1" t="s">
        <v>1446</v>
      </c>
      <c r="E134" s="1" t="s">
        <v>1447</v>
      </c>
      <c r="K134" s="1">
        <v>464163.6458</v>
      </c>
      <c r="L134" s="1">
        <v>3385777.5509</v>
      </c>
    </row>
    <row r="135" spans="2:12">
      <c r="B135" s="1" t="s">
        <v>1448</v>
      </c>
      <c r="C135" s="1" t="s">
        <v>1449</v>
      </c>
      <c r="D135" s="1" t="s">
        <v>1450</v>
      </c>
      <c r="E135" s="1" t="s">
        <v>1451</v>
      </c>
      <c r="K135" s="1">
        <v>464200.3203</v>
      </c>
      <c r="L135" s="1">
        <v>3385786.1242</v>
      </c>
    </row>
    <row r="136" spans="2:12">
      <c r="B136" s="1" t="s">
        <v>1452</v>
      </c>
      <c r="C136" s="1" t="s">
        <v>1453</v>
      </c>
      <c r="D136" s="1" t="s">
        <v>1454</v>
      </c>
      <c r="E136" s="1" t="s">
        <v>1455</v>
      </c>
      <c r="K136" s="1">
        <v>464240.2664</v>
      </c>
      <c r="L136" s="1">
        <v>3385795.4623</v>
      </c>
    </row>
    <row r="137" spans="2:12">
      <c r="B137" s="1" t="s">
        <v>1456</v>
      </c>
      <c r="C137" s="1" t="s">
        <v>1457</v>
      </c>
      <c r="D137" s="1" t="s">
        <v>1458</v>
      </c>
      <c r="E137" s="1" t="s">
        <v>1459</v>
      </c>
      <c r="K137" s="1">
        <v>464394.7221</v>
      </c>
      <c r="L137" s="1">
        <v>3385831.5691</v>
      </c>
    </row>
    <row r="138" spans="2:12">
      <c r="B138" s="1" t="s">
        <v>1460</v>
      </c>
      <c r="C138" s="1" t="s">
        <v>1461</v>
      </c>
      <c r="D138" s="1" t="s">
        <v>1462</v>
      </c>
      <c r="E138" s="1" t="s">
        <v>1463</v>
      </c>
      <c r="K138" s="1">
        <v>464405.8412</v>
      </c>
      <c r="L138" s="1">
        <v>3385834.1683</v>
      </c>
    </row>
    <row r="139" spans="2:12">
      <c r="B139" s="1" t="s">
        <v>1464</v>
      </c>
      <c r="C139" s="1" t="s">
        <v>1465</v>
      </c>
      <c r="D139" s="1" t="s">
        <v>1466</v>
      </c>
      <c r="E139" s="1" t="s">
        <v>1467</v>
      </c>
      <c r="K139" s="1">
        <v>464445.6896</v>
      </c>
      <c r="L139" s="1">
        <v>3385830.8076</v>
      </c>
    </row>
    <row r="140" spans="2:12">
      <c r="B140" s="1" t="s">
        <v>1468</v>
      </c>
      <c r="C140" s="1" t="s">
        <v>1469</v>
      </c>
      <c r="D140" s="1" t="s">
        <v>1470</v>
      </c>
      <c r="E140" s="1" t="s">
        <v>1471</v>
      </c>
      <c r="K140" s="1">
        <v>464621.6508</v>
      </c>
      <c r="L140" s="1">
        <v>3385815.9674</v>
      </c>
    </row>
    <row r="141" spans="2:12">
      <c r="B141" s="1" t="s">
        <v>1472</v>
      </c>
      <c r="C141" s="1" t="s">
        <v>1473</v>
      </c>
      <c r="D141" s="1" t="s">
        <v>1474</v>
      </c>
      <c r="E141" s="1" t="s">
        <v>1475</v>
      </c>
      <c r="K141" s="1">
        <v>464789.2071</v>
      </c>
      <c r="L141" s="1">
        <v>3385801.8361</v>
      </c>
    </row>
    <row r="142" spans="2:12">
      <c r="B142" s="1" t="s">
        <v>1476</v>
      </c>
      <c r="C142" s="1" t="s">
        <v>1477</v>
      </c>
      <c r="D142" s="1" t="s">
        <v>1478</v>
      </c>
      <c r="E142" s="1" t="s">
        <v>1479</v>
      </c>
      <c r="K142" s="1">
        <v>464830.0338</v>
      </c>
      <c r="L142" s="1">
        <v>3385732.2215</v>
      </c>
    </row>
    <row r="143" spans="2:12">
      <c r="B143" s="1" t="s">
        <v>1480</v>
      </c>
      <c r="C143" s="1" t="s">
        <v>1481</v>
      </c>
      <c r="D143" s="1" t="s">
        <v>1482</v>
      </c>
      <c r="E143" s="1" t="s">
        <v>1483</v>
      </c>
      <c r="K143" s="1">
        <v>464894.4536</v>
      </c>
      <c r="L143" s="1">
        <v>3385622.3781</v>
      </c>
    </row>
    <row r="144" spans="2:12">
      <c r="B144" s="1" t="s">
        <v>1484</v>
      </c>
      <c r="C144" s="1" t="s">
        <v>1485</v>
      </c>
      <c r="D144" s="1" t="s">
        <v>1486</v>
      </c>
      <c r="E144" s="1" t="s">
        <v>1487</v>
      </c>
      <c r="K144" s="1">
        <v>464928.592</v>
      </c>
      <c r="L144" s="1">
        <v>3385564.168</v>
      </c>
    </row>
    <row r="145" spans="2:12">
      <c r="B145" s="1" t="s">
        <v>1488</v>
      </c>
      <c r="C145" s="1" t="s">
        <v>1489</v>
      </c>
      <c r="D145" s="1" t="s">
        <v>1490</v>
      </c>
      <c r="E145" s="1" t="s">
        <v>1491</v>
      </c>
      <c r="K145" s="1">
        <v>464975.1991</v>
      </c>
      <c r="L145" s="1">
        <v>3385542.3591</v>
      </c>
    </row>
    <row r="146" spans="2:12">
      <c r="B146" s="1" t="s">
        <v>1492</v>
      </c>
      <c r="C146" s="1" t="s">
        <v>1493</v>
      </c>
      <c r="D146" s="1" t="s">
        <v>1494</v>
      </c>
      <c r="E146" s="1" t="s">
        <v>1495</v>
      </c>
      <c r="K146" s="1">
        <v>465171.0465</v>
      </c>
      <c r="L146" s="1">
        <v>3385450.7161</v>
      </c>
    </row>
    <row r="147" spans="2:12">
      <c r="B147" s="1" t="s">
        <v>1496</v>
      </c>
      <c r="C147" s="1" t="s">
        <v>1497</v>
      </c>
      <c r="D147" s="1" t="s">
        <v>1498</v>
      </c>
      <c r="E147" s="1" t="s">
        <v>1499</v>
      </c>
      <c r="K147" s="1">
        <v>465250.4602</v>
      </c>
      <c r="L147" s="1">
        <v>3385413.5559</v>
      </c>
    </row>
    <row r="148" spans="2:12">
      <c r="B148" s="1" t="s">
        <v>1500</v>
      </c>
      <c r="C148" s="1" t="s">
        <v>1501</v>
      </c>
      <c r="D148" s="1" t="s">
        <v>1502</v>
      </c>
      <c r="E148" s="1" t="s">
        <v>1503</v>
      </c>
      <c r="K148" s="1">
        <v>465266.6371</v>
      </c>
      <c r="L148" s="1">
        <v>3385410.7236</v>
      </c>
    </row>
    <row r="149" spans="2:12">
      <c r="B149" s="1" t="s">
        <v>1504</v>
      </c>
      <c r="C149" s="1" t="s">
        <v>1505</v>
      </c>
      <c r="D149" s="1" t="s">
        <v>1506</v>
      </c>
      <c r="E149" s="1" t="s">
        <v>1507</v>
      </c>
      <c r="K149" s="1">
        <v>465313.2992</v>
      </c>
      <c r="L149" s="1">
        <v>3385402.5537</v>
      </c>
    </row>
    <row r="150" spans="2:12">
      <c r="B150" s="1" t="s">
        <v>1508</v>
      </c>
      <c r="C150" s="1" t="s">
        <v>1509</v>
      </c>
      <c r="D150" s="1" t="s">
        <v>1510</v>
      </c>
      <c r="E150" s="1" t="s">
        <v>1511</v>
      </c>
      <c r="K150" s="1">
        <v>465350.2736</v>
      </c>
      <c r="L150" s="1">
        <v>3385396.08</v>
      </c>
    </row>
    <row r="151" spans="2:12">
      <c r="B151" s="1" t="s">
        <v>1512</v>
      </c>
      <c r="C151" s="1" t="s">
        <v>1513</v>
      </c>
      <c r="D151" s="1" t="s">
        <v>1514</v>
      </c>
      <c r="E151" s="1" t="s">
        <v>1515</v>
      </c>
      <c r="K151" s="1">
        <v>465484.0095</v>
      </c>
      <c r="L151" s="1">
        <v>3385319.5807</v>
      </c>
    </row>
    <row r="152" spans="2:12">
      <c r="B152" s="1" t="s">
        <v>1516</v>
      </c>
      <c r="C152" s="1" t="s">
        <v>1517</v>
      </c>
      <c r="D152" s="1" t="s">
        <v>1518</v>
      </c>
      <c r="E152" s="1" t="s">
        <v>1519</v>
      </c>
      <c r="K152" s="1">
        <v>465502.3086</v>
      </c>
      <c r="L152" s="1">
        <v>3385319.1981</v>
      </c>
    </row>
    <row r="153" spans="2:12">
      <c r="B153" s="1" t="s">
        <v>1520</v>
      </c>
      <c r="C153" s="1" t="s">
        <v>1521</v>
      </c>
      <c r="D153" s="1" t="s">
        <v>1522</v>
      </c>
      <c r="E153" s="1" t="s">
        <v>1523</v>
      </c>
      <c r="K153" s="1">
        <v>465571.1375</v>
      </c>
      <c r="L153" s="1">
        <v>3385317.759</v>
      </c>
    </row>
    <row r="154" spans="2:12">
      <c r="B154" s="1" t="s">
        <v>1524</v>
      </c>
      <c r="C154" s="1" t="s">
        <v>1525</v>
      </c>
      <c r="D154" s="1" t="s">
        <v>1526</v>
      </c>
      <c r="E154" s="1" t="s">
        <v>1527</v>
      </c>
      <c r="K154" s="1">
        <v>465679.0483</v>
      </c>
      <c r="L154" s="1">
        <v>3385315.5027</v>
      </c>
    </row>
    <row r="155" spans="2:12">
      <c r="B155" s="1" t="s">
        <v>1528</v>
      </c>
      <c r="C155" s="1" t="s">
        <v>1529</v>
      </c>
      <c r="D155" s="1" t="s">
        <v>1530</v>
      </c>
      <c r="E155" s="1" t="s">
        <v>1531</v>
      </c>
      <c r="K155" s="1">
        <v>465841.2765</v>
      </c>
      <c r="L155" s="1">
        <v>3385237.2681</v>
      </c>
    </row>
    <row r="156" spans="2:12">
      <c r="B156" s="1" t="s">
        <v>1532</v>
      </c>
      <c r="C156" s="1" t="s">
        <v>1533</v>
      </c>
      <c r="D156" s="1" t="s">
        <v>1534</v>
      </c>
      <c r="E156" s="1" t="s">
        <v>1535</v>
      </c>
      <c r="K156" s="1">
        <v>465882.3205</v>
      </c>
      <c r="L156" s="1">
        <v>3385069.8159</v>
      </c>
    </row>
    <row r="157" spans="2:12">
      <c r="B157" s="1" t="s">
        <v>1536</v>
      </c>
      <c r="C157" s="1" t="s">
        <v>1537</v>
      </c>
      <c r="D157" s="1" t="s">
        <v>1538</v>
      </c>
      <c r="E157" s="1" t="s">
        <v>1539</v>
      </c>
      <c r="K157" s="1">
        <v>466152.1311</v>
      </c>
      <c r="L157" s="1">
        <v>3384806.1444</v>
      </c>
    </row>
    <row r="158" spans="2:12">
      <c r="B158" s="1" t="s">
        <v>1540</v>
      </c>
      <c r="C158" s="1" t="s">
        <v>1541</v>
      </c>
      <c r="D158" s="1" t="s">
        <v>1542</v>
      </c>
      <c r="E158" s="1" t="s">
        <v>1543</v>
      </c>
      <c r="K158" s="1">
        <v>466202.6279</v>
      </c>
      <c r="L158" s="1">
        <v>3384593.8424</v>
      </c>
    </row>
    <row r="159" spans="2:12">
      <c r="B159" s="1" t="s">
        <v>1544</v>
      </c>
      <c r="C159" s="1" t="s">
        <v>1545</v>
      </c>
      <c r="D159" s="1" t="s">
        <v>1546</v>
      </c>
      <c r="E159" s="1" t="s">
        <v>1547</v>
      </c>
      <c r="K159" s="1">
        <v>466196.3407</v>
      </c>
      <c r="L159" s="1">
        <v>3384539.9128</v>
      </c>
    </row>
    <row r="160" spans="2:12">
      <c r="B160" s="1" t="s">
        <v>1548</v>
      </c>
      <c r="C160" s="1" t="s">
        <v>1549</v>
      </c>
      <c r="D160" s="1" t="s">
        <v>1550</v>
      </c>
      <c r="E160" s="1" t="s">
        <v>1551</v>
      </c>
      <c r="K160" s="1">
        <v>466179.1419</v>
      </c>
      <c r="L160" s="1">
        <v>3384392.3895</v>
      </c>
    </row>
    <row r="161" spans="2:12">
      <c r="B161" s="1" t="s">
        <v>1552</v>
      </c>
      <c r="C161" s="1" t="s">
        <v>1553</v>
      </c>
      <c r="D161" s="1" t="s">
        <v>1554</v>
      </c>
      <c r="E161" s="1" t="s">
        <v>1555</v>
      </c>
      <c r="K161" s="1">
        <v>466175.3234</v>
      </c>
      <c r="L161" s="1">
        <v>3384359.6355</v>
      </c>
    </row>
    <row r="162" spans="2:12">
      <c r="B162" s="1" t="s">
        <v>1556</v>
      </c>
      <c r="C162" s="1" t="s">
        <v>1557</v>
      </c>
      <c r="D162" s="1" t="s">
        <v>1558</v>
      </c>
      <c r="E162" s="1" t="s">
        <v>1559</v>
      </c>
      <c r="K162" s="1">
        <v>466191.4211</v>
      </c>
      <c r="L162" s="1">
        <v>3384342.8118</v>
      </c>
    </row>
    <row r="163" spans="2:12">
      <c r="B163" s="1" t="s">
        <v>1560</v>
      </c>
      <c r="C163" s="1" t="s">
        <v>1561</v>
      </c>
      <c r="D163" s="1" t="s">
        <v>1562</v>
      </c>
      <c r="E163" s="1" t="s">
        <v>1563</v>
      </c>
      <c r="K163" s="1">
        <v>466383.7682</v>
      </c>
      <c r="L163" s="1">
        <v>3384141.7909</v>
      </c>
    </row>
    <row r="164" spans="2:12">
      <c r="B164" s="1" t="s">
        <v>1564</v>
      </c>
      <c r="C164" s="1" t="s">
        <v>1565</v>
      </c>
      <c r="D164" s="1" t="s">
        <v>1566</v>
      </c>
      <c r="E164" s="1" t="s">
        <v>1567</v>
      </c>
      <c r="K164" s="1">
        <v>466408.7468</v>
      </c>
      <c r="L164" s="1">
        <v>3384115.6859</v>
      </c>
    </row>
    <row r="165" spans="2:12">
      <c r="B165" s="1" t="s">
        <v>1568</v>
      </c>
      <c r="C165" s="1" t="s">
        <v>1569</v>
      </c>
      <c r="D165" s="1" t="s">
        <v>1570</v>
      </c>
      <c r="E165" s="1" t="s">
        <v>1571</v>
      </c>
      <c r="K165" s="1">
        <v>466426.0486</v>
      </c>
      <c r="L165" s="1">
        <v>3384104.9514</v>
      </c>
    </row>
    <row r="166" spans="2:12">
      <c r="B166" s="1" t="s">
        <v>1572</v>
      </c>
      <c r="C166" s="1" t="s">
        <v>1573</v>
      </c>
      <c r="D166" s="1" t="s">
        <v>1574</v>
      </c>
      <c r="E166" s="1" t="s">
        <v>1575</v>
      </c>
      <c r="K166" s="1">
        <v>466545.4593</v>
      </c>
      <c r="L166" s="1">
        <v>3384030.8661</v>
      </c>
    </row>
    <row r="167" spans="2:12">
      <c r="B167" s="1" t="s">
        <v>1576</v>
      </c>
      <c r="C167" s="1" t="s">
        <v>1577</v>
      </c>
      <c r="D167" s="1" t="s">
        <v>1578</v>
      </c>
      <c r="E167" s="1" t="s">
        <v>1579</v>
      </c>
      <c r="K167" s="1">
        <v>466597.8374</v>
      </c>
      <c r="L167" s="1">
        <v>3383998.3694</v>
      </c>
    </row>
    <row r="168" spans="2:12">
      <c r="B168" s="1" t="s">
        <v>1580</v>
      </c>
      <c r="C168" s="1" t="s">
        <v>1581</v>
      </c>
      <c r="D168" s="1" t="s">
        <v>1582</v>
      </c>
      <c r="E168" s="1" t="s">
        <v>1583</v>
      </c>
      <c r="K168" s="1">
        <v>466644.688</v>
      </c>
      <c r="L168" s="1">
        <v>3383986.2265</v>
      </c>
    </row>
    <row r="169" spans="2:12">
      <c r="B169" s="1" t="s">
        <v>1584</v>
      </c>
      <c r="C169" s="1" t="s">
        <v>1585</v>
      </c>
      <c r="D169" s="1" t="s">
        <v>1586</v>
      </c>
      <c r="E169" s="1" t="s">
        <v>1587</v>
      </c>
      <c r="K169" s="1">
        <v>466781.3937</v>
      </c>
      <c r="L169" s="1">
        <v>3383950.7947</v>
      </c>
    </row>
    <row r="170" spans="2:12">
      <c r="B170" s="1" t="s">
        <v>1588</v>
      </c>
      <c r="C170" s="1" t="s">
        <v>1589</v>
      </c>
      <c r="D170" s="1" t="s">
        <v>1590</v>
      </c>
      <c r="E170" s="1" t="s">
        <v>1591</v>
      </c>
      <c r="K170" s="1">
        <v>466835.8231</v>
      </c>
      <c r="L170" s="1">
        <v>3383981.4937</v>
      </c>
    </row>
    <row r="171" spans="2:12">
      <c r="B171" s="1" t="s">
        <v>1592</v>
      </c>
      <c r="C171" s="1" t="s">
        <v>1593</v>
      </c>
      <c r="D171" s="1" t="s">
        <v>1594</v>
      </c>
      <c r="E171" s="1" t="s">
        <v>1595</v>
      </c>
      <c r="K171" s="1">
        <v>466859.6521</v>
      </c>
      <c r="L171" s="1">
        <v>3383994.9336</v>
      </c>
    </row>
    <row r="172" spans="2:12">
      <c r="B172" s="1" t="s">
        <v>1596</v>
      </c>
      <c r="C172" s="1" t="s">
        <v>1597</v>
      </c>
      <c r="D172" s="1" t="s">
        <v>1598</v>
      </c>
      <c r="E172" s="1" t="s">
        <v>1599</v>
      </c>
      <c r="K172" s="1">
        <v>466986.7233</v>
      </c>
      <c r="L172" s="1">
        <v>3384066.6037</v>
      </c>
    </row>
    <row r="173" spans="2:12">
      <c r="B173" s="1" t="s">
        <v>1600</v>
      </c>
      <c r="C173" s="1" t="s">
        <v>1601</v>
      </c>
      <c r="D173" s="1" t="s">
        <v>1602</v>
      </c>
      <c r="E173" s="1" t="s">
        <v>1603</v>
      </c>
      <c r="K173" s="1">
        <v>467035.6066</v>
      </c>
      <c r="L173" s="1">
        <v>3384094.1746</v>
      </c>
    </row>
    <row r="174" spans="2:12">
      <c r="B174" s="1" t="s">
        <v>1604</v>
      </c>
      <c r="C174" s="1" t="s">
        <v>1605</v>
      </c>
      <c r="D174" s="1" t="s">
        <v>1606</v>
      </c>
      <c r="E174" s="1" t="s">
        <v>1607</v>
      </c>
      <c r="K174" s="1">
        <v>467086.1937</v>
      </c>
      <c r="L174" s="1">
        <v>3384122.7065</v>
      </c>
    </row>
    <row r="175" spans="2:12">
      <c r="B175" s="1" t="s">
        <v>1608</v>
      </c>
      <c r="C175" s="1" t="s">
        <v>1609</v>
      </c>
      <c r="D175" s="1" t="s">
        <v>1610</v>
      </c>
      <c r="E175" s="1" t="s">
        <v>1611</v>
      </c>
      <c r="K175" s="1">
        <v>467196.0635</v>
      </c>
      <c r="L175" s="1">
        <v>3384147.1046</v>
      </c>
    </row>
    <row r="176" spans="2:12">
      <c r="B176" s="1" t="s">
        <v>1612</v>
      </c>
      <c r="C176" s="1" t="s">
        <v>1613</v>
      </c>
      <c r="D176" s="1" t="s">
        <v>1614</v>
      </c>
      <c r="E176" s="1" t="s">
        <v>1615</v>
      </c>
      <c r="K176" s="1">
        <v>467240.017</v>
      </c>
      <c r="L176" s="1">
        <v>3384156.865</v>
      </c>
    </row>
    <row r="177" spans="2:12">
      <c r="B177" s="1" t="s">
        <v>1616</v>
      </c>
      <c r="C177" s="1" t="s">
        <v>1617</v>
      </c>
      <c r="D177" s="1" t="s">
        <v>1618</v>
      </c>
      <c r="E177" s="1" t="s">
        <v>1619</v>
      </c>
      <c r="K177" s="1">
        <v>467471.4516</v>
      </c>
      <c r="L177" s="1">
        <v>3384208.2583</v>
      </c>
    </row>
    <row r="178" spans="2:12">
      <c r="B178" s="1" t="s">
        <v>1620</v>
      </c>
      <c r="C178" s="1" t="s">
        <v>1621</v>
      </c>
      <c r="D178" s="1" t="s">
        <v>1622</v>
      </c>
      <c r="E178" s="1" t="s">
        <v>1623</v>
      </c>
      <c r="K178" s="1">
        <v>467518.1556</v>
      </c>
      <c r="L178" s="1">
        <v>3384218.6296</v>
      </c>
    </row>
    <row r="179" spans="2:12">
      <c r="B179" s="1" t="s">
        <v>1624</v>
      </c>
      <c r="C179" s="1" t="s">
        <v>1625</v>
      </c>
      <c r="D179" s="1" t="s">
        <v>1626</v>
      </c>
      <c r="E179" s="1" t="s">
        <v>1627</v>
      </c>
      <c r="K179" s="1">
        <v>467548.1392</v>
      </c>
      <c r="L179" s="1">
        <v>3384223.977</v>
      </c>
    </row>
    <row r="180" spans="2:12">
      <c r="B180" s="1" t="s">
        <v>1628</v>
      </c>
      <c r="C180" s="1" t="s">
        <v>1629</v>
      </c>
      <c r="D180" s="1" t="s">
        <v>1630</v>
      </c>
      <c r="E180" s="1" t="s">
        <v>1631</v>
      </c>
      <c r="K180" s="1">
        <v>467762.1714</v>
      </c>
      <c r="L180" s="1">
        <v>3384262.1481</v>
      </c>
    </row>
    <row r="181" spans="2:12">
      <c r="B181" s="1" t="s">
        <v>1632</v>
      </c>
      <c r="C181" s="1" t="s">
        <v>1633</v>
      </c>
      <c r="D181" s="1" t="s">
        <v>1634</v>
      </c>
      <c r="E181" s="1" t="s">
        <v>1635</v>
      </c>
      <c r="K181" s="1">
        <v>467824.7816</v>
      </c>
      <c r="L181" s="1">
        <v>3384273.3142</v>
      </c>
    </row>
    <row r="182" spans="2:12">
      <c r="B182" s="1" t="s">
        <v>1636</v>
      </c>
      <c r="C182" s="1" t="s">
        <v>1637</v>
      </c>
      <c r="D182" s="1" t="s">
        <v>1638</v>
      </c>
      <c r="E182" s="1" t="s">
        <v>1639</v>
      </c>
      <c r="K182" s="1">
        <v>467905.1287</v>
      </c>
      <c r="L182" s="1">
        <v>3384277.2533</v>
      </c>
    </row>
    <row r="183" spans="2:12">
      <c r="B183" s="1" t="s">
        <v>1640</v>
      </c>
      <c r="C183" s="1" t="s">
        <v>1641</v>
      </c>
      <c r="D183" s="1" t="s">
        <v>1642</v>
      </c>
      <c r="E183" s="1" t="s">
        <v>1643</v>
      </c>
      <c r="K183" s="1">
        <v>468314.332</v>
      </c>
      <c r="L183" s="1">
        <v>3384297.3149</v>
      </c>
    </row>
    <row r="184" spans="2:12">
      <c r="B184" s="1" t="s">
        <v>1644</v>
      </c>
      <c r="C184" s="1" t="s">
        <v>1645</v>
      </c>
      <c r="D184" s="1" t="s">
        <v>1646</v>
      </c>
      <c r="E184" s="1" t="s">
        <v>1647</v>
      </c>
      <c r="K184" s="1">
        <v>468314.332</v>
      </c>
      <c r="L184" s="1">
        <v>3384297.3149</v>
      </c>
    </row>
    <row r="185" spans="2:12">
      <c r="B185" s="1" t="s">
        <v>1648</v>
      </c>
      <c r="C185" s="1" t="s">
        <v>1649</v>
      </c>
      <c r="D185" s="1" t="s">
        <v>1650</v>
      </c>
      <c r="E185" s="1" t="s">
        <v>1651</v>
      </c>
      <c r="K185" s="1">
        <v>468408.2689</v>
      </c>
      <c r="L185" s="1">
        <v>3384240.7852</v>
      </c>
    </row>
    <row r="186" spans="2:12">
      <c r="B186" s="1" t="s">
        <v>1652</v>
      </c>
      <c r="C186" s="1" t="s">
        <v>1653</v>
      </c>
      <c r="D186" s="1" t="s">
        <v>1654</v>
      </c>
      <c r="E186" s="1" t="s">
        <v>1655</v>
      </c>
      <c r="K186" s="1">
        <v>468442.1798</v>
      </c>
      <c r="L186" s="1">
        <v>3384220.3782</v>
      </c>
    </row>
    <row r="187" spans="2:12">
      <c r="B187" s="1" t="s">
        <v>1656</v>
      </c>
      <c r="C187" s="1" t="s">
        <v>1657</v>
      </c>
      <c r="D187" s="1" t="s">
        <v>1658</v>
      </c>
      <c r="E187" s="1" t="s">
        <v>1659</v>
      </c>
      <c r="K187" s="1">
        <v>468537.3348</v>
      </c>
      <c r="L187" s="1">
        <v>3384163.1155</v>
      </c>
    </row>
    <row r="188" spans="2:12">
      <c r="B188" s="1" t="s">
        <v>1660</v>
      </c>
      <c r="C188" s="1" t="s">
        <v>1661</v>
      </c>
      <c r="D188" s="1" t="s">
        <v>1662</v>
      </c>
      <c r="E188" s="1" t="s">
        <v>1663</v>
      </c>
      <c r="K188" s="1">
        <v>468572.0126</v>
      </c>
      <c r="L188" s="1">
        <v>3384142.247</v>
      </c>
    </row>
    <row r="189" spans="2:12">
      <c r="B189" s="1" t="s">
        <v>1664</v>
      </c>
      <c r="C189" s="1" t="s">
        <v>1665</v>
      </c>
      <c r="D189" s="1" t="s">
        <v>1666</v>
      </c>
      <c r="E189" s="1" t="s">
        <v>1667</v>
      </c>
      <c r="K189" s="1">
        <v>468683.2018</v>
      </c>
      <c r="L189" s="1">
        <v>3384075.3353</v>
      </c>
    </row>
    <row r="190" spans="2:12">
      <c r="B190" s="1" t="s">
        <v>1668</v>
      </c>
      <c r="C190" s="1" t="s">
        <v>1669</v>
      </c>
      <c r="D190" s="1" t="s">
        <v>1670</v>
      </c>
      <c r="E190" s="1" t="s">
        <v>1671</v>
      </c>
      <c r="K190" s="1">
        <v>468912.2777</v>
      </c>
      <c r="L190" s="1">
        <v>3384001.5863</v>
      </c>
    </row>
    <row r="191" spans="2:12">
      <c r="B191" s="1" t="s">
        <v>1672</v>
      </c>
      <c r="C191" s="1" t="s">
        <v>1673</v>
      </c>
      <c r="D191" s="1" t="s">
        <v>1674</v>
      </c>
      <c r="E191" s="1" t="s">
        <v>1675</v>
      </c>
      <c r="K191" s="1">
        <v>468929.2611</v>
      </c>
      <c r="L191" s="1">
        <v>3383996.1186</v>
      </c>
    </row>
    <row r="192" spans="2:12">
      <c r="B192" s="1" t="s">
        <v>1676</v>
      </c>
      <c r="C192" s="1" t="s">
        <v>1677</v>
      </c>
      <c r="D192" s="1" t="s">
        <v>1678</v>
      </c>
      <c r="E192" s="1" t="s">
        <v>1679</v>
      </c>
      <c r="K192" s="1">
        <v>469072.308</v>
      </c>
      <c r="L192" s="1">
        <v>3383950.0659</v>
      </c>
    </row>
    <row r="193" spans="2:12">
      <c r="B193" s="1" t="s">
        <v>1680</v>
      </c>
      <c r="C193" s="1" t="s">
        <v>1681</v>
      </c>
      <c r="D193" s="1" t="s">
        <v>1682</v>
      </c>
      <c r="E193" s="1" t="s">
        <v>1683</v>
      </c>
      <c r="K193" s="1">
        <v>469205.893</v>
      </c>
      <c r="L193" s="1">
        <v>3383907.0594</v>
      </c>
    </row>
    <row r="194" spans="2:12">
      <c r="B194" s="1" t="s">
        <v>1684</v>
      </c>
      <c r="C194" s="1" t="s">
        <v>1685</v>
      </c>
      <c r="D194" s="1" t="s">
        <v>1686</v>
      </c>
      <c r="E194" s="1" t="s">
        <v>1687</v>
      </c>
      <c r="K194" s="1">
        <v>469238.4096</v>
      </c>
      <c r="L194" s="1">
        <v>3383913.7349</v>
      </c>
    </row>
    <row r="195" spans="2:12">
      <c r="B195" s="1" t="s">
        <v>1688</v>
      </c>
      <c r="C195" s="1" t="s">
        <v>1689</v>
      </c>
      <c r="D195" s="1" t="s">
        <v>1690</v>
      </c>
      <c r="E195" s="1" t="s">
        <v>1691</v>
      </c>
      <c r="K195" s="1">
        <v>469273.3353</v>
      </c>
      <c r="L195" s="1">
        <v>3383920.9049</v>
      </c>
    </row>
    <row r="196" spans="2:12">
      <c r="B196" s="1" t="s">
        <v>1692</v>
      </c>
      <c r="C196" s="1" t="s">
        <v>1693</v>
      </c>
      <c r="D196" s="1" t="s">
        <v>1694</v>
      </c>
      <c r="E196" s="1" t="s">
        <v>1695</v>
      </c>
      <c r="K196" s="1">
        <v>469388.3215</v>
      </c>
      <c r="L196" s="1">
        <v>3383944.511</v>
      </c>
    </row>
    <row r="197" spans="2:12">
      <c r="B197" s="1" t="s">
        <v>1696</v>
      </c>
      <c r="C197" s="1" t="s">
        <v>1697</v>
      </c>
      <c r="D197" s="1" t="s">
        <v>1698</v>
      </c>
      <c r="E197" s="1" t="s">
        <v>1699</v>
      </c>
      <c r="K197" s="1">
        <v>469477.9764</v>
      </c>
      <c r="L197" s="1">
        <v>3383962.9166</v>
      </c>
    </row>
    <row r="198" spans="2:12">
      <c r="B198" s="1" t="s">
        <v>1700</v>
      </c>
      <c r="C198" s="1" t="s">
        <v>1701</v>
      </c>
      <c r="D198" s="1" t="s">
        <v>1702</v>
      </c>
      <c r="E198" s="1" t="s">
        <v>1703</v>
      </c>
      <c r="K198" s="1">
        <v>469523.5734</v>
      </c>
      <c r="L198" s="1">
        <v>3383963.6794</v>
      </c>
    </row>
    <row r="199" spans="2:12">
      <c r="B199" s="1" t="s">
        <v>1704</v>
      </c>
      <c r="C199" s="1" t="s">
        <v>1705</v>
      </c>
      <c r="D199" s="1" t="s">
        <v>1706</v>
      </c>
      <c r="E199" s="1" t="s">
        <v>1707</v>
      </c>
      <c r="K199" s="1">
        <v>469577.0426</v>
      </c>
      <c r="L199" s="1">
        <v>3383982.4548</v>
      </c>
    </row>
    <row r="200" spans="2:12">
      <c r="B200" s="1" t="s">
        <v>1708</v>
      </c>
      <c r="C200" s="1" t="s">
        <v>1709</v>
      </c>
      <c r="D200" s="1" t="s">
        <v>1710</v>
      </c>
      <c r="E200" s="1" t="s">
        <v>1711</v>
      </c>
      <c r="K200" s="1">
        <v>469659.14</v>
      </c>
      <c r="L200" s="1">
        <v>3383986.7828</v>
      </c>
    </row>
    <row r="201" spans="2:12">
      <c r="B201" s="1" t="s">
        <v>1712</v>
      </c>
      <c r="C201" s="1" t="s">
        <v>1713</v>
      </c>
      <c r="D201" s="1" t="s">
        <v>1714</v>
      </c>
      <c r="E201" s="1" t="s">
        <v>1715</v>
      </c>
      <c r="K201" s="1">
        <v>469693.0144</v>
      </c>
      <c r="L201" s="1">
        <v>3384009.3925</v>
      </c>
    </row>
    <row r="202" spans="2:12">
      <c r="B202" s="1" t="s">
        <v>1716</v>
      </c>
      <c r="C202" s="1" t="s">
        <v>1717</v>
      </c>
      <c r="D202" s="1" t="s">
        <v>1718</v>
      </c>
      <c r="E202" s="1" t="s">
        <v>1719</v>
      </c>
      <c r="K202" s="1">
        <v>469802.2934</v>
      </c>
      <c r="L202" s="1">
        <v>3384082.3315</v>
      </c>
    </row>
    <row r="203" spans="2:12">
      <c r="B203" s="1" t="s">
        <v>1720</v>
      </c>
      <c r="C203" s="1" t="s">
        <v>1721</v>
      </c>
      <c r="D203" s="1" t="s">
        <v>1722</v>
      </c>
      <c r="E203" s="1" t="s">
        <v>1723</v>
      </c>
      <c r="K203" s="1">
        <v>470156.7431</v>
      </c>
      <c r="L203" s="1">
        <v>3384074.4435</v>
      </c>
    </row>
    <row r="204" spans="2:12">
      <c r="B204" s="1" t="s">
        <v>1724</v>
      </c>
      <c r="C204" s="1" t="s">
        <v>1725</v>
      </c>
      <c r="D204" s="1" t="s">
        <v>1726</v>
      </c>
      <c r="E204" s="1" t="s">
        <v>1727</v>
      </c>
      <c r="K204" s="1">
        <v>470240.6901</v>
      </c>
      <c r="L204" s="1">
        <v>3384047.0119</v>
      </c>
    </row>
    <row r="205" spans="2:12">
      <c r="B205" s="1" t="s">
        <v>1728</v>
      </c>
      <c r="C205" s="1" t="s">
        <v>1729</v>
      </c>
      <c r="D205" s="1" t="s">
        <v>1730</v>
      </c>
      <c r="E205" s="1" t="s">
        <v>1731</v>
      </c>
      <c r="K205" s="1">
        <v>470315.0975</v>
      </c>
      <c r="L205" s="1">
        <v>3384022.6977</v>
      </c>
    </row>
    <row r="206" spans="2:12">
      <c r="B206" s="1" t="s">
        <v>1732</v>
      </c>
      <c r="C206" s="1" t="s">
        <v>1733</v>
      </c>
      <c r="D206" s="1" t="s">
        <v>1734</v>
      </c>
      <c r="E206" s="1" t="s">
        <v>1735</v>
      </c>
      <c r="K206" s="1">
        <v>470353.7996</v>
      </c>
      <c r="L206" s="1">
        <v>3384017.9923</v>
      </c>
    </row>
    <row r="207" spans="2:12">
      <c r="B207" s="1" t="s">
        <v>1736</v>
      </c>
      <c r="C207" s="1" t="s">
        <v>1737</v>
      </c>
      <c r="D207" s="1" t="s">
        <v>1738</v>
      </c>
      <c r="E207" s="1" t="s">
        <v>1739</v>
      </c>
      <c r="K207" s="1">
        <v>470420.622</v>
      </c>
      <c r="L207" s="1">
        <v>3384009.8682</v>
      </c>
    </row>
    <row r="208" spans="2:12">
      <c r="B208" s="1" t="s">
        <v>1740</v>
      </c>
      <c r="C208" s="1" t="s">
        <v>1741</v>
      </c>
      <c r="D208" s="1" t="s">
        <v>1742</v>
      </c>
      <c r="E208" s="1" t="s">
        <v>1743</v>
      </c>
      <c r="K208" s="1">
        <v>470472.9688</v>
      </c>
      <c r="L208" s="1">
        <v>3384003.5039</v>
      </c>
    </row>
    <row r="209" spans="2:12">
      <c r="B209" s="1" t="s">
        <v>1744</v>
      </c>
      <c r="C209" s="1" t="s">
        <v>1745</v>
      </c>
      <c r="D209" s="1" t="s">
        <v>1746</v>
      </c>
      <c r="E209" s="1" t="s">
        <v>1747</v>
      </c>
      <c r="K209" s="1">
        <v>470551.3653</v>
      </c>
      <c r="L209" s="1">
        <v>3383993.9726</v>
      </c>
    </row>
    <row r="210" spans="2:12">
      <c r="B210" s="1" t="s">
        <v>1748</v>
      </c>
      <c r="C210" s="1" t="s">
        <v>1749</v>
      </c>
      <c r="D210" s="1" t="s">
        <v>1750</v>
      </c>
      <c r="E210" s="1" t="s">
        <v>1751</v>
      </c>
      <c r="K210" s="1">
        <v>471365.2555</v>
      </c>
      <c r="L210" s="1">
        <v>3383617.1895</v>
      </c>
    </row>
    <row r="211" spans="2:12">
      <c r="B211" s="1" t="s">
        <v>1752</v>
      </c>
      <c r="C211" s="1" t="s">
        <v>1753</v>
      </c>
      <c r="D211" s="1" t="s">
        <v>1754</v>
      </c>
      <c r="E211" s="1" t="s">
        <v>1755</v>
      </c>
      <c r="K211" s="1">
        <v>471560.7823</v>
      </c>
      <c r="L211" s="1">
        <v>3383448.0701</v>
      </c>
    </row>
    <row r="212" spans="2:12">
      <c r="B212" s="1" t="s">
        <v>1756</v>
      </c>
      <c r="C212" s="1" t="s">
        <v>1757</v>
      </c>
      <c r="D212" s="1" t="s">
        <v>1758</v>
      </c>
      <c r="E212" s="1" t="s">
        <v>1759</v>
      </c>
      <c r="K212" s="1">
        <v>471679.5136</v>
      </c>
      <c r="L212" s="1">
        <v>3383309.5507</v>
      </c>
    </row>
    <row r="213" spans="2:12">
      <c r="B213" s="1" t="s">
        <v>1760</v>
      </c>
      <c r="C213" s="1" t="s">
        <v>1761</v>
      </c>
      <c r="D213" s="1" t="s">
        <v>1762</v>
      </c>
      <c r="E213" s="1" t="s">
        <v>1763</v>
      </c>
      <c r="K213" s="1">
        <v>471702.9624</v>
      </c>
      <c r="L213" s="1">
        <v>3383282.1939</v>
      </c>
    </row>
    <row r="214" spans="2:12">
      <c r="B214" s="1" t="s">
        <v>1764</v>
      </c>
      <c r="C214" s="1" t="s">
        <v>1765</v>
      </c>
      <c r="D214" s="1" t="s">
        <v>1766</v>
      </c>
      <c r="E214" s="1" t="s">
        <v>1767</v>
      </c>
      <c r="K214" s="1">
        <v>471741.1329</v>
      </c>
      <c r="L214" s="1">
        <v>3383272.7583</v>
      </c>
    </row>
    <row r="215" spans="2:12">
      <c r="B215" s="1" t="s">
        <v>1768</v>
      </c>
      <c r="C215" s="1" t="s">
        <v>1769</v>
      </c>
      <c r="D215" s="1" t="s">
        <v>1770</v>
      </c>
      <c r="E215" s="1" t="s">
        <v>1771</v>
      </c>
      <c r="K215" s="1">
        <v>471779.9048</v>
      </c>
      <c r="L215" s="1">
        <v>3383175.2951</v>
      </c>
    </row>
    <row r="216" spans="2:12">
      <c r="B216" s="1" t="s">
        <v>1772</v>
      </c>
      <c r="C216" s="1" t="s">
        <v>1773</v>
      </c>
      <c r="D216" s="1" t="s">
        <v>1774</v>
      </c>
      <c r="E216" s="1" t="s">
        <v>1775</v>
      </c>
      <c r="K216" s="1">
        <v>471819.2636</v>
      </c>
      <c r="L216" s="1">
        <v>3383076.3565</v>
      </c>
    </row>
    <row r="217" spans="2:12">
      <c r="B217" s="1" t="s">
        <v>1776</v>
      </c>
      <c r="C217" s="1" t="s">
        <v>1777</v>
      </c>
      <c r="D217" s="1" t="s">
        <v>1778</v>
      </c>
      <c r="E217" s="1" t="s">
        <v>1779</v>
      </c>
      <c r="K217" s="1">
        <v>471832.0643</v>
      </c>
      <c r="L217" s="1">
        <v>3383044.1788</v>
      </c>
    </row>
    <row r="218" spans="2:12">
      <c r="B218" s="1" t="s">
        <v>1780</v>
      </c>
      <c r="C218" s="1" t="s">
        <v>1781</v>
      </c>
      <c r="D218" s="1" t="s">
        <v>1782</v>
      </c>
      <c r="E218" s="1" t="s">
        <v>1783</v>
      </c>
      <c r="K218" s="1">
        <v>471869.2601</v>
      </c>
      <c r="L218" s="1">
        <v>3382968.808</v>
      </c>
    </row>
    <row r="219" spans="2:12">
      <c r="B219" s="1" t="s">
        <v>1784</v>
      </c>
      <c r="C219" s="1" t="s">
        <v>1785</v>
      </c>
      <c r="D219" s="1" t="s">
        <v>1786</v>
      </c>
      <c r="E219" s="1" t="s">
        <v>1787</v>
      </c>
      <c r="K219" s="1">
        <v>471939.1576</v>
      </c>
      <c r="L219" s="1">
        <v>3382921.0901</v>
      </c>
    </row>
    <row r="220" spans="2:12">
      <c r="B220" s="1" t="s">
        <v>1788</v>
      </c>
      <c r="C220" s="1" t="s">
        <v>1789</v>
      </c>
      <c r="D220" s="1" t="s">
        <v>1790</v>
      </c>
      <c r="E220" s="1" t="s">
        <v>1791</v>
      </c>
      <c r="K220" s="1">
        <v>471957.2992</v>
      </c>
      <c r="L220" s="1">
        <v>3382895.2967</v>
      </c>
    </row>
    <row r="221" spans="2:12">
      <c r="B221" s="1" t="s">
        <v>1792</v>
      </c>
      <c r="C221" s="1" t="s">
        <v>1793</v>
      </c>
      <c r="D221" s="1" t="s">
        <v>1794</v>
      </c>
      <c r="E221" s="1" t="s">
        <v>1795</v>
      </c>
      <c r="K221" s="1">
        <v>472047.7315</v>
      </c>
      <c r="L221" s="1">
        <v>3382766.7219</v>
      </c>
    </row>
    <row r="222" spans="2:12">
      <c r="B222" s="1" t="s">
        <v>1796</v>
      </c>
      <c r="C222" s="1" t="s">
        <v>1797</v>
      </c>
      <c r="D222" s="1" t="s">
        <v>1798</v>
      </c>
      <c r="E222" s="1" t="s">
        <v>1799</v>
      </c>
      <c r="K222" s="1">
        <v>472114.7288</v>
      </c>
      <c r="L222" s="1">
        <v>3382671.4665</v>
      </c>
    </row>
    <row r="223" spans="2:12">
      <c r="B223" s="1" t="s">
        <v>1800</v>
      </c>
      <c r="C223" s="1" t="s">
        <v>1801</v>
      </c>
      <c r="D223" s="1" t="s">
        <v>1802</v>
      </c>
      <c r="E223" s="1" t="s">
        <v>1803</v>
      </c>
      <c r="K223" s="1">
        <v>472265.8847</v>
      </c>
      <c r="L223" s="1">
        <v>3382595.7379</v>
      </c>
    </row>
    <row r="224" spans="2:12">
      <c r="B224" s="1" t="s">
        <v>1804</v>
      </c>
      <c r="C224" s="1" t="s">
        <v>1805</v>
      </c>
      <c r="D224" s="1" t="s">
        <v>1806</v>
      </c>
      <c r="E224" s="1" t="s">
        <v>1807</v>
      </c>
      <c r="K224" s="1">
        <v>472286.783</v>
      </c>
      <c r="L224" s="1">
        <v>3382566.1897</v>
      </c>
    </row>
    <row r="225" spans="2:12">
      <c r="B225" s="1" t="s">
        <v>1808</v>
      </c>
      <c r="C225" s="1" t="s">
        <v>1809</v>
      </c>
      <c r="D225" s="1" t="s">
        <v>1810</v>
      </c>
      <c r="E225" s="1" t="s">
        <v>1811</v>
      </c>
      <c r="K225" s="1">
        <v>472361.5596</v>
      </c>
      <c r="L225" s="1">
        <v>3382460.4629</v>
      </c>
    </row>
    <row r="226" spans="2:12">
      <c r="B226" s="1" t="s">
        <v>1812</v>
      </c>
      <c r="C226" s="1" t="s">
        <v>1813</v>
      </c>
      <c r="D226" s="1" t="s">
        <v>1814</v>
      </c>
      <c r="E226" s="1" t="s">
        <v>1815</v>
      </c>
      <c r="K226" s="1">
        <v>472385.2076</v>
      </c>
      <c r="L226" s="1">
        <v>3382427.027</v>
      </c>
    </row>
    <row r="227" spans="2:12">
      <c r="B227" s="1" t="s">
        <v>1816</v>
      </c>
      <c r="C227" s="1" t="s">
        <v>1817</v>
      </c>
      <c r="D227" s="1" t="s">
        <v>1818</v>
      </c>
      <c r="E227" s="1" t="s">
        <v>1819</v>
      </c>
      <c r="K227" s="1">
        <v>472560.6593</v>
      </c>
      <c r="L227" s="1">
        <v>3382340.7054</v>
      </c>
    </row>
    <row r="228" spans="2:12">
      <c r="B228" s="1" t="s">
        <v>1820</v>
      </c>
      <c r="C228" s="1" t="s">
        <v>1821</v>
      </c>
      <c r="D228" s="1" t="s">
        <v>1822</v>
      </c>
      <c r="E228" s="1" t="s">
        <v>1823</v>
      </c>
      <c r="K228" s="1">
        <v>472582.827</v>
      </c>
      <c r="L228" s="1">
        <v>3382331.6238</v>
      </c>
    </row>
    <row r="229" spans="2:12">
      <c r="B229" s="1" t="s">
        <v>1824</v>
      </c>
      <c r="C229" s="1" t="s">
        <v>1825</v>
      </c>
      <c r="D229" s="1" t="s">
        <v>1826</v>
      </c>
      <c r="E229" s="1" t="s">
        <v>1827</v>
      </c>
      <c r="K229" s="1">
        <v>472836.7471</v>
      </c>
      <c r="L229" s="1">
        <v>3382227.598</v>
      </c>
    </row>
    <row r="230" spans="2:12">
      <c r="B230" s="1" t="s">
        <v>1828</v>
      </c>
      <c r="C230" s="1" t="s">
        <v>1829</v>
      </c>
      <c r="D230" s="1" t="s">
        <v>1830</v>
      </c>
      <c r="E230" s="1" t="s">
        <v>1831</v>
      </c>
      <c r="K230" s="1">
        <v>472884.6368</v>
      </c>
      <c r="L230" s="1">
        <v>3382207.9785</v>
      </c>
    </row>
    <row r="231" spans="2:12">
      <c r="B231" s="1" t="s">
        <v>1832</v>
      </c>
      <c r="C231" s="1" t="s">
        <v>1833</v>
      </c>
      <c r="D231" s="1" t="s">
        <v>1834</v>
      </c>
      <c r="E231" s="1" t="s">
        <v>1835</v>
      </c>
      <c r="K231" s="1">
        <v>472934.7022</v>
      </c>
      <c r="L231" s="1">
        <v>3382201.8065</v>
      </c>
    </row>
    <row r="232" spans="2:12">
      <c r="B232" s="1" t="s">
        <v>1836</v>
      </c>
      <c r="C232" s="1" t="s">
        <v>1837</v>
      </c>
      <c r="D232" s="1" t="s">
        <v>1838</v>
      </c>
      <c r="E232" s="1" t="s">
        <v>1839</v>
      </c>
      <c r="K232" s="1">
        <v>473047.9387</v>
      </c>
      <c r="L232" s="1">
        <v>3382143.6566</v>
      </c>
    </row>
    <row r="233" spans="2:12">
      <c r="B233" s="1" t="s">
        <v>1840</v>
      </c>
      <c r="C233" s="1" t="s">
        <v>1841</v>
      </c>
      <c r="D233" s="1" t="s">
        <v>1842</v>
      </c>
      <c r="E233" s="1" t="s">
        <v>1843</v>
      </c>
      <c r="K233" s="1">
        <v>473101.9391</v>
      </c>
      <c r="L233" s="1">
        <v>3382154.8835</v>
      </c>
    </row>
    <row r="234" spans="2:12">
      <c r="B234" s="1" t="s">
        <v>1844</v>
      </c>
      <c r="C234" s="1" t="s">
        <v>1845</v>
      </c>
      <c r="D234" s="1" t="s">
        <v>1846</v>
      </c>
      <c r="E234" s="1" t="s">
        <v>1847</v>
      </c>
      <c r="K234" s="1">
        <v>473165.76</v>
      </c>
      <c r="L234" s="1">
        <v>3382140.8404</v>
      </c>
    </row>
    <row r="235" spans="2:12">
      <c r="B235" s="1" t="s">
        <v>1848</v>
      </c>
      <c r="C235" s="1" t="s">
        <v>1849</v>
      </c>
      <c r="D235" s="1" t="s">
        <v>1850</v>
      </c>
      <c r="E235" s="1" t="s">
        <v>1851</v>
      </c>
      <c r="K235" s="1">
        <v>473232.497</v>
      </c>
      <c r="L235" s="1">
        <v>3382108.1286</v>
      </c>
    </row>
    <row r="236" spans="2:12">
      <c r="B236" s="1" t="s">
        <v>1852</v>
      </c>
      <c r="C236" s="1" t="s">
        <v>1853</v>
      </c>
      <c r="D236" s="1" t="s">
        <v>1854</v>
      </c>
      <c r="E236" s="1" t="s">
        <v>1855</v>
      </c>
      <c r="K236" s="1">
        <v>473297.327</v>
      </c>
      <c r="L236" s="1">
        <v>3382076.3516</v>
      </c>
    </row>
    <row r="237" spans="2:12">
      <c r="B237" s="1" t="s">
        <v>1856</v>
      </c>
      <c r="C237" s="1" t="s">
        <v>1857</v>
      </c>
      <c r="D237" s="1" t="s">
        <v>1858</v>
      </c>
      <c r="E237" s="1" t="s">
        <v>1859</v>
      </c>
      <c r="K237" s="1">
        <v>473584.3967</v>
      </c>
      <c r="L237" s="1">
        <v>3382084.6089</v>
      </c>
    </row>
    <row r="238" spans="2:12">
      <c r="B238" s="1" t="s">
        <v>1860</v>
      </c>
      <c r="C238" s="1" t="s">
        <v>1861</v>
      </c>
      <c r="D238" s="1" t="s">
        <v>1862</v>
      </c>
      <c r="E238" s="1" t="s">
        <v>1863</v>
      </c>
      <c r="K238" s="1">
        <v>473610.4372</v>
      </c>
      <c r="L238" s="1">
        <v>3382085.3579</v>
      </c>
    </row>
    <row r="239" spans="2:12">
      <c r="B239" s="1" t="s">
        <v>1864</v>
      </c>
      <c r="C239" s="1" t="s">
        <v>1865</v>
      </c>
      <c r="D239" s="1" t="s">
        <v>1866</v>
      </c>
      <c r="E239" s="1" t="s">
        <v>1867</v>
      </c>
      <c r="K239" s="1">
        <v>473670.7164</v>
      </c>
      <c r="L239" s="1">
        <v>3382096.1257</v>
      </c>
    </row>
    <row r="240" spans="2:12">
      <c r="B240" s="1" t="s">
        <v>1868</v>
      </c>
      <c r="C240" s="1" t="s">
        <v>1869</v>
      </c>
      <c r="D240" s="1" t="s">
        <v>1870</v>
      </c>
      <c r="E240" s="1" t="s">
        <v>1871</v>
      </c>
      <c r="K240" s="1">
        <v>473763.1194</v>
      </c>
      <c r="L240" s="1">
        <v>3382084.9457</v>
      </c>
    </row>
    <row r="241" spans="2:12">
      <c r="B241" s="1" t="s">
        <v>1872</v>
      </c>
      <c r="C241" s="1" t="s">
        <v>1873</v>
      </c>
      <c r="D241" s="1" t="s">
        <v>1874</v>
      </c>
      <c r="E241" s="1" t="s">
        <v>1875</v>
      </c>
      <c r="K241" s="1">
        <v>473879.762</v>
      </c>
      <c r="L241" s="1">
        <v>3382096.401</v>
      </c>
    </row>
    <row r="242" spans="2:12">
      <c r="B242" s="1" t="s">
        <v>1876</v>
      </c>
      <c r="C242" s="1" t="s">
        <v>1877</v>
      </c>
      <c r="D242" s="1" t="s">
        <v>1878</v>
      </c>
      <c r="E242" s="1" t="s">
        <v>1879</v>
      </c>
      <c r="K242" s="1">
        <v>473973.9601</v>
      </c>
      <c r="L242" s="1">
        <v>3382065.7081</v>
      </c>
    </row>
    <row r="243" spans="2:12">
      <c r="B243" s="1" t="s">
        <v>1880</v>
      </c>
      <c r="C243" s="1" t="s">
        <v>1881</v>
      </c>
      <c r="D243" s="1" t="s">
        <v>1882</v>
      </c>
      <c r="E243" s="1" t="s">
        <v>1883</v>
      </c>
      <c r="K243" s="1">
        <v>474349.1058</v>
      </c>
      <c r="L243" s="1">
        <v>3381943.4731</v>
      </c>
    </row>
    <row r="244" spans="2:12">
      <c r="B244" s="1" t="s">
        <v>1884</v>
      </c>
      <c r="C244" s="1" t="s">
        <v>1885</v>
      </c>
      <c r="D244" s="1" t="s">
        <v>1886</v>
      </c>
      <c r="E244" s="1" t="s">
        <v>1887</v>
      </c>
      <c r="K244" s="1">
        <v>474375.9903</v>
      </c>
      <c r="L244" s="1">
        <v>3381934.7132</v>
      </c>
    </row>
    <row r="245" spans="2:12">
      <c r="B245" s="1" t="s">
        <v>1888</v>
      </c>
      <c r="C245" s="1" t="s">
        <v>1889</v>
      </c>
      <c r="D245" s="1" t="s">
        <v>1890</v>
      </c>
      <c r="E245" s="1" t="s">
        <v>1891</v>
      </c>
      <c r="K245" s="1">
        <v>474458.9313</v>
      </c>
      <c r="L245" s="1">
        <v>3381860.7959</v>
      </c>
    </row>
    <row r="246" spans="2:12">
      <c r="B246" s="1" t="s">
        <v>1892</v>
      </c>
      <c r="C246" s="1" t="s">
        <v>1893</v>
      </c>
      <c r="D246" s="1" t="s">
        <v>1894</v>
      </c>
      <c r="E246" s="1" t="s">
        <v>1895</v>
      </c>
      <c r="K246" s="1">
        <v>474487.6579</v>
      </c>
      <c r="L246" s="1">
        <v>3381828.4899</v>
      </c>
    </row>
    <row r="247" spans="2:12">
      <c r="B247" s="1" t="s">
        <v>1896</v>
      </c>
      <c r="C247" s="1" t="s">
        <v>1897</v>
      </c>
      <c r="D247" s="1" t="s">
        <v>1898</v>
      </c>
      <c r="E247" s="1" t="s">
        <v>1899</v>
      </c>
      <c r="K247" s="1">
        <v>474590.4642</v>
      </c>
      <c r="L247" s="1">
        <v>3381712.8733</v>
      </c>
    </row>
    <row r="248" spans="2:12">
      <c r="B248" s="1" t="s">
        <v>1900</v>
      </c>
      <c r="C248" s="1" t="s">
        <v>1901</v>
      </c>
      <c r="D248" s="1" t="s">
        <v>1902</v>
      </c>
      <c r="E248" s="1" t="s">
        <v>1903</v>
      </c>
      <c r="K248" s="1">
        <v>474610.7874</v>
      </c>
      <c r="L248" s="1">
        <v>3381690.0177</v>
      </c>
    </row>
    <row r="249" spans="2:12">
      <c r="B249" s="1" t="s">
        <v>1904</v>
      </c>
      <c r="C249" s="1" t="s">
        <v>1905</v>
      </c>
      <c r="D249" s="1" t="s">
        <v>1906</v>
      </c>
      <c r="E249" s="1" t="s">
        <v>1907</v>
      </c>
      <c r="K249" s="1">
        <v>474649.3721</v>
      </c>
      <c r="L249" s="1">
        <v>3381688.5218</v>
      </c>
    </row>
    <row r="250" spans="2:12">
      <c r="B250" s="1" t="s">
        <v>1908</v>
      </c>
      <c r="C250" s="1" t="s">
        <v>1909</v>
      </c>
      <c r="D250" s="1" t="s">
        <v>1910</v>
      </c>
      <c r="E250" s="1" t="s">
        <v>1911</v>
      </c>
      <c r="K250" s="1">
        <v>474829.449</v>
      </c>
      <c r="L250" s="1">
        <v>3381681.5403</v>
      </c>
    </row>
    <row r="251" spans="2:12">
      <c r="B251" s="1" t="s">
        <v>1912</v>
      </c>
      <c r="C251" s="1" t="s">
        <v>1913</v>
      </c>
      <c r="D251" s="1" t="s">
        <v>1914</v>
      </c>
      <c r="E251" s="1" t="s">
        <v>1915</v>
      </c>
      <c r="K251" s="1">
        <v>474884.3958</v>
      </c>
      <c r="L251" s="1">
        <v>3381679.41</v>
      </c>
    </row>
    <row r="252" spans="2:12">
      <c r="B252" s="1" t="s">
        <v>1916</v>
      </c>
      <c r="C252" s="1" t="s">
        <v>1917</v>
      </c>
      <c r="D252" s="1" t="s">
        <v>1918</v>
      </c>
      <c r="E252" s="1" t="s">
        <v>1919</v>
      </c>
      <c r="K252" s="1">
        <v>474935.0399</v>
      </c>
      <c r="L252" s="1">
        <v>3381615.1407</v>
      </c>
    </row>
    <row r="253" spans="2:12">
      <c r="B253" s="1" t="s">
        <v>1920</v>
      </c>
      <c r="C253" s="1" t="s">
        <v>1921</v>
      </c>
      <c r="D253" s="1" t="s">
        <v>1922</v>
      </c>
      <c r="E253" s="1" t="s">
        <v>1923</v>
      </c>
      <c r="K253" s="1">
        <v>475014.6117</v>
      </c>
      <c r="L253" s="1">
        <v>3381514.161</v>
      </c>
    </row>
    <row r="254" spans="2:12">
      <c r="B254" s="1" t="s">
        <v>1924</v>
      </c>
      <c r="C254" s="1" t="s">
        <v>1925</v>
      </c>
      <c r="D254" s="1" t="s">
        <v>1926</v>
      </c>
      <c r="E254" s="1" t="s">
        <v>1927</v>
      </c>
      <c r="K254" s="1">
        <v>475044.7358</v>
      </c>
      <c r="L254" s="1">
        <v>3381475.9324</v>
      </c>
    </row>
    <row r="255" spans="2:12">
      <c r="B255" s="1" t="s">
        <v>1928</v>
      </c>
      <c r="C255" s="1" t="s">
        <v>1929</v>
      </c>
      <c r="D255" s="1" t="s">
        <v>1930</v>
      </c>
      <c r="E255" s="1" t="s">
        <v>1931</v>
      </c>
      <c r="K255" s="1">
        <v>475057.5557</v>
      </c>
      <c r="L255" s="1">
        <v>3381423.8245</v>
      </c>
    </row>
    <row r="256" spans="2:12">
      <c r="B256" s="1" t="s">
        <v>1932</v>
      </c>
      <c r="C256" s="1" t="s">
        <v>1933</v>
      </c>
      <c r="D256" s="1" t="s">
        <v>1934</v>
      </c>
      <c r="E256" s="1" t="s">
        <v>1935</v>
      </c>
      <c r="K256" s="1">
        <v>475102.1676</v>
      </c>
      <c r="L256" s="1">
        <v>3381327.2971</v>
      </c>
    </row>
    <row r="257" spans="2:12">
      <c r="B257" s="1" t="s">
        <v>1936</v>
      </c>
      <c r="C257" s="1" t="s">
        <v>1937</v>
      </c>
      <c r="D257" s="1" t="s">
        <v>1938</v>
      </c>
      <c r="E257" s="1" t="s">
        <v>1939</v>
      </c>
      <c r="K257" s="1">
        <v>475145.0917</v>
      </c>
      <c r="L257" s="1">
        <v>3381271.5193</v>
      </c>
    </row>
    <row r="258" spans="2:12">
      <c r="B258" s="1" t="s">
        <v>1940</v>
      </c>
      <c r="C258" s="1" t="s">
        <v>1941</v>
      </c>
      <c r="D258" s="1" t="s">
        <v>1942</v>
      </c>
      <c r="E258" s="1" t="s">
        <v>1943</v>
      </c>
      <c r="K258" s="1">
        <v>475205.5627</v>
      </c>
      <c r="L258" s="1">
        <v>3381192.94</v>
      </c>
    </row>
    <row r="259" spans="2:12">
      <c r="B259" s="1" t="s">
        <v>1944</v>
      </c>
      <c r="C259" s="1" t="s">
        <v>1945</v>
      </c>
      <c r="D259" s="1" t="s">
        <v>1946</v>
      </c>
      <c r="E259" s="1" t="s">
        <v>1947</v>
      </c>
      <c r="K259" s="1">
        <v>475221.481</v>
      </c>
      <c r="L259" s="1">
        <v>3381172.255</v>
      </c>
    </row>
    <row r="260" spans="2:12">
      <c r="B260" s="1" t="s">
        <v>1948</v>
      </c>
      <c r="C260" s="1" t="s">
        <v>1949</v>
      </c>
      <c r="D260" s="1" t="s">
        <v>1950</v>
      </c>
      <c r="E260" s="1" t="s">
        <v>1951</v>
      </c>
      <c r="K260" s="1">
        <v>475241.6018</v>
      </c>
      <c r="L260" s="1">
        <v>3381096.472</v>
      </c>
    </row>
    <row r="261" spans="2:12">
      <c r="B261" s="1" t="s">
        <v>1952</v>
      </c>
      <c r="C261" s="1" t="s">
        <v>1953</v>
      </c>
      <c r="D261" s="1" t="s">
        <v>1954</v>
      </c>
      <c r="E261" s="1" t="s">
        <v>1955</v>
      </c>
      <c r="K261" s="1">
        <v>475260.8889</v>
      </c>
      <c r="L261" s="1">
        <v>3381023.8292</v>
      </c>
    </row>
    <row r="262" spans="2:12">
      <c r="B262" s="1" t="s">
        <v>1956</v>
      </c>
      <c r="C262" s="1" t="s">
        <v>1957</v>
      </c>
      <c r="D262" s="1" t="s">
        <v>1958</v>
      </c>
      <c r="E262" s="1" t="s">
        <v>1959</v>
      </c>
      <c r="K262" s="1">
        <v>475513.2176</v>
      </c>
      <c r="L262" s="1">
        <v>3380941.0795</v>
      </c>
    </row>
    <row r="263" spans="2:12">
      <c r="B263" s="1" t="s">
        <v>1960</v>
      </c>
      <c r="C263" s="1" t="s">
        <v>1961</v>
      </c>
      <c r="D263" s="1" t="s">
        <v>1962</v>
      </c>
      <c r="E263" s="1" t="s">
        <v>1963</v>
      </c>
      <c r="K263" s="1">
        <v>475646.9836</v>
      </c>
      <c r="L263" s="1">
        <v>3380747.3577</v>
      </c>
    </row>
    <row r="264" spans="2:12">
      <c r="B264" s="1" t="s">
        <v>1964</v>
      </c>
      <c r="C264" s="1" t="s">
        <v>1965</v>
      </c>
      <c r="D264" s="1" t="s">
        <v>1966</v>
      </c>
      <c r="E264" s="1" t="s">
        <v>1967</v>
      </c>
      <c r="K264" s="1">
        <v>475666.653</v>
      </c>
      <c r="L264" s="1">
        <v>3380393.201</v>
      </c>
    </row>
    <row r="265" spans="2:12">
      <c r="B265" s="1" t="s">
        <v>1968</v>
      </c>
      <c r="C265" s="1" t="s">
        <v>1969</v>
      </c>
      <c r="D265" s="1" t="s">
        <v>1970</v>
      </c>
      <c r="E265" s="1" t="s">
        <v>1971</v>
      </c>
      <c r="K265" s="1">
        <v>475770.6804</v>
      </c>
      <c r="L265" s="1">
        <v>3380261.349</v>
      </c>
    </row>
    <row r="266" spans="2:12">
      <c r="B266" s="1" t="s">
        <v>1972</v>
      </c>
      <c r="C266" s="1" t="s">
        <v>1973</v>
      </c>
      <c r="D266" s="1" t="s">
        <v>1974</v>
      </c>
      <c r="E266" s="1" t="s">
        <v>1975</v>
      </c>
      <c r="K266" s="1">
        <v>475939.9772</v>
      </c>
      <c r="L266" s="1">
        <v>3380144.7202</v>
      </c>
    </row>
    <row r="267" spans="2:12">
      <c r="B267" s="1" t="s">
        <v>1976</v>
      </c>
      <c r="C267" s="1" t="s">
        <v>1977</v>
      </c>
      <c r="D267" s="1" t="s">
        <v>1978</v>
      </c>
      <c r="E267" s="1" t="s">
        <v>1979</v>
      </c>
      <c r="K267" s="1">
        <v>476327.8184</v>
      </c>
      <c r="L267" s="1">
        <v>3380064.1138</v>
      </c>
    </row>
    <row r="268" spans="2:12">
      <c r="B268" s="1" t="s">
        <v>1980</v>
      </c>
      <c r="C268" s="1" t="s">
        <v>1981</v>
      </c>
      <c r="D268" s="1" t="s">
        <v>1982</v>
      </c>
      <c r="E268" s="1" t="s">
        <v>1983</v>
      </c>
      <c r="K268" s="1">
        <v>476504.8633</v>
      </c>
      <c r="L268" s="1">
        <v>3379945.1403</v>
      </c>
    </row>
    <row r="269" spans="2:12">
      <c r="B269" s="1" t="s">
        <v>1984</v>
      </c>
      <c r="C269" s="1" t="s">
        <v>1985</v>
      </c>
      <c r="D269" s="1" t="s">
        <v>1986</v>
      </c>
      <c r="E269" s="1" t="s">
        <v>1987</v>
      </c>
      <c r="K269" s="1">
        <v>476667.1586</v>
      </c>
      <c r="L269" s="1">
        <v>3379668.2011</v>
      </c>
    </row>
    <row r="270" spans="2:12">
      <c r="B270" s="1" t="s">
        <v>1988</v>
      </c>
      <c r="C270" s="1" t="s">
        <v>1989</v>
      </c>
      <c r="D270" s="1" t="s">
        <v>1990</v>
      </c>
      <c r="E270" s="1" t="s">
        <v>1991</v>
      </c>
      <c r="K270" s="1">
        <v>476919.7161</v>
      </c>
      <c r="L270" s="1">
        <v>3379617.4408</v>
      </c>
    </row>
    <row r="271" spans="2:12">
      <c r="B271" s="1" t="s">
        <v>1992</v>
      </c>
      <c r="C271" s="1" t="s">
        <v>1993</v>
      </c>
      <c r="D271" s="1" t="s">
        <v>1994</v>
      </c>
      <c r="E271" s="1" t="s">
        <v>1995</v>
      </c>
      <c r="K271" s="1">
        <v>477129.3598</v>
      </c>
      <c r="L271" s="1">
        <v>3379601.46</v>
      </c>
    </row>
    <row r="272" spans="2:12">
      <c r="B272" s="1" t="s">
        <v>1996</v>
      </c>
      <c r="C272" s="1" t="s">
        <v>1997</v>
      </c>
      <c r="D272" s="1" t="s">
        <v>1998</v>
      </c>
      <c r="E272" s="1" t="s">
        <v>1999</v>
      </c>
      <c r="K272" s="1">
        <v>477310.9196</v>
      </c>
      <c r="L272" s="1">
        <v>3379636.9672</v>
      </c>
    </row>
    <row r="273" spans="2:12">
      <c r="B273" s="1" t="s">
        <v>2000</v>
      </c>
      <c r="C273" s="1" t="s">
        <v>2001</v>
      </c>
      <c r="D273" s="1" t="s">
        <v>2002</v>
      </c>
      <c r="E273" s="1" t="s">
        <v>2003</v>
      </c>
      <c r="K273" s="1">
        <v>477399.7684</v>
      </c>
      <c r="L273" s="1">
        <v>3379763.9882</v>
      </c>
    </row>
    <row r="274" spans="2:12">
      <c r="B274" s="1" t="s">
        <v>2004</v>
      </c>
      <c r="C274" s="1" t="s">
        <v>2005</v>
      </c>
      <c r="D274" s="1" t="s">
        <v>2006</v>
      </c>
      <c r="E274" s="1" t="s">
        <v>2007</v>
      </c>
      <c r="K274" s="1">
        <v>477558.6445</v>
      </c>
      <c r="L274" s="1">
        <v>3379825.9567</v>
      </c>
    </row>
    <row r="275" spans="2:12">
      <c r="B275" s="1" t="s">
        <v>2008</v>
      </c>
      <c r="C275" s="1" t="s">
        <v>2009</v>
      </c>
      <c r="D275" s="1" t="s">
        <v>2010</v>
      </c>
      <c r="E275" s="1" t="s">
        <v>2011</v>
      </c>
      <c r="K275" s="1">
        <v>477710.1265</v>
      </c>
      <c r="L275" s="1">
        <v>3379804.0612</v>
      </c>
    </row>
    <row r="276" spans="2:12">
      <c r="B276" s="1" t="s">
        <v>2012</v>
      </c>
      <c r="C276" s="1" t="s">
        <v>2013</v>
      </c>
      <c r="D276" s="1" t="s">
        <v>2014</v>
      </c>
      <c r="E276" s="1" t="s">
        <v>2015</v>
      </c>
      <c r="K276" s="1">
        <v>477827.8049</v>
      </c>
      <c r="L276" s="1">
        <v>3379818.087</v>
      </c>
    </row>
    <row r="277" spans="2:12">
      <c r="B277" s="1" t="s">
        <v>2016</v>
      </c>
      <c r="C277" s="1" t="s">
        <v>2017</v>
      </c>
      <c r="D277" s="1" t="s">
        <v>2018</v>
      </c>
      <c r="E277" s="1" t="s">
        <v>2019</v>
      </c>
      <c r="K277" s="1">
        <v>478041.7976</v>
      </c>
      <c r="L277" s="1">
        <v>3379843.5924</v>
      </c>
    </row>
    <row r="278" spans="2:12">
      <c r="B278" s="1" t="s">
        <v>2020</v>
      </c>
      <c r="C278" s="1" t="s">
        <v>2021</v>
      </c>
      <c r="D278" s="1" t="s">
        <v>2022</v>
      </c>
      <c r="E278" s="1" t="s">
        <v>2023</v>
      </c>
      <c r="K278" s="1">
        <v>478142.057</v>
      </c>
      <c r="L278" s="1">
        <v>3379771.3467</v>
      </c>
    </row>
    <row r="279" spans="2:12">
      <c r="B279" s="1" t="s">
        <v>2024</v>
      </c>
      <c r="C279" s="1" t="s">
        <v>2025</v>
      </c>
      <c r="D279" s="1" t="s">
        <v>2026</v>
      </c>
      <c r="E279" s="1" t="s">
        <v>2027</v>
      </c>
      <c r="K279" s="1">
        <v>478198.1904</v>
      </c>
      <c r="L279" s="1">
        <v>3379683.7377</v>
      </c>
    </row>
    <row r="280" spans="2:12">
      <c r="B280" s="1" t="s">
        <v>2028</v>
      </c>
      <c r="C280" s="1" t="s">
        <v>2029</v>
      </c>
      <c r="D280" s="1" t="s">
        <v>2030</v>
      </c>
      <c r="E280" s="1" t="s">
        <v>2031</v>
      </c>
      <c r="K280" s="1">
        <v>478264.447</v>
      </c>
      <c r="L280" s="1">
        <v>3379648.4099</v>
      </c>
    </row>
    <row r="281" spans="2:12">
      <c r="B281" s="1" t="s">
        <v>2032</v>
      </c>
      <c r="C281" s="1" t="s">
        <v>2033</v>
      </c>
      <c r="D281" s="1" t="s">
        <v>2034</v>
      </c>
      <c r="E281" s="1" t="s">
        <v>2035</v>
      </c>
      <c r="K281" s="1">
        <v>478523.6175</v>
      </c>
      <c r="L281" s="1">
        <v>3379510.2211</v>
      </c>
    </row>
    <row r="282" spans="2:12">
      <c r="B282" s="1" t="s">
        <v>2036</v>
      </c>
      <c r="C282" s="1" t="s">
        <v>2037</v>
      </c>
      <c r="D282" s="1" t="s">
        <v>2038</v>
      </c>
      <c r="E282" s="1" t="s">
        <v>2039</v>
      </c>
      <c r="K282" s="1">
        <v>478580.7661</v>
      </c>
      <c r="L282" s="1">
        <v>3378970.0082</v>
      </c>
    </row>
    <row r="283" spans="2:12">
      <c r="B283" s="1" t="s">
        <v>2040</v>
      </c>
      <c r="C283" s="1" t="s">
        <v>2041</v>
      </c>
      <c r="D283" s="1" t="s">
        <v>2042</v>
      </c>
      <c r="E283" s="1" t="s">
        <v>2043</v>
      </c>
      <c r="K283" s="1">
        <v>478777.0131</v>
      </c>
      <c r="L283" s="1">
        <v>3378581.0772</v>
      </c>
    </row>
    <row r="284" spans="2:12">
      <c r="B284" s="1" t="s">
        <v>2044</v>
      </c>
      <c r="C284" s="1" t="s">
        <v>2045</v>
      </c>
      <c r="D284" s="1" t="s">
        <v>2046</v>
      </c>
      <c r="E284" s="1" t="s">
        <v>2047</v>
      </c>
      <c r="K284" s="1">
        <v>478833.8309</v>
      </c>
      <c r="L284" s="1">
        <v>3378468.4731</v>
      </c>
    </row>
    <row r="285" spans="2:12">
      <c r="B285" s="1" t="s">
        <v>2048</v>
      </c>
      <c r="C285" s="1" t="s">
        <v>2049</v>
      </c>
      <c r="D285" s="1" t="s">
        <v>2050</v>
      </c>
      <c r="E285" s="1" t="s">
        <v>2051</v>
      </c>
      <c r="K285" s="1">
        <v>478853.5472</v>
      </c>
      <c r="L285" s="1">
        <v>3378415.4202</v>
      </c>
    </row>
    <row r="286" spans="2:12">
      <c r="B286" s="1" t="s">
        <v>2052</v>
      </c>
      <c r="C286" s="1" t="s">
        <v>2053</v>
      </c>
      <c r="D286" s="1" t="s">
        <v>2054</v>
      </c>
      <c r="E286" s="1" t="s">
        <v>2055</v>
      </c>
      <c r="K286" s="1">
        <v>478898.5557</v>
      </c>
      <c r="L286" s="1">
        <v>3378294.3105</v>
      </c>
    </row>
    <row r="287" spans="2:12">
      <c r="B287" s="1" t="s">
        <v>2056</v>
      </c>
      <c r="C287" s="1" t="s">
        <v>2057</v>
      </c>
      <c r="D287" s="1" t="s">
        <v>2058</v>
      </c>
      <c r="E287" s="1" t="s">
        <v>2059</v>
      </c>
      <c r="K287" s="1">
        <v>478908.8974</v>
      </c>
      <c r="L287" s="1">
        <v>3378266.4831</v>
      </c>
    </row>
    <row r="288" spans="2:12">
      <c r="B288" s="1" t="s">
        <v>2060</v>
      </c>
      <c r="C288" s="1" t="s">
        <v>2061</v>
      </c>
      <c r="D288" s="1" t="s">
        <v>2062</v>
      </c>
      <c r="E288" s="1" t="s">
        <v>2063</v>
      </c>
      <c r="K288" s="1">
        <v>478927.9938</v>
      </c>
      <c r="L288" s="1">
        <v>3378227.2751</v>
      </c>
    </row>
    <row r="289" spans="2:12">
      <c r="B289" s="1" t="s">
        <v>2064</v>
      </c>
      <c r="C289" s="1" t="s">
        <v>2065</v>
      </c>
      <c r="D289" s="1" t="s">
        <v>2066</v>
      </c>
      <c r="E289" s="1" t="s">
        <v>2067</v>
      </c>
      <c r="K289" s="1">
        <v>479000.9961</v>
      </c>
      <c r="L289" s="1">
        <v>3378077.3896</v>
      </c>
    </row>
    <row r="290" spans="2:12">
      <c r="B290" s="1" t="s">
        <v>2068</v>
      </c>
      <c r="C290" s="1" t="s">
        <v>2069</v>
      </c>
      <c r="D290" s="1" t="s">
        <v>2070</v>
      </c>
      <c r="E290" s="1" t="s">
        <v>2071</v>
      </c>
      <c r="K290" s="1">
        <v>479045.3642</v>
      </c>
      <c r="L290" s="1">
        <v>3378045.7252</v>
      </c>
    </row>
    <row r="291" spans="2:12">
      <c r="B291" s="1" t="s">
        <v>2072</v>
      </c>
      <c r="C291" s="1" t="s">
        <v>2073</v>
      </c>
      <c r="D291" s="1" t="s">
        <v>2074</v>
      </c>
      <c r="E291" s="1" t="s">
        <v>2075</v>
      </c>
      <c r="K291" s="1">
        <v>479069.8889</v>
      </c>
      <c r="L291" s="1">
        <v>3378028.2225</v>
      </c>
    </row>
    <row r="292" spans="2:12">
      <c r="B292" s="1" t="s">
        <v>2076</v>
      </c>
      <c r="C292" s="1" t="s">
        <v>2077</v>
      </c>
      <c r="D292" s="1" t="s">
        <v>2078</v>
      </c>
      <c r="E292" s="1" t="s">
        <v>2079</v>
      </c>
      <c r="K292" s="1">
        <v>479192.3219</v>
      </c>
      <c r="L292" s="1">
        <v>3377940.8451</v>
      </c>
    </row>
    <row r="293" spans="2:12">
      <c r="B293" s="1" t="s">
        <v>2080</v>
      </c>
      <c r="C293" s="1" t="s">
        <v>2081</v>
      </c>
      <c r="D293" s="1" t="s">
        <v>2082</v>
      </c>
      <c r="E293" s="1" t="s">
        <v>2083</v>
      </c>
      <c r="K293" s="1">
        <v>479206.4636</v>
      </c>
      <c r="L293" s="1">
        <v>3377930.7525</v>
      </c>
    </row>
    <row r="294" spans="2:12">
      <c r="B294" s="1" t="s">
        <v>2084</v>
      </c>
      <c r="C294" s="1" t="s">
        <v>2085</v>
      </c>
      <c r="D294" s="1" t="s">
        <v>2086</v>
      </c>
      <c r="E294" s="1" t="s">
        <v>2087</v>
      </c>
      <c r="K294" s="1">
        <v>479271.9837</v>
      </c>
      <c r="L294" s="1">
        <v>3377913.6136</v>
      </c>
    </row>
    <row r="295" spans="2:12">
      <c r="B295" s="1" t="s">
        <v>2088</v>
      </c>
      <c r="C295" s="1" t="s">
        <v>2089</v>
      </c>
      <c r="D295" s="1" t="s">
        <v>2090</v>
      </c>
      <c r="E295" s="1" t="s">
        <v>2091</v>
      </c>
      <c r="K295" s="1">
        <v>479280.7495</v>
      </c>
      <c r="L295" s="1">
        <v>3377908.8167</v>
      </c>
    </row>
    <row r="296" spans="2:12">
      <c r="B296" s="1" t="s">
        <v>2092</v>
      </c>
      <c r="C296" s="1" t="s">
        <v>2093</v>
      </c>
      <c r="D296" s="1" t="s">
        <v>2094</v>
      </c>
      <c r="E296" s="1" t="s">
        <v>2095</v>
      </c>
      <c r="K296" s="1">
        <v>479282.8462</v>
      </c>
      <c r="L296" s="1">
        <v>3377907.6694</v>
      </c>
    </row>
    <row r="297" spans="2:12">
      <c r="B297" s="1" t="s">
        <v>2096</v>
      </c>
      <c r="C297" s="1" t="s">
        <v>2097</v>
      </c>
      <c r="D297" s="1" t="s">
        <v>2098</v>
      </c>
      <c r="E297" s="1" t="s">
        <v>2099</v>
      </c>
      <c r="K297" s="1">
        <v>479708.5986</v>
      </c>
      <c r="L297" s="1">
        <v>3377674.6907</v>
      </c>
    </row>
    <row r="298" spans="2:12">
      <c r="B298" s="1" t="s">
        <v>2100</v>
      </c>
      <c r="C298" s="1" t="s">
        <v>2101</v>
      </c>
      <c r="D298" s="1" t="s">
        <v>2102</v>
      </c>
      <c r="E298" s="1" t="s">
        <v>2103</v>
      </c>
      <c r="K298" s="1">
        <v>480169.8579</v>
      </c>
      <c r="L298" s="1">
        <v>3377551.1329</v>
      </c>
    </row>
    <row r="299" spans="2:12">
      <c r="B299" s="1" t="s">
        <v>2104</v>
      </c>
      <c r="C299" s="1" t="s">
        <v>2105</v>
      </c>
      <c r="D299" s="1" t="s">
        <v>2106</v>
      </c>
      <c r="E299" s="1" t="s">
        <v>2107</v>
      </c>
      <c r="K299" s="1">
        <v>480195.3244</v>
      </c>
      <c r="L299" s="1">
        <v>3377544.3112</v>
      </c>
    </row>
    <row r="300" spans="2:12">
      <c r="B300" s="1" t="s">
        <v>2108</v>
      </c>
      <c r="C300" s="1" t="s">
        <v>2109</v>
      </c>
      <c r="D300" s="1" t="s">
        <v>2110</v>
      </c>
      <c r="E300" s="1" t="s">
        <v>2111</v>
      </c>
      <c r="K300" s="1">
        <v>480204.4311</v>
      </c>
      <c r="L300" s="1">
        <v>3377541.8718</v>
      </c>
    </row>
    <row r="301" spans="2:12">
      <c r="B301" s="1" t="s">
        <v>2112</v>
      </c>
      <c r="C301" s="1" t="s">
        <v>2113</v>
      </c>
      <c r="D301" s="1" t="s">
        <v>2114</v>
      </c>
      <c r="E301" s="1" t="s">
        <v>2115</v>
      </c>
      <c r="K301" s="1">
        <v>480514.3678</v>
      </c>
      <c r="L301" s="1">
        <v>3377458.8489</v>
      </c>
    </row>
    <row r="302" spans="2:12">
      <c r="B302" s="1" t="s">
        <v>2116</v>
      </c>
      <c r="C302" s="1" t="s">
        <v>2117</v>
      </c>
      <c r="D302" s="1" t="s">
        <v>2118</v>
      </c>
      <c r="E302" s="1" t="s">
        <v>2119</v>
      </c>
      <c r="K302" s="1">
        <v>480719.8954</v>
      </c>
      <c r="L302" s="1">
        <v>3377049.5915</v>
      </c>
    </row>
    <row r="303" spans="2:12">
      <c r="B303" s="1" t="s">
        <v>2120</v>
      </c>
      <c r="C303" s="1" t="s">
        <v>2121</v>
      </c>
      <c r="D303" s="1" t="s">
        <v>2122</v>
      </c>
      <c r="E303" s="1" t="s">
        <v>2123</v>
      </c>
      <c r="K303" s="1">
        <v>480733.4995</v>
      </c>
      <c r="L303" s="1">
        <v>3377022.5024</v>
      </c>
    </row>
    <row r="304" spans="2:12">
      <c r="B304" s="1" t="s">
        <v>2124</v>
      </c>
      <c r="C304" s="1" t="s">
        <v>2125</v>
      </c>
      <c r="D304" s="1" t="s">
        <v>2126</v>
      </c>
      <c r="E304" s="1" t="s">
        <v>2127</v>
      </c>
      <c r="K304" s="1">
        <v>480804.877</v>
      </c>
      <c r="L304" s="1">
        <v>3377012.9189</v>
      </c>
    </row>
    <row r="305" spans="2:12">
      <c r="B305" s="1" t="s">
        <v>2128</v>
      </c>
      <c r="C305" s="1" t="s">
        <v>2129</v>
      </c>
      <c r="D305" s="1" t="s">
        <v>2130</v>
      </c>
      <c r="E305" s="1" t="s">
        <v>2131</v>
      </c>
      <c r="K305" s="1">
        <v>480898.9979</v>
      </c>
      <c r="L305" s="1">
        <v>3377076.9333</v>
      </c>
    </row>
    <row r="306" spans="2:12">
      <c r="B306" s="1" t="s">
        <v>2132</v>
      </c>
      <c r="C306" s="1" t="s">
        <v>2133</v>
      </c>
      <c r="D306" s="1" t="s">
        <v>2134</v>
      </c>
      <c r="E306" s="1" t="s">
        <v>2135</v>
      </c>
      <c r="K306" s="1">
        <v>481066.2972</v>
      </c>
      <c r="L306" s="1">
        <v>3377020.176</v>
      </c>
    </row>
    <row r="307" spans="2:12">
      <c r="B307" s="1" t="s">
        <v>2136</v>
      </c>
      <c r="C307" s="1" t="s">
        <v>2137</v>
      </c>
      <c r="D307" s="1" t="s">
        <v>2138</v>
      </c>
      <c r="E307" s="1" t="s">
        <v>2139</v>
      </c>
      <c r="K307" s="1">
        <v>481136.5085</v>
      </c>
      <c r="L307" s="1">
        <v>3377051.1693</v>
      </c>
    </row>
    <row r="308" spans="2:12">
      <c r="B308" s="1" t="s">
        <v>2140</v>
      </c>
      <c r="C308" s="1" t="s">
        <v>2141</v>
      </c>
      <c r="D308" s="1" t="s">
        <v>2142</v>
      </c>
      <c r="E308" s="1" t="s">
        <v>2143</v>
      </c>
      <c r="K308" s="1">
        <v>481198.8308</v>
      </c>
      <c r="L308" s="1">
        <v>3377031.704</v>
      </c>
    </row>
    <row r="309" spans="2:12">
      <c r="B309" s="1" t="s">
        <v>2144</v>
      </c>
      <c r="C309" s="1" t="s">
        <v>2145</v>
      </c>
      <c r="D309" s="1" t="s">
        <v>2146</v>
      </c>
      <c r="E309" s="1" t="s">
        <v>2147</v>
      </c>
      <c r="K309" s="1">
        <v>481251.9824</v>
      </c>
      <c r="L309" s="1">
        <v>3376975.7633</v>
      </c>
    </row>
    <row r="310" spans="2:12">
      <c r="B310" s="1" t="s">
        <v>2148</v>
      </c>
      <c r="C310" s="1" t="s">
        <v>2149</v>
      </c>
      <c r="D310" s="1" t="s">
        <v>2150</v>
      </c>
      <c r="E310" s="1" t="s">
        <v>2151</v>
      </c>
      <c r="K310" s="1">
        <v>481291.5442</v>
      </c>
      <c r="L310" s="1">
        <v>3376965.6601</v>
      </c>
    </row>
    <row r="311" spans="2:12">
      <c r="B311" s="1" t="s">
        <v>2152</v>
      </c>
      <c r="C311" s="1" t="s">
        <v>2153</v>
      </c>
      <c r="D311" s="1" t="s">
        <v>2154</v>
      </c>
      <c r="E311" s="1" t="s">
        <v>2155</v>
      </c>
      <c r="K311" s="1">
        <v>481794.4166</v>
      </c>
      <c r="L311" s="1">
        <v>3376837.2376</v>
      </c>
    </row>
    <row r="312" spans="2:12">
      <c r="B312" s="1" t="s">
        <v>2156</v>
      </c>
      <c r="C312" s="1" t="s">
        <v>2157</v>
      </c>
      <c r="D312" s="1" t="s">
        <v>2158</v>
      </c>
      <c r="E312" s="1" t="s">
        <v>2159</v>
      </c>
      <c r="K312" s="1">
        <v>481830.4795</v>
      </c>
      <c r="L312" s="1">
        <v>3376828.0279</v>
      </c>
    </row>
    <row r="313" spans="2:12">
      <c r="B313" s="1" t="s">
        <v>2160</v>
      </c>
      <c r="C313" s="1" t="s">
        <v>2161</v>
      </c>
      <c r="D313" s="1" t="s">
        <v>2162</v>
      </c>
      <c r="E313" s="1" t="s">
        <v>2163</v>
      </c>
      <c r="K313" s="1">
        <v>481898.4306</v>
      </c>
      <c r="L313" s="1">
        <v>3376849.7158</v>
      </c>
    </row>
    <row r="314" spans="2:12">
      <c r="B314" s="1" t="s">
        <v>2164</v>
      </c>
      <c r="C314" s="1" t="s">
        <v>2165</v>
      </c>
      <c r="D314" s="1" t="s">
        <v>2166</v>
      </c>
      <c r="E314" s="1" t="s">
        <v>2167</v>
      </c>
      <c r="K314" s="1">
        <v>481962.7307</v>
      </c>
      <c r="L314" s="1">
        <v>3376847.4129</v>
      </c>
    </row>
    <row r="315" spans="2:12">
      <c r="B315" s="1" t="s">
        <v>2168</v>
      </c>
      <c r="C315" s="1" t="s">
        <v>2169</v>
      </c>
      <c r="D315" s="1" t="s">
        <v>2170</v>
      </c>
      <c r="E315" s="1" t="s">
        <v>2171</v>
      </c>
      <c r="K315" s="1">
        <v>482069.1109</v>
      </c>
      <c r="L315" s="1">
        <v>3376821.4362</v>
      </c>
    </row>
    <row r="316" spans="2:12">
      <c r="B316" s="1" t="s">
        <v>2172</v>
      </c>
      <c r="C316" s="1" t="s">
        <v>2173</v>
      </c>
      <c r="D316" s="1" t="s">
        <v>2174</v>
      </c>
      <c r="E316" s="1" t="s">
        <v>2175</v>
      </c>
      <c r="K316" s="1">
        <v>482099.1418</v>
      </c>
      <c r="L316" s="1">
        <v>3376819.7634</v>
      </c>
    </row>
    <row r="317" spans="2:12">
      <c r="B317" s="1" t="s">
        <v>2176</v>
      </c>
      <c r="C317" s="1" t="s">
        <v>2177</v>
      </c>
      <c r="D317" s="1" t="s">
        <v>2178</v>
      </c>
      <c r="E317" s="1" t="s">
        <v>2179</v>
      </c>
      <c r="K317" s="1">
        <v>482388.917</v>
      </c>
      <c r="L317" s="1">
        <v>3376803.6218</v>
      </c>
    </row>
    <row r="318" spans="2:12">
      <c r="B318" s="1" t="s">
        <v>2180</v>
      </c>
      <c r="C318" s="1" t="s">
        <v>2181</v>
      </c>
      <c r="D318" s="1" t="s">
        <v>2182</v>
      </c>
      <c r="E318" s="1" t="s">
        <v>2183</v>
      </c>
      <c r="K318" s="1">
        <v>482422.6728</v>
      </c>
      <c r="L318" s="1">
        <v>3376801.7415</v>
      </c>
    </row>
    <row r="319" spans="2:12">
      <c r="B319" s="1" t="s">
        <v>2184</v>
      </c>
      <c r="C319" s="1" t="s">
        <v>2185</v>
      </c>
      <c r="D319" s="1" t="s">
        <v>2186</v>
      </c>
      <c r="E319" s="1" t="s">
        <v>2187</v>
      </c>
      <c r="K319" s="1">
        <v>482521.4369</v>
      </c>
      <c r="L319" s="1">
        <v>3376832.6163</v>
      </c>
    </row>
    <row r="320" spans="2:12">
      <c r="B320" s="1" t="s">
        <v>2188</v>
      </c>
      <c r="C320" s="1" t="s">
        <v>2189</v>
      </c>
      <c r="D320" s="1" t="s">
        <v>2190</v>
      </c>
      <c r="E320" s="1" t="s">
        <v>2191</v>
      </c>
      <c r="K320" s="1">
        <v>482581.8997</v>
      </c>
      <c r="L320" s="1">
        <v>3376828.0058</v>
      </c>
    </row>
    <row r="321" spans="2:12">
      <c r="B321" s="1" t="s">
        <v>2192</v>
      </c>
      <c r="C321" s="1" t="s">
        <v>2193</v>
      </c>
      <c r="D321" s="1" t="s">
        <v>2194</v>
      </c>
      <c r="E321" s="1" t="s">
        <v>2195</v>
      </c>
      <c r="K321" s="1">
        <v>482631.1459</v>
      </c>
      <c r="L321" s="1">
        <v>3376847.5283</v>
      </c>
    </row>
    <row r="322" spans="2:12">
      <c r="B322" s="1" t="s">
        <v>2196</v>
      </c>
      <c r="C322" s="1" t="s">
        <v>2197</v>
      </c>
      <c r="D322" s="1" t="s">
        <v>2198</v>
      </c>
      <c r="E322" s="1" t="s">
        <v>2199</v>
      </c>
      <c r="K322" s="1">
        <v>482662.459</v>
      </c>
      <c r="L322" s="1">
        <v>3376855.3972</v>
      </c>
    </row>
    <row r="323" spans="2:12">
      <c r="B323" s="1" t="s">
        <v>2200</v>
      </c>
      <c r="C323" s="1" t="s">
        <v>2201</v>
      </c>
      <c r="D323" s="1" t="s">
        <v>2202</v>
      </c>
      <c r="E323" s="1" t="s">
        <v>2203</v>
      </c>
      <c r="K323" s="1">
        <v>482976.6976</v>
      </c>
      <c r="L323" s="1">
        <v>3376934.3644</v>
      </c>
    </row>
    <row r="324" spans="2:12">
      <c r="B324" s="1" t="s">
        <v>2204</v>
      </c>
      <c r="C324" s="1" t="s">
        <v>2205</v>
      </c>
      <c r="D324" s="1" t="s">
        <v>2206</v>
      </c>
      <c r="E324" s="1" t="s">
        <v>2207</v>
      </c>
      <c r="K324" s="1">
        <v>483011.5121</v>
      </c>
      <c r="L324" s="1">
        <v>3376936.7235</v>
      </c>
    </row>
    <row r="325" spans="2:12">
      <c r="B325" s="1" t="s">
        <v>2208</v>
      </c>
      <c r="C325" s="1" t="s">
        <v>2209</v>
      </c>
      <c r="D325" s="1" t="s">
        <v>2210</v>
      </c>
      <c r="E325" s="1" t="s">
        <v>2211</v>
      </c>
      <c r="K325" s="1">
        <v>483119.0614</v>
      </c>
      <c r="L325" s="1">
        <v>3376944.0113</v>
      </c>
    </row>
    <row r="326" spans="2:12">
      <c r="B326" s="1" t="s">
        <v>2212</v>
      </c>
      <c r="C326" s="1" t="s">
        <v>2213</v>
      </c>
      <c r="D326" s="1" t="s">
        <v>2214</v>
      </c>
      <c r="E326" s="1" t="s">
        <v>2215</v>
      </c>
      <c r="K326" s="1">
        <v>483185.922</v>
      </c>
      <c r="L326" s="1">
        <v>3376996.4114</v>
      </c>
    </row>
    <row r="327" spans="2:12">
      <c r="B327" s="1" t="s">
        <v>2216</v>
      </c>
      <c r="C327" s="1" t="s">
        <v>2217</v>
      </c>
      <c r="D327" s="1" t="s">
        <v>2218</v>
      </c>
      <c r="E327" s="1" t="s">
        <v>2219</v>
      </c>
      <c r="K327" s="1">
        <v>483277.8123</v>
      </c>
      <c r="L327" s="1">
        <v>3376982.4226</v>
      </c>
    </row>
    <row r="328" spans="2:12">
      <c r="B328" s="1" t="s">
        <v>2220</v>
      </c>
      <c r="C328" s="1" t="s">
        <v>2221</v>
      </c>
      <c r="D328" s="1" t="s">
        <v>2222</v>
      </c>
      <c r="E328" s="1" t="s">
        <v>2223</v>
      </c>
      <c r="K328" s="1">
        <v>483353.6469</v>
      </c>
      <c r="L328" s="1">
        <v>3376922.1522</v>
      </c>
    </row>
    <row r="329" spans="2:12">
      <c r="B329" s="1" t="s">
        <v>2224</v>
      </c>
      <c r="C329" s="1" t="s">
        <v>2225</v>
      </c>
      <c r="D329" s="1" t="s">
        <v>2226</v>
      </c>
      <c r="E329" s="1" t="s">
        <v>2227</v>
      </c>
      <c r="K329" s="1">
        <v>483386.9674</v>
      </c>
      <c r="L329" s="1">
        <v>3376905.8088</v>
      </c>
    </row>
    <row r="330" spans="2:12">
      <c r="B330" s="1" t="s">
        <v>2228</v>
      </c>
      <c r="C330" s="1" t="s">
        <v>2229</v>
      </c>
      <c r="D330" s="1" t="s">
        <v>2230</v>
      </c>
      <c r="E330" s="1" t="s">
        <v>2231</v>
      </c>
      <c r="K330" s="1">
        <v>483753.2576</v>
      </c>
      <c r="L330" s="1">
        <v>3376726.1468</v>
      </c>
    </row>
    <row r="331" spans="2:12">
      <c r="B331" s="1" t="s">
        <v>2232</v>
      </c>
      <c r="C331" s="1" t="s">
        <v>2233</v>
      </c>
      <c r="D331" s="1" t="s">
        <v>2234</v>
      </c>
      <c r="E331" s="1" t="s">
        <v>2235</v>
      </c>
      <c r="K331" s="1">
        <v>483836.3078</v>
      </c>
      <c r="L331" s="1">
        <v>3376685.4114</v>
      </c>
    </row>
    <row r="332" spans="2:12">
      <c r="B332" s="1" t="s">
        <v>2236</v>
      </c>
      <c r="C332" s="1" t="s">
        <v>2237</v>
      </c>
      <c r="D332" s="1" t="s">
        <v>2238</v>
      </c>
      <c r="E332" s="1" t="s">
        <v>2239</v>
      </c>
      <c r="K332" s="1">
        <v>483975.179</v>
      </c>
      <c r="L332" s="1">
        <v>3376580.3886</v>
      </c>
    </row>
    <row r="333" spans="2:12">
      <c r="B333" s="1" t="s">
        <v>2240</v>
      </c>
      <c r="C333" s="1" t="s">
        <v>2241</v>
      </c>
      <c r="D333" s="1" t="s">
        <v>2242</v>
      </c>
      <c r="E333" s="1" t="s">
        <v>2243</v>
      </c>
      <c r="K333" s="1">
        <v>484045.5253</v>
      </c>
      <c r="L333" s="1">
        <v>3376485.3638</v>
      </c>
    </row>
    <row r="334" spans="2:12">
      <c r="B334" s="1" t="s">
        <v>2244</v>
      </c>
      <c r="C334" s="1" t="s">
        <v>2245</v>
      </c>
      <c r="D334" s="1" t="s">
        <v>2246</v>
      </c>
      <c r="E334" s="1" t="s">
        <v>2247</v>
      </c>
      <c r="K334" s="1">
        <v>484201.3867</v>
      </c>
      <c r="L334" s="1">
        <v>3376274.8242</v>
      </c>
    </row>
    <row r="335" spans="2:12">
      <c r="B335" s="1" t="s">
        <v>2248</v>
      </c>
      <c r="C335" s="1" t="s">
        <v>2249</v>
      </c>
      <c r="D335" s="1" t="s">
        <v>2250</v>
      </c>
      <c r="E335" s="1" t="s">
        <v>2251</v>
      </c>
      <c r="K335" s="1">
        <v>484221.3032</v>
      </c>
      <c r="L335" s="1">
        <v>3376247.9207</v>
      </c>
    </row>
    <row r="336" spans="2:12">
      <c r="B336" s="1" t="s">
        <v>2252</v>
      </c>
      <c r="C336" s="1" t="s">
        <v>2253</v>
      </c>
      <c r="D336" s="1" t="s">
        <v>2254</v>
      </c>
      <c r="E336" s="1" t="s">
        <v>2255</v>
      </c>
      <c r="K336" s="1">
        <v>484292.5703</v>
      </c>
      <c r="L336" s="1">
        <v>3376198.111</v>
      </c>
    </row>
    <row r="337" spans="2:12">
      <c r="B337" s="1" t="s">
        <v>2256</v>
      </c>
      <c r="C337" s="1" t="s">
        <v>2257</v>
      </c>
      <c r="D337" s="1" t="s">
        <v>2258</v>
      </c>
      <c r="E337" s="1" t="s">
        <v>2259</v>
      </c>
      <c r="K337" s="1">
        <v>484413.323</v>
      </c>
      <c r="L337" s="1">
        <v>3376165.5182</v>
      </c>
    </row>
    <row r="338" spans="2:12">
      <c r="B338" s="1" t="s">
        <v>2260</v>
      </c>
      <c r="C338" s="1" t="s">
        <v>2261</v>
      </c>
      <c r="D338" s="1" t="s">
        <v>2262</v>
      </c>
      <c r="E338" s="1" t="s">
        <v>2263</v>
      </c>
      <c r="K338" s="1">
        <v>484826.9602</v>
      </c>
      <c r="L338" s="1">
        <v>3376053.872</v>
      </c>
    </row>
    <row r="339" spans="2:12">
      <c r="B339" s="1" t="s">
        <v>2264</v>
      </c>
      <c r="C339" s="1" t="s">
        <v>2265</v>
      </c>
      <c r="D339" s="1" t="s">
        <v>2266</v>
      </c>
      <c r="E339" s="1" t="s">
        <v>2267</v>
      </c>
      <c r="K339" s="1">
        <v>484858.2439</v>
      </c>
      <c r="L339" s="1">
        <v>3376045.428</v>
      </c>
    </row>
    <row r="340" spans="2:12">
      <c r="B340" s="1" t="s">
        <v>2268</v>
      </c>
      <c r="C340" s="1" t="s">
        <v>2269</v>
      </c>
      <c r="D340" s="1" t="s">
        <v>2270</v>
      </c>
      <c r="E340" s="1" t="s">
        <v>2271</v>
      </c>
      <c r="K340" s="1">
        <v>485044.0958</v>
      </c>
      <c r="L340" s="1">
        <v>3375995.2641</v>
      </c>
    </row>
    <row r="341" spans="2:12">
      <c r="B341" s="1" t="s">
        <v>2272</v>
      </c>
      <c r="C341" s="1" t="s">
        <v>2273</v>
      </c>
      <c r="D341" s="1" t="s">
        <v>2274</v>
      </c>
      <c r="E341" s="1" t="s">
        <v>2275</v>
      </c>
      <c r="K341" s="1">
        <v>485084.5267</v>
      </c>
      <c r="L341" s="1">
        <v>3375984.3513</v>
      </c>
    </row>
    <row r="342" spans="2:12">
      <c r="B342" s="1" t="s">
        <v>2276</v>
      </c>
      <c r="C342" s="1" t="s">
        <v>2277</v>
      </c>
      <c r="D342" s="1" t="s">
        <v>2278</v>
      </c>
      <c r="E342" s="1" t="s">
        <v>2279</v>
      </c>
      <c r="K342" s="1">
        <v>485175.4918</v>
      </c>
      <c r="L342" s="1">
        <v>3375959.7985</v>
      </c>
    </row>
    <row r="343" spans="2:12">
      <c r="B343" s="1" t="s">
        <v>2280</v>
      </c>
      <c r="C343" s="1" t="s">
        <v>2281</v>
      </c>
      <c r="D343" s="1" t="s">
        <v>2282</v>
      </c>
      <c r="E343" s="1" t="s">
        <v>2283</v>
      </c>
      <c r="K343" s="1">
        <v>485597.1978</v>
      </c>
      <c r="L343" s="1">
        <v>3375668.175</v>
      </c>
    </row>
    <row r="344" spans="2:12">
      <c r="B344" s="1" t="s">
        <v>2284</v>
      </c>
      <c r="C344" s="1" t="s">
        <v>2285</v>
      </c>
      <c r="D344" s="1" t="s">
        <v>2286</v>
      </c>
      <c r="E344" s="1" t="s">
        <v>2287</v>
      </c>
      <c r="K344" s="1">
        <v>485609.0388</v>
      </c>
      <c r="L344" s="1">
        <v>3375659.9866</v>
      </c>
    </row>
    <row r="345" spans="2:12">
      <c r="B345" s="1" t="s">
        <v>2288</v>
      </c>
      <c r="C345" s="1" t="s">
        <v>2289</v>
      </c>
      <c r="D345" s="1" t="s">
        <v>2290</v>
      </c>
      <c r="E345" s="1" t="s">
        <v>2291</v>
      </c>
      <c r="K345" s="1">
        <v>485831.463</v>
      </c>
      <c r="L345" s="1">
        <v>3375506.1729</v>
      </c>
    </row>
    <row r="346" spans="2:12">
      <c r="B346" s="1" t="s">
        <v>2292</v>
      </c>
      <c r="C346" s="1" t="s">
        <v>2293</v>
      </c>
      <c r="D346" s="1" t="s">
        <v>2294</v>
      </c>
      <c r="E346" s="1" t="s">
        <v>2295</v>
      </c>
      <c r="K346" s="1">
        <v>485851.7555</v>
      </c>
      <c r="L346" s="1">
        <v>3375492.1399</v>
      </c>
    </row>
    <row r="347" spans="2:12">
      <c r="B347" s="1" t="s">
        <v>2296</v>
      </c>
      <c r="C347" s="1" t="s">
        <v>2297</v>
      </c>
      <c r="D347" s="1" t="s">
        <v>2298</v>
      </c>
      <c r="E347" s="1" t="s">
        <v>2299</v>
      </c>
      <c r="K347" s="1">
        <v>486294.2462</v>
      </c>
      <c r="L347" s="1">
        <v>3375186.1431</v>
      </c>
    </row>
    <row r="348" spans="2:12">
      <c r="B348" s="1" t="s">
        <v>2300</v>
      </c>
      <c r="C348" s="1" t="s">
        <v>2301</v>
      </c>
      <c r="D348" s="1" t="s">
        <v>2302</v>
      </c>
      <c r="E348" s="1" t="s">
        <v>2303</v>
      </c>
      <c r="K348" s="1">
        <v>486370.1106</v>
      </c>
      <c r="L348" s="1">
        <v>3375133.6804</v>
      </c>
    </row>
    <row r="349" spans="2:12">
      <c r="B349" s="1" t="s">
        <v>2304</v>
      </c>
      <c r="C349" s="1" t="s">
        <v>2305</v>
      </c>
      <c r="D349" s="1" t="s">
        <v>2306</v>
      </c>
      <c r="E349" s="1" t="s">
        <v>2307</v>
      </c>
      <c r="K349" s="1">
        <v>486379.5286</v>
      </c>
      <c r="L349" s="1">
        <v>3375120.6754</v>
      </c>
    </row>
    <row r="350" spans="2:12">
      <c r="B350" s="1" t="s">
        <v>2308</v>
      </c>
      <c r="C350" s="1" t="s">
        <v>2309</v>
      </c>
      <c r="D350" s="1" t="s">
        <v>2310</v>
      </c>
      <c r="E350" s="1" t="s">
        <v>2311</v>
      </c>
      <c r="K350" s="1">
        <v>486518.6895</v>
      </c>
      <c r="L350" s="1">
        <v>3374928.5143</v>
      </c>
    </row>
    <row r="351" spans="2:12">
      <c r="B351" s="1" t="s">
        <v>2312</v>
      </c>
      <c r="C351" s="1" t="s">
        <v>2313</v>
      </c>
      <c r="D351" s="1" t="s">
        <v>2314</v>
      </c>
      <c r="E351" s="1" t="s">
        <v>2315</v>
      </c>
      <c r="K351" s="1">
        <v>486546.5268</v>
      </c>
      <c r="L351" s="1">
        <v>3374890.075</v>
      </c>
    </row>
    <row r="352" spans="2:12">
      <c r="B352" s="1" t="s">
        <v>2316</v>
      </c>
      <c r="C352" s="1" t="s">
        <v>2317</v>
      </c>
      <c r="D352" s="1" t="s">
        <v>2318</v>
      </c>
      <c r="E352" s="1" t="s">
        <v>2319</v>
      </c>
      <c r="K352" s="1">
        <v>486798.5133</v>
      </c>
      <c r="L352" s="1">
        <v>3374542.1181</v>
      </c>
    </row>
    <row r="353" spans="2:12">
      <c r="B353" s="1" t="s">
        <v>2320</v>
      </c>
      <c r="C353" s="1" t="s">
        <v>2321</v>
      </c>
      <c r="D353" s="1" t="s">
        <v>2322</v>
      </c>
      <c r="E353" s="1" t="s">
        <v>2323</v>
      </c>
      <c r="K353" s="1">
        <v>486817.3678</v>
      </c>
      <c r="L353" s="1">
        <v>3374516.0826</v>
      </c>
    </row>
    <row r="354" spans="2:12">
      <c r="B354" s="1" t="s">
        <v>2324</v>
      </c>
      <c r="C354" s="1" t="s">
        <v>2325</v>
      </c>
      <c r="D354" s="1" t="s">
        <v>2326</v>
      </c>
      <c r="E354" s="1" t="s">
        <v>2327</v>
      </c>
      <c r="K354" s="1">
        <v>486894.194</v>
      </c>
      <c r="L354" s="1">
        <v>3374409.9967</v>
      </c>
    </row>
    <row r="355" spans="2:12">
      <c r="B355" s="1" t="s">
        <v>2328</v>
      </c>
      <c r="C355" s="1" t="s">
        <v>2329</v>
      </c>
      <c r="D355" s="1" t="s">
        <v>2330</v>
      </c>
      <c r="E355" s="1" t="s">
        <v>2331</v>
      </c>
      <c r="K355" s="1">
        <v>486899.633</v>
      </c>
      <c r="L355" s="1">
        <v>3374402.4863</v>
      </c>
    </row>
    <row r="356" spans="2:12">
      <c r="B356" s="1" t="s">
        <v>2332</v>
      </c>
      <c r="C356" s="1" t="s">
        <v>2333</v>
      </c>
      <c r="D356" s="1" t="s">
        <v>2334</v>
      </c>
      <c r="E356" s="1" t="s">
        <v>2335</v>
      </c>
      <c r="K356" s="1">
        <v>486954.1913</v>
      </c>
      <c r="L356" s="1">
        <v>3374327.1492</v>
      </c>
    </row>
    <row r="357" spans="2:12">
      <c r="B357" s="1" t="s">
        <v>2336</v>
      </c>
      <c r="C357" s="1" t="s">
        <v>2337</v>
      </c>
      <c r="D357" s="1" t="s">
        <v>2338</v>
      </c>
      <c r="E357" s="1" t="s">
        <v>2339</v>
      </c>
      <c r="K357" s="1">
        <v>487249.563</v>
      </c>
      <c r="L357" s="1">
        <v>3374127.1353</v>
      </c>
    </row>
    <row r="358" spans="2:12">
      <c r="B358" s="1" t="s">
        <v>2340</v>
      </c>
      <c r="C358" s="1" t="s">
        <v>2341</v>
      </c>
      <c r="D358" s="1" t="s">
        <v>2342</v>
      </c>
      <c r="E358" s="1" t="s">
        <v>2343</v>
      </c>
      <c r="K358" s="1">
        <v>487385.0811</v>
      </c>
      <c r="L358" s="1">
        <v>3374035.3684</v>
      </c>
    </row>
    <row r="359" spans="2:12">
      <c r="B359" s="1" t="s">
        <v>2344</v>
      </c>
      <c r="C359" s="1" t="s">
        <v>2345</v>
      </c>
      <c r="D359" s="1" t="s">
        <v>2346</v>
      </c>
      <c r="E359" s="1" t="s">
        <v>2347</v>
      </c>
      <c r="K359" s="1">
        <v>487456.146</v>
      </c>
      <c r="L359" s="1">
        <v>3373987.2464</v>
      </c>
    </row>
    <row r="360" spans="2:12">
      <c r="B360" s="1" t="s">
        <v>2348</v>
      </c>
      <c r="C360" s="1" t="s">
        <v>2349</v>
      </c>
      <c r="D360" s="1" t="s">
        <v>2350</v>
      </c>
      <c r="E360" s="1" t="s">
        <v>2351</v>
      </c>
      <c r="K360" s="1">
        <v>487507.2179</v>
      </c>
      <c r="L360" s="1">
        <v>3372163.87</v>
      </c>
    </row>
    <row r="361" spans="2:12">
      <c r="B361" s="1" t="s">
        <v>2352</v>
      </c>
      <c r="C361" s="1" t="s">
        <v>2353</v>
      </c>
      <c r="D361" s="1" t="s">
        <v>2354</v>
      </c>
      <c r="E361" s="1" t="s">
        <v>2355</v>
      </c>
      <c r="K361" s="1">
        <v>487507.673</v>
      </c>
      <c r="L361" s="1">
        <v>3372147.6244</v>
      </c>
    </row>
    <row r="362" spans="2:12">
      <c r="B362" s="1" t="s">
        <v>2356</v>
      </c>
      <c r="C362" s="1" t="s">
        <v>2357</v>
      </c>
      <c r="D362" s="1" t="s">
        <v>2358</v>
      </c>
      <c r="E362" s="1" t="s">
        <v>2359</v>
      </c>
      <c r="K362" s="1">
        <v>487534.2787</v>
      </c>
      <c r="L362" s="1">
        <v>3372012.5175</v>
      </c>
    </row>
    <row r="363" spans="2:12">
      <c r="B363" s="1" t="s">
        <v>2360</v>
      </c>
      <c r="C363" s="1" t="s">
        <v>2361</v>
      </c>
      <c r="D363" s="1" t="s">
        <v>2362</v>
      </c>
      <c r="E363" s="1" t="s">
        <v>2363</v>
      </c>
      <c r="K363" s="1">
        <v>487542.7985</v>
      </c>
      <c r="L363" s="1">
        <v>3371969.2531</v>
      </c>
    </row>
    <row r="364" spans="2:12">
      <c r="B364" s="1" t="s">
        <v>2364</v>
      </c>
      <c r="C364" s="1" t="s">
        <v>2365</v>
      </c>
      <c r="D364" s="1" t="s">
        <v>2366</v>
      </c>
      <c r="E364" s="1" t="s">
        <v>2367</v>
      </c>
      <c r="K364" s="1">
        <v>487577.3944</v>
      </c>
      <c r="L364" s="1">
        <v>3371793.571</v>
      </c>
    </row>
    <row r="365" spans="2:12">
      <c r="B365" s="1" t="s">
        <v>2368</v>
      </c>
      <c r="C365" s="1" t="s">
        <v>2369</v>
      </c>
      <c r="D365" s="1" t="s">
        <v>2370</v>
      </c>
      <c r="E365" s="1" t="s">
        <v>2371</v>
      </c>
      <c r="K365" s="1">
        <v>487588.9887</v>
      </c>
      <c r="L365" s="1">
        <v>3371615.6063</v>
      </c>
    </row>
    <row r="366" spans="2:12">
      <c r="B366" s="1" t="s">
        <v>2372</v>
      </c>
      <c r="C366" s="1" t="s">
        <v>2373</v>
      </c>
      <c r="D366" s="1" t="s">
        <v>2374</v>
      </c>
      <c r="E366" s="1" t="s">
        <v>2375</v>
      </c>
      <c r="K366" s="1">
        <v>487595.7847</v>
      </c>
      <c r="L366" s="1">
        <v>3371511.2906</v>
      </c>
    </row>
    <row r="367" spans="2:12">
      <c r="B367" s="1" t="s">
        <v>2376</v>
      </c>
      <c r="C367" s="1" t="s">
        <v>2377</v>
      </c>
      <c r="D367" s="1" t="s">
        <v>2378</v>
      </c>
      <c r="E367" s="1" t="s">
        <v>2379</v>
      </c>
      <c r="K367" s="1">
        <v>487613.2134</v>
      </c>
      <c r="L367" s="1">
        <v>3371243.7706</v>
      </c>
    </row>
    <row r="368" spans="2:12">
      <c r="B368" s="1" t="s">
        <v>2380</v>
      </c>
      <c r="C368" s="1" t="s">
        <v>2381</v>
      </c>
      <c r="D368" s="1" t="s">
        <v>2382</v>
      </c>
      <c r="E368" s="1" t="s">
        <v>2383</v>
      </c>
      <c r="K368" s="1">
        <v>487609.62</v>
      </c>
      <c r="L368" s="1">
        <v>3371129.3575</v>
      </c>
    </row>
    <row r="369" spans="2:12">
      <c r="B369" s="1" t="s">
        <v>2384</v>
      </c>
      <c r="C369" s="1" t="s">
        <v>2385</v>
      </c>
      <c r="D369" s="1" t="s">
        <v>2386</v>
      </c>
      <c r="E369" s="1" t="s">
        <v>2387</v>
      </c>
      <c r="K369" s="1">
        <v>487606.0535</v>
      </c>
      <c r="L369" s="1">
        <v>3371015.8032</v>
      </c>
    </row>
    <row r="370" spans="2:12">
      <c r="B370" s="1" t="s">
        <v>2388</v>
      </c>
      <c r="C370" s="1" t="s">
        <v>2389</v>
      </c>
      <c r="D370" s="1" t="s">
        <v>2390</v>
      </c>
      <c r="E370" s="1" t="s">
        <v>2391</v>
      </c>
      <c r="K370" s="1">
        <v>487545.4294</v>
      </c>
      <c r="L370" s="1">
        <v>3370948.0789</v>
      </c>
    </row>
    <row r="371" spans="2:12">
      <c r="B371" s="1" t="s">
        <v>2392</v>
      </c>
      <c r="C371" s="1" t="s">
        <v>2393</v>
      </c>
      <c r="D371" s="1" t="s">
        <v>2394</v>
      </c>
      <c r="E371" s="1" t="s">
        <v>2395</v>
      </c>
      <c r="K371" s="1">
        <v>487543.4354</v>
      </c>
      <c r="L371" s="1">
        <v>3370862.4993</v>
      </c>
    </row>
    <row r="372" spans="2:12">
      <c r="B372" s="1" t="s">
        <v>2396</v>
      </c>
      <c r="C372" s="1" t="s">
        <v>2397</v>
      </c>
      <c r="D372" s="1" t="s">
        <v>2398</v>
      </c>
      <c r="E372" s="1" t="s">
        <v>2399</v>
      </c>
      <c r="K372" s="1">
        <v>487528.377</v>
      </c>
      <c r="L372" s="1">
        <v>3370770.7793</v>
      </c>
    </row>
    <row r="373" spans="2:12">
      <c r="B373" s="1" t="s">
        <v>2400</v>
      </c>
      <c r="C373" s="1" t="s">
        <v>2401</v>
      </c>
      <c r="D373" s="1" t="s">
        <v>2402</v>
      </c>
      <c r="E373" s="1" t="s">
        <v>2403</v>
      </c>
      <c r="K373" s="1">
        <v>487500.4367</v>
      </c>
      <c r="L373" s="1">
        <v>3370735.1783</v>
      </c>
    </row>
    <row r="374" spans="2:12">
      <c r="B374" s="1" t="s">
        <v>2404</v>
      </c>
      <c r="C374" s="1" t="s">
        <v>2405</v>
      </c>
      <c r="D374" s="1" t="s">
        <v>2406</v>
      </c>
      <c r="E374" s="1" t="s">
        <v>2407</v>
      </c>
      <c r="K374" s="1">
        <v>487497.2647</v>
      </c>
      <c r="L374" s="1">
        <v>3370691.23</v>
      </c>
    </row>
    <row r="375" spans="2:12">
      <c r="B375" s="1" t="s">
        <v>2408</v>
      </c>
      <c r="C375" s="1" t="s">
        <v>2409</v>
      </c>
      <c r="D375" s="1" t="s">
        <v>2410</v>
      </c>
      <c r="E375" s="1" t="s">
        <v>2411</v>
      </c>
      <c r="K375" s="1">
        <v>487448.6925</v>
      </c>
      <c r="L375" s="1">
        <v>3370018.2517</v>
      </c>
    </row>
    <row r="376" spans="2:12">
      <c r="B376" s="1" t="s">
        <v>2412</v>
      </c>
      <c r="C376" s="1" t="s">
        <v>2413</v>
      </c>
      <c r="D376" s="1" t="s">
        <v>2414</v>
      </c>
      <c r="E376" s="1" t="s">
        <v>2415</v>
      </c>
      <c r="K376" s="1">
        <v>487445.0317</v>
      </c>
      <c r="L376" s="1">
        <v>3369967.5312</v>
      </c>
    </row>
    <row r="377" spans="2:12">
      <c r="B377" s="1" t="s">
        <v>2416</v>
      </c>
      <c r="C377" s="1" t="s">
        <v>2417</v>
      </c>
      <c r="D377" s="1" t="s">
        <v>2418</v>
      </c>
      <c r="E377" s="1" t="s">
        <v>2419</v>
      </c>
      <c r="K377" s="1">
        <v>487443.0131</v>
      </c>
      <c r="L377" s="1">
        <v>3369939.5636</v>
      </c>
    </row>
    <row r="378" spans="2:12">
      <c r="B378" s="1" t="s">
        <v>2420</v>
      </c>
      <c r="C378" s="1" t="s">
        <v>2421</v>
      </c>
      <c r="D378" s="1" t="s">
        <v>2422</v>
      </c>
      <c r="E378" s="1" t="s">
        <v>2423</v>
      </c>
      <c r="K378" s="1">
        <v>487518.4184</v>
      </c>
      <c r="L378" s="1">
        <v>3369843.1037</v>
      </c>
    </row>
    <row r="379" spans="2:12">
      <c r="B379" s="1" t="s">
        <v>2424</v>
      </c>
      <c r="C379" s="1" t="s">
        <v>2425</v>
      </c>
      <c r="D379" s="1" t="s">
        <v>2426</v>
      </c>
      <c r="E379" s="1" t="s">
        <v>2427</v>
      </c>
      <c r="K379" s="1">
        <v>487530.9208</v>
      </c>
      <c r="L379" s="1">
        <v>3369706.3857</v>
      </c>
    </row>
    <row r="380" spans="2:12">
      <c r="B380" s="1" t="s">
        <v>2428</v>
      </c>
      <c r="C380" s="1" t="s">
        <v>2429</v>
      </c>
      <c r="D380" s="1" t="s">
        <v>2430</v>
      </c>
      <c r="E380" s="1" t="s">
        <v>2431</v>
      </c>
      <c r="K380" s="1">
        <v>487560.8309</v>
      </c>
      <c r="L380" s="1">
        <v>3369629.5837</v>
      </c>
    </row>
    <row r="381" spans="2:12">
      <c r="B381" s="1" t="s">
        <v>2432</v>
      </c>
      <c r="C381" s="1" t="s">
        <v>2433</v>
      </c>
      <c r="D381" s="1" t="s">
        <v>2434</v>
      </c>
      <c r="E381" s="1" t="s">
        <v>2435</v>
      </c>
      <c r="K381" s="1">
        <v>487730.5035</v>
      </c>
      <c r="L381" s="1">
        <v>3369193.9055</v>
      </c>
    </row>
    <row r="382" spans="2:12">
      <c r="B382" s="1" t="s">
        <v>2436</v>
      </c>
      <c r="C382" s="1" t="s">
        <v>2437</v>
      </c>
      <c r="D382" s="1" t="s">
        <v>2438</v>
      </c>
      <c r="E382" s="1" t="s">
        <v>2439</v>
      </c>
      <c r="K382" s="1">
        <v>487745.6538</v>
      </c>
      <c r="L382" s="1">
        <v>3369155.0033</v>
      </c>
    </row>
    <row r="383" spans="2:12">
      <c r="B383" s="1" t="s">
        <v>2440</v>
      </c>
      <c r="C383" s="1" t="s">
        <v>2441</v>
      </c>
      <c r="D383" s="1" t="s">
        <v>2442</v>
      </c>
      <c r="E383" s="1" t="s">
        <v>2443</v>
      </c>
      <c r="K383" s="1">
        <v>487755.6695</v>
      </c>
      <c r="L383" s="1">
        <v>3369054.7093</v>
      </c>
    </row>
    <row r="384" spans="2:12">
      <c r="B384" s="1" t="s">
        <v>2444</v>
      </c>
      <c r="C384" s="1" t="s">
        <v>2445</v>
      </c>
      <c r="D384" s="1" t="s">
        <v>2446</v>
      </c>
      <c r="E384" s="1" t="s">
        <v>2447</v>
      </c>
      <c r="K384" s="1">
        <v>487793.3087</v>
      </c>
      <c r="L384" s="1">
        <v>3368937.3806</v>
      </c>
    </row>
    <row r="385" spans="2:12">
      <c r="B385" s="1" t="s">
        <v>2448</v>
      </c>
      <c r="C385" s="1" t="s">
        <v>2449</v>
      </c>
      <c r="D385" s="1" t="s">
        <v>2450</v>
      </c>
      <c r="E385" s="1" t="s">
        <v>2451</v>
      </c>
      <c r="K385" s="1">
        <v>487768.5222</v>
      </c>
      <c r="L385" s="1">
        <v>3368836.912</v>
      </c>
    </row>
    <row r="386" spans="2:12">
      <c r="B386" s="1" t="s">
        <v>2452</v>
      </c>
      <c r="C386" s="1" t="s">
        <v>2453</v>
      </c>
      <c r="D386" s="1" t="s">
        <v>2454</v>
      </c>
      <c r="E386" s="1" t="s">
        <v>2455</v>
      </c>
      <c r="K386" s="1">
        <v>487797.4563</v>
      </c>
      <c r="L386" s="1">
        <v>3368729.6434</v>
      </c>
    </row>
    <row r="387" spans="2:12">
      <c r="B387" s="1" t="s">
        <v>2456</v>
      </c>
      <c r="C387" s="1" t="s">
        <v>2457</v>
      </c>
      <c r="D387" s="1" t="s">
        <v>2458</v>
      </c>
      <c r="E387" s="1" t="s">
        <v>2459</v>
      </c>
      <c r="K387" s="1">
        <v>487844.3474</v>
      </c>
      <c r="L387" s="1">
        <v>3368691.709</v>
      </c>
    </row>
    <row r="388" spans="2:12">
      <c r="B388" s="1" t="s">
        <v>2460</v>
      </c>
      <c r="C388" s="1" t="s">
        <v>2461</v>
      </c>
      <c r="D388" s="1" t="s">
        <v>2462</v>
      </c>
      <c r="E388" s="1" t="s">
        <v>2463</v>
      </c>
      <c r="K388" s="1">
        <v>487789.5649</v>
      </c>
      <c r="L388" s="1">
        <v>3368582.3997</v>
      </c>
    </row>
    <row r="389" spans="2:12">
      <c r="B389" s="1" t="s">
        <v>2464</v>
      </c>
      <c r="C389" s="1" t="s">
        <v>2465</v>
      </c>
      <c r="D389" s="1" t="s">
        <v>2466</v>
      </c>
      <c r="E389" s="1" t="s">
        <v>2467</v>
      </c>
      <c r="K389" s="1">
        <v>487791.3744</v>
      </c>
      <c r="L389" s="1">
        <v>3368459.6025</v>
      </c>
    </row>
    <row r="390" spans="2:12">
      <c r="B390" s="1" t="s">
        <v>2468</v>
      </c>
      <c r="C390" s="1" t="s">
        <v>2469</v>
      </c>
      <c r="D390" s="1" t="s">
        <v>2470</v>
      </c>
      <c r="E390" s="1" t="s">
        <v>2471</v>
      </c>
      <c r="K390" s="1">
        <v>487813.14</v>
      </c>
      <c r="L390" s="1">
        <v>3368367.2344</v>
      </c>
    </row>
    <row r="391" spans="2:12">
      <c r="B391" s="1" t="s">
        <v>2472</v>
      </c>
      <c r="C391" s="1" t="s">
        <v>2473</v>
      </c>
      <c r="D391" s="1" t="s">
        <v>2474</v>
      </c>
      <c r="E391" s="1" t="s">
        <v>2475</v>
      </c>
      <c r="K391" s="1">
        <v>488020.1828</v>
      </c>
      <c r="L391" s="1">
        <v>3367488.5913</v>
      </c>
    </row>
    <row r="392" spans="2:12">
      <c r="B392" s="1" t="s">
        <v>2476</v>
      </c>
      <c r="C392" s="1" t="s">
        <v>2477</v>
      </c>
      <c r="D392" s="1" t="s">
        <v>2478</v>
      </c>
      <c r="E392" s="1" t="s">
        <v>2479</v>
      </c>
      <c r="K392" s="1">
        <v>487982.2683</v>
      </c>
      <c r="L392" s="1">
        <v>3367272.7478</v>
      </c>
    </row>
    <row r="393" spans="2:12">
      <c r="B393" s="1" t="s">
        <v>2480</v>
      </c>
      <c r="C393" s="1" t="s">
        <v>2481</v>
      </c>
      <c r="D393" s="1" t="s">
        <v>2482</v>
      </c>
      <c r="E393" s="1" t="s">
        <v>2483</v>
      </c>
      <c r="K393" s="1">
        <v>487973.9878</v>
      </c>
      <c r="L393" s="1">
        <v>3367225.6079</v>
      </c>
    </row>
    <row r="394" spans="2:12">
      <c r="B394" s="1" t="s">
        <v>2484</v>
      </c>
      <c r="C394" s="1" t="s">
        <v>2485</v>
      </c>
      <c r="D394" s="1" t="s">
        <v>2486</v>
      </c>
      <c r="E394" s="1" t="s">
        <v>2487</v>
      </c>
      <c r="K394" s="1">
        <v>487986.0258</v>
      </c>
      <c r="L394" s="1">
        <v>3367194.3915</v>
      </c>
    </row>
    <row r="395" spans="2:12">
      <c r="B395" s="1" t="s">
        <v>2488</v>
      </c>
      <c r="C395" s="1" t="s">
        <v>2489</v>
      </c>
      <c r="D395" s="1" t="s">
        <v>2490</v>
      </c>
      <c r="E395" s="1" t="s">
        <v>2491</v>
      </c>
      <c r="K395" s="1">
        <v>488029.488</v>
      </c>
      <c r="L395" s="1">
        <v>3367081.6873</v>
      </c>
    </row>
    <row r="396" spans="2:12">
      <c r="B396" s="1" t="s">
        <v>2492</v>
      </c>
      <c r="C396" s="1" t="s">
        <v>2493</v>
      </c>
      <c r="D396" s="1" t="s">
        <v>2494</v>
      </c>
      <c r="E396" s="1" t="s">
        <v>2495</v>
      </c>
      <c r="K396" s="1">
        <v>488044.3202</v>
      </c>
      <c r="L396" s="1">
        <v>3367043.2251</v>
      </c>
    </row>
    <row r="397" spans="2:12">
      <c r="B397" s="1" t="s">
        <v>2496</v>
      </c>
      <c r="C397" s="1" t="s">
        <v>2497</v>
      </c>
      <c r="D397" s="1" t="s">
        <v>2498</v>
      </c>
      <c r="E397" s="1" t="s">
        <v>2499</v>
      </c>
      <c r="K397" s="1">
        <v>488051.9122</v>
      </c>
      <c r="L397" s="1">
        <v>3366941.0603</v>
      </c>
    </row>
    <row r="398" spans="2:12">
      <c r="B398" s="1" t="s">
        <v>2500</v>
      </c>
      <c r="C398" s="1" t="s">
        <v>2501</v>
      </c>
      <c r="D398" s="1" t="s">
        <v>2502</v>
      </c>
      <c r="E398" s="1" t="s">
        <v>2503</v>
      </c>
      <c r="K398" s="1">
        <v>488041.4159</v>
      </c>
      <c r="L398" s="1">
        <v>3366903.1171</v>
      </c>
    </row>
    <row r="399" spans="2:12">
      <c r="B399" s="1" t="s">
        <v>2504</v>
      </c>
      <c r="C399" s="1" t="s">
        <v>2505</v>
      </c>
      <c r="D399" s="1" t="s">
        <v>2506</v>
      </c>
      <c r="E399" s="1" t="s">
        <v>2507</v>
      </c>
      <c r="K399" s="1">
        <v>488067.507</v>
      </c>
      <c r="L399" s="1">
        <v>3366853.9758</v>
      </c>
    </row>
    <row r="400" spans="2:12">
      <c r="B400" s="1" t="s">
        <v>2508</v>
      </c>
      <c r="C400" s="1" t="s">
        <v>2509</v>
      </c>
      <c r="D400" s="1" t="s">
        <v>2510</v>
      </c>
      <c r="E400" s="1" t="s">
        <v>2511</v>
      </c>
      <c r="K400" s="1">
        <v>488079.5523</v>
      </c>
      <c r="L400" s="1">
        <v>3366713.218</v>
      </c>
    </row>
    <row r="401" spans="2:12">
      <c r="B401" s="1" t="s">
        <v>2512</v>
      </c>
      <c r="C401" s="1" t="s">
        <v>2513</v>
      </c>
      <c r="D401" s="1" t="s">
        <v>2514</v>
      </c>
      <c r="E401" s="1" t="s">
        <v>2515</v>
      </c>
      <c r="K401" s="1">
        <v>488106.189</v>
      </c>
      <c r="L401" s="1">
        <v>3366401.9499</v>
      </c>
    </row>
    <row r="402" spans="2:12">
      <c r="B402" s="1" t="s">
        <v>2516</v>
      </c>
      <c r="C402" s="1" t="s">
        <v>2517</v>
      </c>
      <c r="D402" s="1" t="s">
        <v>2518</v>
      </c>
      <c r="E402" s="1" t="s">
        <v>2519</v>
      </c>
      <c r="K402" s="1">
        <v>488101.8045</v>
      </c>
      <c r="L402" s="1">
        <v>3366366.8207</v>
      </c>
    </row>
    <row r="403" spans="2:12">
      <c r="B403" s="1" t="s">
        <v>2520</v>
      </c>
      <c r="C403" s="1" t="s">
        <v>2521</v>
      </c>
      <c r="D403" s="1" t="s">
        <v>2522</v>
      </c>
      <c r="E403" s="1" t="s">
        <v>2523</v>
      </c>
      <c r="K403" s="1">
        <v>488097.2338</v>
      </c>
      <c r="L403" s="1">
        <v>3366330.1991</v>
      </c>
    </row>
    <row r="404" spans="2:12">
      <c r="B404" s="1" t="s">
        <v>2524</v>
      </c>
      <c r="C404" s="1" t="s">
        <v>2525</v>
      </c>
      <c r="D404" s="1" t="s">
        <v>2526</v>
      </c>
      <c r="E404" s="1" t="s">
        <v>2527</v>
      </c>
      <c r="K404" s="1">
        <v>488082.3606</v>
      </c>
      <c r="L404" s="1">
        <v>3366211.0322</v>
      </c>
    </row>
    <row r="405" spans="2:12">
      <c r="B405" s="1" t="s">
        <v>2528</v>
      </c>
      <c r="C405" s="1" t="s">
        <v>2529</v>
      </c>
      <c r="D405" s="1" t="s">
        <v>2530</v>
      </c>
      <c r="E405" s="1" t="s">
        <v>2531</v>
      </c>
      <c r="K405" s="1">
        <v>488103.9324</v>
      </c>
      <c r="L405" s="1">
        <v>3366107.3675</v>
      </c>
    </row>
    <row r="406" spans="2:12">
      <c r="B406" s="1" t="s">
        <v>2532</v>
      </c>
      <c r="C406" s="1" t="s">
        <v>2533</v>
      </c>
      <c r="D406" s="1" t="s">
        <v>2534</v>
      </c>
      <c r="E406" s="1" t="s">
        <v>2535</v>
      </c>
      <c r="K406" s="1">
        <v>488110.1258</v>
      </c>
      <c r="L406" s="1">
        <v>3366077.6048</v>
      </c>
    </row>
    <row r="407" spans="2:12">
      <c r="B407" s="1" t="s">
        <v>2536</v>
      </c>
      <c r="C407" s="1" t="s">
        <v>2537</v>
      </c>
      <c r="D407" s="1" t="s">
        <v>2538</v>
      </c>
      <c r="E407" s="1" t="s">
        <v>2539</v>
      </c>
      <c r="K407" s="1">
        <v>488118.1679</v>
      </c>
      <c r="L407" s="1">
        <v>3366038.9581</v>
      </c>
    </row>
    <row r="408" spans="2:12">
      <c r="B408" s="1" t="s">
        <v>2540</v>
      </c>
      <c r="C408" s="1" t="s">
        <v>2541</v>
      </c>
      <c r="D408" s="1" t="s">
        <v>2542</v>
      </c>
      <c r="E408" s="1" t="s">
        <v>2543</v>
      </c>
      <c r="K408" s="1">
        <v>488122.1878</v>
      </c>
      <c r="L408" s="1">
        <v>3366019.6403</v>
      </c>
    </row>
    <row r="409" spans="2:12">
      <c r="B409" s="1" t="s">
        <v>2544</v>
      </c>
      <c r="C409" s="1" t="s">
        <v>2545</v>
      </c>
      <c r="D409" s="1" t="s">
        <v>2546</v>
      </c>
      <c r="E409" s="1" t="s">
        <v>2547</v>
      </c>
      <c r="K409" s="1">
        <v>488157.53</v>
      </c>
      <c r="L409" s="1">
        <v>3365849.8009</v>
      </c>
    </row>
    <row r="410" spans="2:12">
      <c r="B410" s="1" t="s">
        <v>2548</v>
      </c>
      <c r="C410" s="1" t="s">
        <v>2549</v>
      </c>
      <c r="D410" s="1" t="s">
        <v>2550</v>
      </c>
      <c r="E410" s="1" t="s">
        <v>2551</v>
      </c>
      <c r="K410" s="1">
        <v>488320.1176</v>
      </c>
      <c r="L410" s="1">
        <v>3365790.6885</v>
      </c>
    </row>
    <row r="411" spans="2:12">
      <c r="B411" s="1" t="s">
        <v>2552</v>
      </c>
      <c r="C411" s="1" t="s">
        <v>2553</v>
      </c>
      <c r="D411" s="1" t="s">
        <v>2554</v>
      </c>
      <c r="E411" s="1" t="s">
        <v>2555</v>
      </c>
      <c r="K411" s="1">
        <v>488459.7276</v>
      </c>
      <c r="L411" s="1">
        <v>3365739.9301</v>
      </c>
    </row>
    <row r="412" spans="2:12">
      <c r="B412" s="1" t="s">
        <v>2556</v>
      </c>
      <c r="C412" s="1" t="s">
        <v>2557</v>
      </c>
      <c r="D412" s="1" t="s">
        <v>2558</v>
      </c>
      <c r="E412" s="1" t="s">
        <v>2559</v>
      </c>
      <c r="K412" s="1">
        <v>488584.9901</v>
      </c>
      <c r="L412" s="1">
        <v>3365542.2768</v>
      </c>
    </row>
    <row r="413" spans="2:12">
      <c r="B413" s="1" t="s">
        <v>2560</v>
      </c>
      <c r="C413" s="1" t="s">
        <v>2561</v>
      </c>
      <c r="D413" s="1" t="s">
        <v>2562</v>
      </c>
      <c r="E413" s="1" t="s">
        <v>2563</v>
      </c>
      <c r="K413" s="1">
        <v>488704.9679</v>
      </c>
      <c r="L413" s="1">
        <v>3365122.6395</v>
      </c>
    </row>
    <row r="414" spans="2:12">
      <c r="B414" s="1" t="s">
        <v>2564</v>
      </c>
      <c r="C414" s="1" t="s">
        <v>2565</v>
      </c>
      <c r="D414" s="1" t="s">
        <v>2566</v>
      </c>
      <c r="E414" s="1" t="s">
        <v>2567</v>
      </c>
      <c r="K414" s="1">
        <v>489014.3026</v>
      </c>
      <c r="L414" s="1">
        <v>3364722.6579</v>
      </c>
    </row>
    <row r="415" spans="2:12">
      <c r="B415" s="1" t="s">
        <v>2568</v>
      </c>
      <c r="C415" s="1" t="s">
        <v>2569</v>
      </c>
      <c r="D415" s="1" t="s">
        <v>2570</v>
      </c>
      <c r="E415" s="1" t="s">
        <v>2571</v>
      </c>
      <c r="K415" s="1">
        <v>489320.2221</v>
      </c>
      <c r="L415" s="1">
        <v>3364523.2466</v>
      </c>
    </row>
    <row r="416" spans="2:12">
      <c r="B416" s="1" t="s">
        <v>2572</v>
      </c>
      <c r="C416" s="1" t="s">
        <v>2573</v>
      </c>
      <c r="D416" s="1" t="s">
        <v>2574</v>
      </c>
      <c r="E416" s="1" t="s">
        <v>2575</v>
      </c>
      <c r="K416" s="1">
        <v>489342.2724</v>
      </c>
      <c r="L416" s="1">
        <v>3364204.846</v>
      </c>
    </row>
    <row r="417" spans="2:12">
      <c r="B417" s="1" t="s">
        <v>2576</v>
      </c>
      <c r="C417" s="1" t="s">
        <v>2577</v>
      </c>
      <c r="D417" s="1" t="s">
        <v>2578</v>
      </c>
      <c r="E417" s="1" t="s">
        <v>2579</v>
      </c>
      <c r="K417" s="1">
        <v>489408.0096</v>
      </c>
      <c r="L417" s="1">
        <v>3364043.4435</v>
      </c>
    </row>
    <row r="418" spans="2:12">
      <c r="B418" s="1" t="s">
        <v>2580</v>
      </c>
      <c r="C418" s="1" t="s">
        <v>2581</v>
      </c>
      <c r="D418" s="1" t="s">
        <v>2582</v>
      </c>
      <c r="E418" s="1" t="s">
        <v>2583</v>
      </c>
      <c r="K418" s="1">
        <v>489801.1826</v>
      </c>
      <c r="L418" s="1">
        <v>3363532.1809</v>
      </c>
    </row>
    <row r="419" spans="2:12">
      <c r="B419" s="1" t="s">
        <v>2584</v>
      </c>
      <c r="C419" s="1" t="s">
        <v>2585</v>
      </c>
      <c r="D419" s="1" t="s">
        <v>2586</v>
      </c>
      <c r="E419" s="1" t="s">
        <v>2587</v>
      </c>
      <c r="K419" s="1">
        <v>490042.7929</v>
      </c>
      <c r="L419" s="1">
        <v>3363364.7446</v>
      </c>
    </row>
    <row r="420" spans="2:12">
      <c r="B420" s="1" t="s">
        <v>2588</v>
      </c>
      <c r="C420" s="1" t="s">
        <v>2589</v>
      </c>
      <c r="D420" s="1" t="s">
        <v>2590</v>
      </c>
      <c r="E420" s="1" t="s">
        <v>2591</v>
      </c>
      <c r="K420" s="1">
        <v>490066.3764</v>
      </c>
      <c r="L420" s="1">
        <v>3363264.1049</v>
      </c>
    </row>
    <row r="421" spans="2:12">
      <c r="B421" s="1" t="s">
        <v>2592</v>
      </c>
      <c r="C421" s="1" t="s">
        <v>2593</v>
      </c>
      <c r="D421" s="1" t="s">
        <v>2594</v>
      </c>
      <c r="E421" s="1" t="s">
        <v>2595</v>
      </c>
      <c r="K421" s="1">
        <v>490183.3093</v>
      </c>
      <c r="L421" s="1">
        <v>3363140.9624</v>
      </c>
    </row>
    <row r="422" spans="2:12">
      <c r="B422" s="1" t="s">
        <v>2596</v>
      </c>
      <c r="C422" s="1" t="s">
        <v>2597</v>
      </c>
      <c r="D422" s="1" t="s">
        <v>2598</v>
      </c>
      <c r="E422" s="1" t="s">
        <v>2599</v>
      </c>
      <c r="K422" s="1">
        <v>490197.0086</v>
      </c>
      <c r="L422" s="1">
        <v>3363049.9885</v>
      </c>
    </row>
    <row r="423" spans="2:12">
      <c r="B423" s="1" t="s">
        <v>2600</v>
      </c>
      <c r="C423" s="1" t="s">
        <v>2601</v>
      </c>
      <c r="D423" s="1" t="s">
        <v>2602</v>
      </c>
      <c r="E423" s="1" t="s">
        <v>2603</v>
      </c>
      <c r="K423" s="1">
        <v>490337.8576</v>
      </c>
      <c r="L423" s="1">
        <v>3363011.0435</v>
      </c>
    </row>
    <row r="424" spans="2:12">
      <c r="B424" s="1" t="s">
        <v>2604</v>
      </c>
      <c r="C424" s="1" t="s">
        <v>2605</v>
      </c>
      <c r="D424" s="1" t="s">
        <v>2606</v>
      </c>
      <c r="E424" s="1" t="s">
        <v>2607</v>
      </c>
      <c r="K424" s="1">
        <v>490368.801</v>
      </c>
      <c r="L424" s="1">
        <v>3362741.5039</v>
      </c>
    </row>
    <row r="425" spans="2:12">
      <c r="B425" s="1" t="s">
        <v>2608</v>
      </c>
      <c r="C425" s="1" t="s">
        <v>2609</v>
      </c>
      <c r="D425" s="1" t="s">
        <v>2610</v>
      </c>
      <c r="E425" s="1" t="s">
        <v>2611</v>
      </c>
      <c r="K425" s="1">
        <v>490380.6894</v>
      </c>
      <c r="L425" s="1">
        <v>3362637.948</v>
      </c>
    </row>
    <row r="426" spans="2:12">
      <c r="B426" s="1" t="s">
        <v>2612</v>
      </c>
      <c r="C426" s="1" t="s">
        <v>2613</v>
      </c>
      <c r="D426" s="1" t="s">
        <v>2614</v>
      </c>
      <c r="E426" s="1" t="s">
        <v>2615</v>
      </c>
      <c r="K426" s="1">
        <v>490365.0546</v>
      </c>
      <c r="L426" s="1">
        <v>3362455.625</v>
      </c>
    </row>
    <row r="427" spans="2:12">
      <c r="B427" s="1" t="s">
        <v>2616</v>
      </c>
      <c r="C427" s="1" t="s">
        <v>2617</v>
      </c>
      <c r="D427" s="1" t="s">
        <v>2618</v>
      </c>
      <c r="E427" s="1" t="s">
        <v>2619</v>
      </c>
      <c r="K427" s="1">
        <v>490354.6012</v>
      </c>
      <c r="L427" s="1">
        <v>3362419.7898</v>
      </c>
    </row>
    <row r="428" spans="2:12">
      <c r="B428" s="1" t="s">
        <v>2620</v>
      </c>
      <c r="C428" s="1" t="s">
        <v>2621</v>
      </c>
      <c r="D428" s="1" t="s">
        <v>2622</v>
      </c>
      <c r="E428" s="1" t="s">
        <v>2623</v>
      </c>
      <c r="K428" s="1">
        <v>490265.3988</v>
      </c>
      <c r="L428" s="1">
        <v>3362113.9968</v>
      </c>
    </row>
    <row r="429" spans="2:12">
      <c r="B429" s="1" t="s">
        <v>2624</v>
      </c>
      <c r="C429" s="1" t="s">
        <v>2625</v>
      </c>
      <c r="D429" s="1" t="s">
        <v>2626</v>
      </c>
      <c r="E429" s="1" t="s">
        <v>2627</v>
      </c>
      <c r="K429" s="1">
        <v>490245.6698</v>
      </c>
      <c r="L429" s="1">
        <v>3361981.1046</v>
      </c>
    </row>
    <row r="430" spans="2:12">
      <c r="B430" s="1" t="s">
        <v>2628</v>
      </c>
      <c r="C430" s="1" t="s">
        <v>2629</v>
      </c>
      <c r="D430" s="1" t="s">
        <v>2630</v>
      </c>
      <c r="E430" s="1" t="s">
        <v>2631</v>
      </c>
      <c r="K430" s="1">
        <v>490199.98</v>
      </c>
      <c r="L430" s="1">
        <v>3361911.7163</v>
      </c>
    </row>
    <row r="431" spans="2:12">
      <c r="B431" s="1" t="s">
        <v>2632</v>
      </c>
      <c r="C431" s="1" t="s">
        <v>2633</v>
      </c>
      <c r="D431" s="1" t="s">
        <v>2634</v>
      </c>
      <c r="E431" s="1" t="s">
        <v>2635</v>
      </c>
      <c r="K431" s="1">
        <v>490178.5255</v>
      </c>
      <c r="L431" s="1">
        <v>3361879.1338</v>
      </c>
    </row>
    <row r="432" spans="2:12">
      <c r="B432" s="1" t="s">
        <v>2636</v>
      </c>
      <c r="C432" s="1" t="s">
        <v>2637</v>
      </c>
      <c r="D432" s="1" t="s">
        <v>2638</v>
      </c>
      <c r="E432" s="1" t="s">
        <v>2639</v>
      </c>
      <c r="K432" s="1">
        <v>490150.8292</v>
      </c>
      <c r="L432" s="1">
        <v>3361715.5627</v>
      </c>
    </row>
    <row r="433" spans="2:12">
      <c r="B433" s="1" t="s">
        <v>2640</v>
      </c>
      <c r="C433" s="1" t="s">
        <v>2641</v>
      </c>
      <c r="D433" s="1" t="s">
        <v>2642</v>
      </c>
      <c r="E433" s="1" t="s">
        <v>2643</v>
      </c>
      <c r="K433" s="1">
        <v>490125.3089</v>
      </c>
      <c r="L433" s="1">
        <v>3361564.843</v>
      </c>
    </row>
    <row r="434" spans="2:12">
      <c r="B434" s="1" t="s">
        <v>2644</v>
      </c>
      <c r="C434" s="1" t="s">
        <v>2645</v>
      </c>
      <c r="D434" s="1" t="s">
        <v>2646</v>
      </c>
      <c r="E434" s="1" t="s">
        <v>2647</v>
      </c>
      <c r="K434" s="1">
        <v>490119.9767</v>
      </c>
      <c r="L434" s="1">
        <v>3361533.351</v>
      </c>
    </row>
    <row r="435" spans="2:12">
      <c r="B435" s="1" t="s">
        <v>2648</v>
      </c>
      <c r="C435" s="1" t="s">
        <v>771</v>
      </c>
      <c r="D435" s="1" t="s">
        <v>771</v>
      </c>
      <c r="E435" s="1" t="s">
        <v>771</v>
      </c>
      <c r="K435" s="1">
        <v>490187.8095</v>
      </c>
      <c r="L435" s="1">
        <v>3361425.538</v>
      </c>
    </row>
    <row r="436" spans="2:12">
      <c r="B436" s="1" t="s">
        <v>2648</v>
      </c>
      <c r="C436" s="1" t="s">
        <v>771</v>
      </c>
      <c r="D436" s="1" t="s">
        <v>771</v>
      </c>
      <c r="E436" s="1" t="s">
        <v>771</v>
      </c>
      <c r="K436" s="1">
        <v>490192.1328</v>
      </c>
      <c r="L436" s="1">
        <v>3361395.8851</v>
      </c>
    </row>
    <row r="437" spans="2:12">
      <c r="B437" s="1" t="s">
        <v>2648</v>
      </c>
      <c r="C437" s="1" t="s">
        <v>771</v>
      </c>
      <c r="D437" s="1" t="s">
        <v>771</v>
      </c>
      <c r="E437" s="1" t="s">
        <v>771</v>
      </c>
      <c r="K437" s="1">
        <v>490202.4674</v>
      </c>
      <c r="L437" s="1">
        <v>3361325.0007</v>
      </c>
    </row>
    <row r="438" spans="2:12">
      <c r="B438" s="1" t="s">
        <v>2648</v>
      </c>
      <c r="C438" s="1" t="s">
        <v>771</v>
      </c>
      <c r="D438" s="1" t="s">
        <v>771</v>
      </c>
      <c r="E438" s="1" t="s">
        <v>771</v>
      </c>
      <c r="K438" s="1">
        <v>490206.9241</v>
      </c>
      <c r="L438" s="1">
        <v>3361294.4331</v>
      </c>
    </row>
    <row r="439" spans="2:12">
      <c r="B439" s="1" t="s">
        <v>2648</v>
      </c>
      <c r="C439" s="1" t="s">
        <v>771</v>
      </c>
      <c r="D439" s="1" t="s">
        <v>771</v>
      </c>
      <c r="E439" s="1" t="s">
        <v>771</v>
      </c>
      <c r="K439" s="1">
        <v>490264.0893</v>
      </c>
      <c r="L439" s="1">
        <v>3361154.4365</v>
      </c>
    </row>
    <row r="440" spans="2:12">
      <c r="B440" s="1" t="s">
        <v>2648</v>
      </c>
      <c r="C440" s="1" t="s">
        <v>771</v>
      </c>
      <c r="D440" s="1" t="s">
        <v>771</v>
      </c>
      <c r="E440" s="1" t="s">
        <v>771</v>
      </c>
      <c r="K440" s="1">
        <v>490327.9288</v>
      </c>
      <c r="L440" s="1">
        <v>3360998.0947</v>
      </c>
    </row>
    <row r="441" spans="2:12">
      <c r="B441" s="1" t="s">
        <v>2648</v>
      </c>
      <c r="C441" s="1" t="s">
        <v>771</v>
      </c>
      <c r="D441" s="1" t="s">
        <v>771</v>
      </c>
      <c r="E441" s="1" t="s">
        <v>771</v>
      </c>
      <c r="K441" s="1">
        <v>490337.1366</v>
      </c>
      <c r="L441" s="1">
        <v>3360975.545</v>
      </c>
    </row>
    <row r="442" spans="2:12">
      <c r="B442" s="1" t="s">
        <v>2648</v>
      </c>
      <c r="C442" s="1" t="s">
        <v>771</v>
      </c>
      <c r="D442" s="1" t="s">
        <v>771</v>
      </c>
      <c r="E442" s="1" t="s">
        <v>771</v>
      </c>
      <c r="K442" s="1">
        <v>490500.0376</v>
      </c>
      <c r="L442" s="1">
        <v>3360813.6367</v>
      </c>
    </row>
    <row r="443" spans="2:12">
      <c r="B443" s="1" t="s">
        <v>2648</v>
      </c>
      <c r="C443" s="1" t="s">
        <v>771</v>
      </c>
      <c r="D443" s="1" t="s">
        <v>771</v>
      </c>
      <c r="E443" s="1" t="s">
        <v>771</v>
      </c>
      <c r="K443" s="1">
        <v>490509.0488</v>
      </c>
      <c r="L443" s="1">
        <v>3360679.9522</v>
      </c>
    </row>
    <row r="444" spans="2:12">
      <c r="B444" s="1" t="s">
        <v>2648</v>
      </c>
      <c r="C444" s="1" t="s">
        <v>771</v>
      </c>
      <c r="D444" s="1" t="s">
        <v>771</v>
      </c>
      <c r="E444" s="1" t="s">
        <v>771</v>
      </c>
      <c r="K444" s="1">
        <v>490528.561</v>
      </c>
      <c r="L444" s="1">
        <v>3360612.9541</v>
      </c>
    </row>
    <row r="445" spans="2:12">
      <c r="B445" s="1" t="s">
        <v>2648</v>
      </c>
      <c r="C445" s="1" t="s">
        <v>771</v>
      </c>
      <c r="D445" s="1" t="s">
        <v>771</v>
      </c>
      <c r="E445" s="1" t="s">
        <v>771</v>
      </c>
      <c r="K445" s="1">
        <v>490558.5979</v>
      </c>
      <c r="L445" s="1">
        <v>3360570.7579</v>
      </c>
    </row>
    <row r="446" spans="2:12">
      <c r="B446" s="1" t="s">
        <v>2648</v>
      </c>
      <c r="C446" s="1" t="s">
        <v>771</v>
      </c>
      <c r="D446" s="1" t="s">
        <v>771</v>
      </c>
      <c r="E446" s="1" t="s">
        <v>771</v>
      </c>
      <c r="K446" s="1">
        <v>490560.7753</v>
      </c>
      <c r="L446" s="1">
        <v>3360525.6898</v>
      </c>
    </row>
    <row r="447" spans="2:12">
      <c r="B447" s="1" t="s">
        <v>2648</v>
      </c>
      <c r="C447" s="1" t="s">
        <v>771</v>
      </c>
      <c r="D447" s="1" t="s">
        <v>771</v>
      </c>
      <c r="E447" s="1" t="s">
        <v>771</v>
      </c>
      <c r="K447" s="1">
        <v>490565.4682</v>
      </c>
      <c r="L447" s="1">
        <v>3360428.558</v>
      </c>
    </row>
    <row r="448" spans="2:12">
      <c r="B448" s="1" t="s">
        <v>2648</v>
      </c>
      <c r="C448" s="1" t="s">
        <v>771</v>
      </c>
      <c r="D448" s="1" t="s">
        <v>771</v>
      </c>
      <c r="E448" s="1" t="s">
        <v>771</v>
      </c>
      <c r="K448" s="1">
        <v>490566.9644</v>
      </c>
      <c r="L448" s="1">
        <v>3360397.5898</v>
      </c>
    </row>
    <row r="449" spans="2:12">
      <c r="B449" s="1" t="s">
        <v>2648</v>
      </c>
      <c r="C449" s="1" t="s">
        <v>771</v>
      </c>
      <c r="D449" s="1" t="s">
        <v>771</v>
      </c>
      <c r="E449" s="1" t="s">
        <v>771</v>
      </c>
      <c r="K449" s="1">
        <v>490555.6963</v>
      </c>
      <c r="L449" s="1">
        <v>3360356.9735</v>
      </c>
    </row>
    <row r="450" spans="2:12">
      <c r="B450" s="1" t="s">
        <v>2648</v>
      </c>
      <c r="C450" s="1" t="s">
        <v>771</v>
      </c>
      <c r="D450" s="1" t="s">
        <v>771</v>
      </c>
      <c r="E450" s="1" t="s">
        <v>771</v>
      </c>
      <c r="K450" s="1">
        <v>490589.2741</v>
      </c>
      <c r="L450" s="1">
        <v>3360288.5799</v>
      </c>
    </row>
    <row r="451" spans="2:12">
      <c r="B451" s="1" t="s">
        <v>2648</v>
      </c>
      <c r="C451" s="1" t="s">
        <v>771</v>
      </c>
      <c r="D451" s="1" t="s">
        <v>771</v>
      </c>
      <c r="E451" s="1" t="s">
        <v>771</v>
      </c>
      <c r="K451" s="1">
        <v>490587.1979</v>
      </c>
      <c r="L451" s="1">
        <v>3360223.4464</v>
      </c>
    </row>
    <row r="452" spans="2:12">
      <c r="B452" s="1" t="s">
        <v>2648</v>
      </c>
      <c r="C452" s="1" t="s">
        <v>771</v>
      </c>
      <c r="D452" s="1" t="s">
        <v>771</v>
      </c>
      <c r="E452" s="1" t="s">
        <v>771</v>
      </c>
      <c r="K452" s="1">
        <v>490679.9844</v>
      </c>
      <c r="L452" s="1">
        <v>3360131.0267</v>
      </c>
    </row>
    <row r="453" spans="2:12">
      <c r="B453" s="1" t="s">
        <v>2648</v>
      </c>
      <c r="C453" s="1" t="s">
        <v>771</v>
      </c>
      <c r="D453" s="1" t="s">
        <v>771</v>
      </c>
      <c r="E453" s="1" t="s">
        <v>771</v>
      </c>
      <c r="K453" s="1">
        <v>490734.7914</v>
      </c>
      <c r="L453" s="1">
        <v>3360125.4958</v>
      </c>
    </row>
    <row r="454" spans="2:12">
      <c r="B454" s="1" t="s">
        <v>2648</v>
      </c>
      <c r="C454" s="1" t="s">
        <v>771</v>
      </c>
      <c r="D454" s="1" t="s">
        <v>771</v>
      </c>
      <c r="E454" s="1" t="s">
        <v>771</v>
      </c>
      <c r="K454" s="1">
        <v>490853.6236</v>
      </c>
      <c r="L454" s="1">
        <v>3360172.9152</v>
      </c>
    </row>
    <row r="455" spans="2:12">
      <c r="B455" s="1" t="s">
        <v>2648</v>
      </c>
      <c r="C455" s="1" t="s">
        <v>771</v>
      </c>
      <c r="D455" s="1" t="s">
        <v>771</v>
      </c>
      <c r="E455" s="1" t="s">
        <v>771</v>
      </c>
      <c r="K455" s="1">
        <v>490899.3876</v>
      </c>
      <c r="L455" s="1">
        <v>3360156.0847</v>
      </c>
    </row>
    <row r="456" spans="2:12">
      <c r="B456" s="1" t="s">
        <v>2648</v>
      </c>
      <c r="C456" s="1" t="s">
        <v>771</v>
      </c>
      <c r="D456" s="1" t="s">
        <v>771</v>
      </c>
      <c r="E456" s="1" t="s">
        <v>771</v>
      </c>
      <c r="K456" s="1">
        <v>490897.2311</v>
      </c>
      <c r="L456" s="1">
        <v>3360060.8474</v>
      </c>
    </row>
    <row r="457" spans="2:12">
      <c r="B457" s="1" t="s">
        <v>2648</v>
      </c>
      <c r="C457" s="1" t="s">
        <v>771</v>
      </c>
      <c r="D457" s="1" t="s">
        <v>771</v>
      </c>
      <c r="E457" s="1" t="s">
        <v>771</v>
      </c>
      <c r="K457" s="1">
        <v>490920.4974</v>
      </c>
      <c r="L457" s="1">
        <v>3359987.7807</v>
      </c>
    </row>
    <row r="458" spans="2:12">
      <c r="B458" s="1" t="s">
        <v>2648</v>
      </c>
      <c r="C458" s="1" t="s">
        <v>771</v>
      </c>
      <c r="D458" s="1" t="s">
        <v>771</v>
      </c>
      <c r="E458" s="1" t="s">
        <v>771</v>
      </c>
      <c r="K458" s="1">
        <v>490951.878</v>
      </c>
      <c r="L458" s="1">
        <v>3359889.2319</v>
      </c>
    </row>
    <row r="459" spans="2:12">
      <c r="B459" s="1" t="s">
        <v>2648</v>
      </c>
      <c r="C459" s="1" t="s">
        <v>771</v>
      </c>
      <c r="D459" s="1" t="s">
        <v>771</v>
      </c>
      <c r="E459" s="1" t="s">
        <v>771</v>
      </c>
      <c r="K459" s="1">
        <v>491348.7525</v>
      </c>
      <c r="L459" s="1">
        <v>3359593.0181</v>
      </c>
    </row>
    <row r="460" spans="2:12">
      <c r="B460" s="1" t="s">
        <v>2648</v>
      </c>
      <c r="C460" s="1" t="s">
        <v>771</v>
      </c>
      <c r="D460" s="1" t="s">
        <v>771</v>
      </c>
      <c r="E460" s="1" t="s">
        <v>771</v>
      </c>
      <c r="K460" s="1">
        <v>491381.6368</v>
      </c>
      <c r="L460" s="1">
        <v>3359568.4743</v>
      </c>
    </row>
    <row r="461" spans="2:12">
      <c r="B461" s="1" t="s">
        <v>2648</v>
      </c>
      <c r="C461" s="1" t="s">
        <v>771</v>
      </c>
      <c r="D461" s="1" t="s">
        <v>771</v>
      </c>
      <c r="E461" s="1" t="s">
        <v>771</v>
      </c>
      <c r="K461" s="1">
        <v>491468.382</v>
      </c>
      <c r="L461" s="1">
        <v>3359531.1526</v>
      </c>
    </row>
    <row r="462" spans="2:12">
      <c r="B462" s="1" t="s">
        <v>2648</v>
      </c>
      <c r="C462" s="1" t="s">
        <v>771</v>
      </c>
      <c r="D462" s="1" t="s">
        <v>771</v>
      </c>
      <c r="E462" s="1" t="s">
        <v>771</v>
      </c>
      <c r="K462" s="1">
        <v>491497.2271</v>
      </c>
      <c r="L462" s="1">
        <v>3359493.5946</v>
      </c>
    </row>
    <row r="463" spans="2:12">
      <c r="B463" s="1" t="s">
        <v>2648</v>
      </c>
      <c r="C463" s="1" t="s">
        <v>771</v>
      </c>
      <c r="D463" s="1" t="s">
        <v>771</v>
      </c>
      <c r="E463" s="1" t="s">
        <v>771</v>
      </c>
      <c r="K463" s="1">
        <v>491552.8119</v>
      </c>
      <c r="L463" s="1">
        <v>3359473.9782</v>
      </c>
    </row>
    <row r="464" spans="2:12">
      <c r="B464" s="1" t="s">
        <v>2648</v>
      </c>
      <c r="C464" s="1" t="s">
        <v>771</v>
      </c>
      <c r="D464" s="1" t="s">
        <v>771</v>
      </c>
      <c r="E464" s="1" t="s">
        <v>771</v>
      </c>
      <c r="K464" s="1">
        <v>491565.5581</v>
      </c>
      <c r="L464" s="1">
        <v>3359456.6604</v>
      </c>
    </row>
    <row r="465" spans="2:12">
      <c r="B465" s="1" t="s">
        <v>2648</v>
      </c>
      <c r="C465" s="1" t="s">
        <v>771</v>
      </c>
      <c r="D465" s="1" t="s">
        <v>771</v>
      </c>
      <c r="E465" s="1" t="s">
        <v>771</v>
      </c>
      <c r="K465" s="1">
        <v>491651.166</v>
      </c>
      <c r="L465" s="1">
        <v>3359340.3486</v>
      </c>
    </row>
    <row r="466" spans="2:12">
      <c r="B466" s="1" t="s">
        <v>2648</v>
      </c>
      <c r="C466" s="1" t="s">
        <v>771</v>
      </c>
      <c r="D466" s="1" t="s">
        <v>771</v>
      </c>
      <c r="E466" s="1" t="s">
        <v>771</v>
      </c>
      <c r="K466" s="1">
        <v>491743.1213</v>
      </c>
      <c r="L466" s="1">
        <v>3359105.2423</v>
      </c>
    </row>
    <row r="467" spans="2:12">
      <c r="B467" s="1" t="s">
        <v>2648</v>
      </c>
      <c r="C467" s="1" t="s">
        <v>771</v>
      </c>
      <c r="D467" s="1" t="s">
        <v>771</v>
      </c>
      <c r="E467" s="1" t="s">
        <v>771</v>
      </c>
      <c r="K467" s="1">
        <v>491755.8429</v>
      </c>
      <c r="L467" s="1">
        <v>3359072.7164</v>
      </c>
    </row>
    <row r="468" spans="2:12">
      <c r="B468" s="1" t="s">
        <v>2648</v>
      </c>
      <c r="C468" s="1" t="s">
        <v>771</v>
      </c>
      <c r="D468" s="1" t="s">
        <v>771</v>
      </c>
      <c r="E468" s="1" t="s">
        <v>771</v>
      </c>
      <c r="K468" s="1">
        <v>491770.3961</v>
      </c>
      <c r="L468" s="1">
        <v>3359052.7857</v>
      </c>
    </row>
    <row r="469" spans="2:12">
      <c r="B469" s="1" t="s">
        <v>2648</v>
      </c>
      <c r="C469" s="1" t="s">
        <v>771</v>
      </c>
      <c r="D469" s="1" t="s">
        <v>771</v>
      </c>
      <c r="E469" s="1" t="s">
        <v>771</v>
      </c>
      <c r="K469" s="1">
        <v>491917.2937</v>
      </c>
      <c r="L469" s="1">
        <v>3358851.6081</v>
      </c>
    </row>
    <row r="470" spans="2:12">
      <c r="B470" s="1" t="s">
        <v>2648</v>
      </c>
      <c r="C470" s="1" t="s">
        <v>771</v>
      </c>
      <c r="D470" s="1" t="s">
        <v>771</v>
      </c>
      <c r="E470" s="1" t="s">
        <v>771</v>
      </c>
      <c r="K470" s="1">
        <v>491932.6879</v>
      </c>
      <c r="L470" s="1">
        <v>3358830.5257</v>
      </c>
    </row>
    <row r="471" spans="2:12">
      <c r="B471" s="1" t="s">
        <v>2648</v>
      </c>
      <c r="C471" s="1" t="s">
        <v>771</v>
      </c>
      <c r="D471" s="1" t="s">
        <v>771</v>
      </c>
      <c r="E471" s="1" t="s">
        <v>771</v>
      </c>
      <c r="K471" s="1">
        <v>491970.8709</v>
      </c>
      <c r="L471" s="1">
        <v>3358810.2228</v>
      </c>
    </row>
    <row r="472" spans="2:12">
      <c r="B472" s="1" t="s">
        <v>2648</v>
      </c>
      <c r="C472" s="1" t="s">
        <v>771</v>
      </c>
      <c r="D472" s="1" t="s">
        <v>771</v>
      </c>
      <c r="E472" s="1" t="s">
        <v>771</v>
      </c>
      <c r="K472" s="1">
        <v>492492.2607</v>
      </c>
      <c r="L472" s="1">
        <v>3358532.9862</v>
      </c>
    </row>
    <row r="473" spans="2:12">
      <c r="B473" s="1" t="s">
        <v>2648</v>
      </c>
      <c r="C473" s="1" t="s">
        <v>771</v>
      </c>
      <c r="D473" s="1" t="s">
        <v>771</v>
      </c>
      <c r="E473" s="1" t="s">
        <v>771</v>
      </c>
      <c r="K473" s="1">
        <v>492669.1304</v>
      </c>
      <c r="L473" s="1">
        <v>3357920.368</v>
      </c>
    </row>
    <row r="474" spans="2:12">
      <c r="B474" s="1" t="s">
        <v>2648</v>
      </c>
      <c r="C474" s="1" t="s">
        <v>771</v>
      </c>
      <c r="D474" s="1" t="s">
        <v>771</v>
      </c>
      <c r="E474" s="1" t="s">
        <v>771</v>
      </c>
      <c r="K474" s="1">
        <v>492777.2356</v>
      </c>
      <c r="L474" s="1">
        <v>3357814.9557</v>
      </c>
    </row>
    <row r="475" spans="2:12">
      <c r="B475" s="1" t="s">
        <v>2648</v>
      </c>
      <c r="C475" s="1" t="s">
        <v>771</v>
      </c>
      <c r="D475" s="1" t="s">
        <v>771</v>
      </c>
      <c r="E475" s="1" t="s">
        <v>771</v>
      </c>
      <c r="K475" s="1">
        <v>492813.9858</v>
      </c>
      <c r="L475" s="1">
        <v>3357779.121</v>
      </c>
    </row>
    <row r="476" spans="2:12">
      <c r="B476" s="1" t="s">
        <v>2648</v>
      </c>
      <c r="C476" s="1" t="s">
        <v>771</v>
      </c>
      <c r="D476" s="1" t="s">
        <v>771</v>
      </c>
      <c r="E476" s="1" t="s">
        <v>771</v>
      </c>
      <c r="K476" s="1">
        <v>492906.8425</v>
      </c>
      <c r="L476" s="1">
        <v>3357688.5774</v>
      </c>
    </row>
    <row r="477" spans="2:12">
      <c r="B477" s="1" t="s">
        <v>2648</v>
      </c>
      <c r="C477" s="1" t="s">
        <v>771</v>
      </c>
      <c r="D477" s="1" t="s">
        <v>771</v>
      </c>
      <c r="E477" s="1" t="s">
        <v>771</v>
      </c>
      <c r="K477" s="1">
        <v>492924.0723</v>
      </c>
      <c r="L477" s="1">
        <v>3357671.7768</v>
      </c>
    </row>
    <row r="478" spans="2:12">
      <c r="B478" s="1" t="s">
        <v>2648</v>
      </c>
      <c r="C478" s="1" t="s">
        <v>771</v>
      </c>
      <c r="D478" s="1" t="s">
        <v>771</v>
      </c>
      <c r="E478" s="1" t="s">
        <v>771</v>
      </c>
      <c r="K478" s="1">
        <v>493002.0744</v>
      </c>
      <c r="L478" s="1">
        <v>3357595.7178</v>
      </c>
    </row>
    <row r="479" spans="2:12">
      <c r="B479" s="1" t="s">
        <v>2648</v>
      </c>
      <c r="C479" s="1" t="s">
        <v>771</v>
      </c>
      <c r="D479" s="1" t="s">
        <v>771</v>
      </c>
      <c r="E479" s="1" t="s">
        <v>771</v>
      </c>
      <c r="K479" s="1">
        <v>493321.6885</v>
      </c>
      <c r="L479" s="1">
        <v>3357033.0233</v>
      </c>
    </row>
    <row r="480" spans="2:12">
      <c r="B480" s="1" t="s">
        <v>2648</v>
      </c>
      <c r="C480" s="1" t="s">
        <v>771</v>
      </c>
      <c r="D480" s="1" t="s">
        <v>771</v>
      </c>
      <c r="E480" s="1" t="s">
        <v>771</v>
      </c>
      <c r="K480" s="1">
        <v>493413.579</v>
      </c>
      <c r="L480" s="1">
        <v>3356989.1976</v>
      </c>
    </row>
    <row r="481" spans="2:12">
      <c r="B481" s="1" t="s">
        <v>2648</v>
      </c>
      <c r="C481" s="1" t="s">
        <v>771</v>
      </c>
      <c r="D481" s="1" t="s">
        <v>771</v>
      </c>
      <c r="E481" s="1" t="s">
        <v>771</v>
      </c>
      <c r="K481" s="1">
        <v>493427.4476</v>
      </c>
      <c r="L481" s="1">
        <v>3356982.5832</v>
      </c>
    </row>
    <row r="482" spans="2:12">
      <c r="B482" s="1" t="s">
        <v>2648</v>
      </c>
      <c r="C482" s="1" t="s">
        <v>771</v>
      </c>
      <c r="D482" s="1" t="s">
        <v>771</v>
      </c>
      <c r="E482" s="1" t="s">
        <v>771</v>
      </c>
      <c r="K482" s="1">
        <v>493479.0034</v>
      </c>
      <c r="L482" s="1">
        <v>3356957.9945</v>
      </c>
    </row>
    <row r="483" spans="2:12">
      <c r="B483" s="1" t="s">
        <v>2648</v>
      </c>
      <c r="C483" s="1" t="s">
        <v>771</v>
      </c>
      <c r="D483" s="1" t="s">
        <v>771</v>
      </c>
      <c r="E483" s="1" t="s">
        <v>771</v>
      </c>
      <c r="K483" s="1">
        <v>493703.6309</v>
      </c>
      <c r="L483" s="1">
        <v>3356850.8621</v>
      </c>
    </row>
    <row r="484" spans="2:12">
      <c r="B484" s="1" t="s">
        <v>2648</v>
      </c>
      <c r="C484" s="1" t="s">
        <v>771</v>
      </c>
      <c r="D484" s="1" t="s">
        <v>771</v>
      </c>
      <c r="E484" s="1" t="s">
        <v>771</v>
      </c>
      <c r="K484" s="1">
        <v>493773.7394</v>
      </c>
      <c r="L484" s="1">
        <v>3356817.4251</v>
      </c>
    </row>
    <row r="485" spans="2:12">
      <c r="B485" s="1" t="s">
        <v>2648</v>
      </c>
      <c r="C485" s="1" t="s">
        <v>771</v>
      </c>
      <c r="D485" s="1" t="s">
        <v>771</v>
      </c>
      <c r="E485" s="1" t="s">
        <v>771</v>
      </c>
      <c r="K485" s="1">
        <v>493804.1891</v>
      </c>
      <c r="L485" s="1">
        <v>3356775.6455</v>
      </c>
    </row>
    <row r="486" spans="2:12">
      <c r="B486" s="1" t="s">
        <v>2648</v>
      </c>
      <c r="C486" s="1" t="s">
        <v>771</v>
      </c>
      <c r="D486" s="1" t="s">
        <v>771</v>
      </c>
      <c r="E486" s="1" t="s">
        <v>771</v>
      </c>
      <c r="K486" s="1">
        <v>494329.072</v>
      </c>
      <c r="L486" s="1">
        <v>3356055.4599</v>
      </c>
    </row>
    <row r="487" spans="2:12">
      <c r="B487" s="1" t="s">
        <v>2648</v>
      </c>
      <c r="C487" s="1" t="s">
        <v>771</v>
      </c>
      <c r="D487" s="1" t="s">
        <v>771</v>
      </c>
      <c r="E487" s="1" t="s">
        <v>771</v>
      </c>
      <c r="K487" s="1">
        <v>494484.4948</v>
      </c>
      <c r="L487" s="1">
        <v>3355769.1619</v>
      </c>
    </row>
    <row r="488" spans="2:12">
      <c r="B488" s="1" t="s">
        <v>2648</v>
      </c>
      <c r="C488" s="1" t="s">
        <v>771</v>
      </c>
      <c r="D488" s="1" t="s">
        <v>771</v>
      </c>
      <c r="E488" s="1" t="s">
        <v>771</v>
      </c>
      <c r="K488" s="1">
        <v>494564.3455</v>
      </c>
      <c r="L488" s="1">
        <v>3355622.0722</v>
      </c>
    </row>
    <row r="489" spans="2:12">
      <c r="B489" s="1" t="s">
        <v>2648</v>
      </c>
      <c r="C489" s="1" t="s">
        <v>771</v>
      </c>
      <c r="D489" s="1" t="s">
        <v>771</v>
      </c>
      <c r="E489" s="1" t="s">
        <v>771</v>
      </c>
      <c r="K489" s="1">
        <v>494580.5212</v>
      </c>
      <c r="L489" s="1">
        <v>3355590.403</v>
      </c>
    </row>
    <row r="490" spans="2:12">
      <c r="B490" s="1" t="s">
        <v>2648</v>
      </c>
      <c r="C490" s="1" t="s">
        <v>771</v>
      </c>
      <c r="D490" s="1" t="s">
        <v>771</v>
      </c>
      <c r="E490" s="1" t="s">
        <v>771</v>
      </c>
      <c r="K490" s="1">
        <v>494631.7212</v>
      </c>
      <c r="L490" s="1">
        <v>3355490.1625</v>
      </c>
    </row>
    <row r="491" spans="2:12">
      <c r="B491" s="1" t="s">
        <v>2648</v>
      </c>
      <c r="C491" s="1" t="s">
        <v>771</v>
      </c>
      <c r="D491" s="1" t="s">
        <v>771</v>
      </c>
      <c r="E491" s="1" t="s">
        <v>771</v>
      </c>
      <c r="K491" s="1">
        <v>494649.1271</v>
      </c>
      <c r="L491" s="1">
        <v>3355456.085</v>
      </c>
    </row>
    <row r="492" spans="2:12">
      <c r="B492" s="1" t="s">
        <v>2648</v>
      </c>
      <c r="C492" s="1" t="s">
        <v>771</v>
      </c>
      <c r="D492" s="1" t="s">
        <v>771</v>
      </c>
      <c r="E492" s="1" t="s">
        <v>771</v>
      </c>
      <c r="K492" s="1">
        <v>494686.1859</v>
      </c>
      <c r="L492" s="1">
        <v>3355383.5304</v>
      </c>
    </row>
    <row r="493" spans="2:12">
      <c r="B493" s="1" t="s">
        <v>2648</v>
      </c>
      <c r="C493" s="1" t="s">
        <v>771</v>
      </c>
      <c r="D493" s="1" t="s">
        <v>771</v>
      </c>
      <c r="E493" s="1" t="s">
        <v>771</v>
      </c>
      <c r="K493" s="1">
        <v>494698.9884</v>
      </c>
      <c r="L493" s="1">
        <v>3355209.5718</v>
      </c>
    </row>
    <row r="494" spans="2:12">
      <c r="B494" s="1" t="s">
        <v>2648</v>
      </c>
      <c r="C494" s="1" t="s">
        <v>771</v>
      </c>
      <c r="D494" s="1" t="s">
        <v>771</v>
      </c>
      <c r="E494" s="1" t="s">
        <v>771</v>
      </c>
      <c r="K494" s="1">
        <v>494740.6174</v>
      </c>
      <c r="L494" s="1">
        <v>3355144.1052</v>
      </c>
    </row>
    <row r="495" spans="2:12">
      <c r="B495" s="1" t="s">
        <v>2648</v>
      </c>
      <c r="C495" s="1" t="s">
        <v>771</v>
      </c>
      <c r="D495" s="1" t="s">
        <v>771</v>
      </c>
      <c r="E495" s="1" t="s">
        <v>771</v>
      </c>
      <c r="K495" s="1">
        <v>494783.9463</v>
      </c>
      <c r="L495" s="1">
        <v>3355127.8774</v>
      </c>
    </row>
    <row r="496" spans="2:12">
      <c r="B496" s="1" t="s">
        <v>2648</v>
      </c>
      <c r="C496" s="1" t="s">
        <v>771</v>
      </c>
      <c r="D496" s="1" t="s">
        <v>771</v>
      </c>
      <c r="E496" s="1" t="s">
        <v>771</v>
      </c>
      <c r="K496" s="1">
        <v>494818.8687</v>
      </c>
      <c r="L496" s="1">
        <v>3355114.7981</v>
      </c>
    </row>
    <row r="497" spans="2:12">
      <c r="B497" s="1" t="s">
        <v>2648</v>
      </c>
      <c r="C497" s="1" t="s">
        <v>771</v>
      </c>
      <c r="D497" s="1" t="s">
        <v>771</v>
      </c>
      <c r="E497" s="1" t="s">
        <v>771</v>
      </c>
      <c r="K497" s="1">
        <v>494861.8464</v>
      </c>
      <c r="L497" s="1">
        <v>3355030.7897</v>
      </c>
    </row>
    <row r="498" spans="2:12">
      <c r="B498" s="1" t="s">
        <v>2648</v>
      </c>
      <c r="C498" s="1" t="s">
        <v>771</v>
      </c>
      <c r="D498" s="1" t="s">
        <v>771</v>
      </c>
      <c r="E498" s="1" t="s">
        <v>771</v>
      </c>
      <c r="K498" s="1">
        <v>494866.5405</v>
      </c>
      <c r="L498" s="1">
        <v>3355006.6229</v>
      </c>
    </row>
    <row r="499" spans="2:12">
      <c r="B499" s="1" t="s">
        <v>2648</v>
      </c>
      <c r="C499" s="1" t="s">
        <v>771</v>
      </c>
      <c r="D499" s="1" t="s">
        <v>771</v>
      </c>
      <c r="E499" s="1" t="s">
        <v>771</v>
      </c>
      <c r="K499" s="1">
        <v>494955.7773</v>
      </c>
      <c r="L499" s="1">
        <v>3354547.2093</v>
      </c>
    </row>
    <row r="500" spans="2:12">
      <c r="B500" s="1" t="s">
        <v>2648</v>
      </c>
      <c r="C500" s="1" t="s">
        <v>771</v>
      </c>
      <c r="D500" s="1" t="s">
        <v>771</v>
      </c>
      <c r="E500" s="1" t="s">
        <v>771</v>
      </c>
      <c r="K500" s="1">
        <v>494960.4596</v>
      </c>
      <c r="L500" s="1">
        <v>3354523.1037</v>
      </c>
    </row>
    <row r="501" spans="2:12">
      <c r="B501" s="1" t="s">
        <v>2648</v>
      </c>
      <c r="C501" s="1" t="s">
        <v>771</v>
      </c>
      <c r="D501" s="1" t="s">
        <v>771</v>
      </c>
      <c r="E501" s="1" t="s">
        <v>771</v>
      </c>
      <c r="K501" s="1">
        <v>495083.2084</v>
      </c>
      <c r="L501" s="1">
        <v>3354451.7867</v>
      </c>
    </row>
    <row r="502" spans="2:12">
      <c r="B502" s="1" t="s">
        <v>2648</v>
      </c>
      <c r="C502" s="1" t="s">
        <v>771</v>
      </c>
      <c r="D502" s="1" t="s">
        <v>771</v>
      </c>
      <c r="E502" s="1" t="s">
        <v>771</v>
      </c>
      <c r="K502" s="1">
        <v>495117.9434</v>
      </c>
      <c r="L502" s="1">
        <v>3354405.9553</v>
      </c>
    </row>
    <row r="503" spans="2:12">
      <c r="B503" s="1" t="s">
        <v>2648</v>
      </c>
      <c r="C503" s="1" t="s">
        <v>771</v>
      </c>
      <c r="D503" s="1" t="s">
        <v>771</v>
      </c>
      <c r="E503" s="1" t="s">
        <v>771</v>
      </c>
      <c r="K503" s="1">
        <v>495107.2317</v>
      </c>
      <c r="L503" s="1">
        <v>3354356.1268</v>
      </c>
    </row>
    <row r="504" spans="2:12">
      <c r="B504" s="1" t="s">
        <v>2648</v>
      </c>
      <c r="C504" s="1" t="s">
        <v>771</v>
      </c>
      <c r="D504" s="1" t="s">
        <v>771</v>
      </c>
      <c r="E504" s="1" t="s">
        <v>771</v>
      </c>
      <c r="K504" s="1">
        <v>495008.3014</v>
      </c>
      <c r="L504" s="1">
        <v>3354257.3882</v>
      </c>
    </row>
    <row r="505" spans="2:12">
      <c r="B505" s="1" t="s">
        <v>2648</v>
      </c>
      <c r="C505" s="1" t="s">
        <v>771</v>
      </c>
      <c r="D505" s="1" t="s">
        <v>771</v>
      </c>
      <c r="E505" s="1" t="s">
        <v>771</v>
      </c>
      <c r="K505" s="1">
        <v>494962.5959</v>
      </c>
      <c r="L505" s="1">
        <v>3354164.561</v>
      </c>
    </row>
    <row r="506" spans="2:12">
      <c r="B506" s="1" t="s">
        <v>2648</v>
      </c>
      <c r="C506" s="1" t="s">
        <v>771</v>
      </c>
      <c r="D506" s="1" t="s">
        <v>771</v>
      </c>
      <c r="E506" s="1" t="s">
        <v>771</v>
      </c>
      <c r="K506" s="1">
        <v>494949.5538</v>
      </c>
      <c r="L506" s="1">
        <v>3354039.6546</v>
      </c>
    </row>
    <row r="507" spans="2:12">
      <c r="B507" s="1" t="s">
        <v>2648</v>
      </c>
      <c r="C507" s="1" t="s">
        <v>771</v>
      </c>
      <c r="D507" s="1" t="s">
        <v>771</v>
      </c>
      <c r="E507" s="1" t="s">
        <v>771</v>
      </c>
      <c r="K507" s="1">
        <v>494866.6922</v>
      </c>
      <c r="L507" s="1">
        <v>3353957.1534</v>
      </c>
    </row>
    <row r="508" spans="2:12">
      <c r="B508" s="1" t="s">
        <v>2648</v>
      </c>
      <c r="C508" s="1" t="s">
        <v>771</v>
      </c>
      <c r="D508" s="1" t="s">
        <v>771</v>
      </c>
      <c r="E508" s="1" t="s">
        <v>771</v>
      </c>
      <c r="K508" s="1">
        <v>494843.4564</v>
      </c>
      <c r="L508" s="1">
        <v>3353866.4724</v>
      </c>
    </row>
    <row r="509" spans="2:12">
      <c r="B509" s="1" t="s">
        <v>2648</v>
      </c>
      <c r="C509" s="1" t="s">
        <v>771</v>
      </c>
      <c r="D509" s="1" t="s">
        <v>771</v>
      </c>
      <c r="E509" s="1" t="s">
        <v>771</v>
      </c>
      <c r="K509" s="1">
        <v>494750.2629</v>
      </c>
      <c r="L509" s="1">
        <v>3353796.45</v>
      </c>
    </row>
    <row r="510" spans="2:12">
      <c r="B510" s="1" t="s">
        <v>2648</v>
      </c>
      <c r="C510" s="1" t="s">
        <v>771</v>
      </c>
      <c r="D510" s="1" t="s">
        <v>771</v>
      </c>
      <c r="E510" s="1" t="s">
        <v>771</v>
      </c>
      <c r="K510" s="1">
        <v>494763.1427</v>
      </c>
      <c r="L510" s="1">
        <v>3353670.1782</v>
      </c>
    </row>
    <row r="511" spans="2:12">
      <c r="B511" s="1" t="s">
        <v>2648</v>
      </c>
      <c r="C511" s="1" t="s">
        <v>771</v>
      </c>
      <c r="D511" s="1" t="s">
        <v>771</v>
      </c>
      <c r="E511" s="1" t="s">
        <v>771</v>
      </c>
      <c r="K511" s="1">
        <v>494724.5715</v>
      </c>
      <c r="L511" s="1">
        <v>3353631.0611</v>
      </c>
    </row>
    <row r="512" spans="2:12">
      <c r="B512" s="1" t="s">
        <v>2648</v>
      </c>
      <c r="C512" s="1" t="s">
        <v>771</v>
      </c>
      <c r="D512" s="1" t="s">
        <v>771</v>
      </c>
      <c r="E512" s="1" t="s">
        <v>771</v>
      </c>
      <c r="K512" s="1">
        <v>494702.6509</v>
      </c>
      <c r="L512" s="1">
        <v>3353557.5079</v>
      </c>
    </row>
    <row r="513" spans="2:12">
      <c r="B513" s="1" t="s">
        <v>2648</v>
      </c>
      <c r="C513" s="1" t="s">
        <v>771</v>
      </c>
      <c r="D513" s="1" t="s">
        <v>771</v>
      </c>
      <c r="E513" s="1" t="s">
        <v>771</v>
      </c>
      <c r="K513" s="1">
        <v>494671.6602</v>
      </c>
      <c r="L513" s="1">
        <v>3353537.3457</v>
      </c>
    </row>
    <row r="514" spans="2:12">
      <c r="B514" s="1" t="s">
        <v>2648</v>
      </c>
      <c r="C514" s="1" t="s">
        <v>771</v>
      </c>
      <c r="D514" s="1" t="s">
        <v>771</v>
      </c>
      <c r="E514" s="1" t="s">
        <v>771</v>
      </c>
      <c r="K514" s="1">
        <v>494514.0753</v>
      </c>
      <c r="L514" s="1">
        <v>3353434.8225</v>
      </c>
    </row>
    <row r="515" spans="2:12">
      <c r="B515" s="1" t="s">
        <v>2648</v>
      </c>
      <c r="C515" s="1" t="s">
        <v>771</v>
      </c>
      <c r="D515" s="1" t="s">
        <v>771</v>
      </c>
      <c r="E515" s="1" t="s">
        <v>771</v>
      </c>
      <c r="K515" s="1">
        <v>494489.6742</v>
      </c>
      <c r="L515" s="1">
        <v>3353418.9474</v>
      </c>
    </row>
    <row r="516" spans="2:12">
      <c r="B516" s="1" t="s">
        <v>2648</v>
      </c>
      <c r="C516" s="1" t="s">
        <v>771</v>
      </c>
      <c r="D516" s="1" t="s">
        <v>771</v>
      </c>
      <c r="E516" s="1" t="s">
        <v>771</v>
      </c>
      <c r="K516" s="1">
        <v>494460.2561</v>
      </c>
      <c r="L516" s="1">
        <v>3353303.4039</v>
      </c>
    </row>
    <row r="517" spans="2:12">
      <c r="B517" s="1" t="s">
        <v>2648</v>
      </c>
      <c r="C517" s="1" t="s">
        <v>771</v>
      </c>
      <c r="D517" s="1" t="s">
        <v>771</v>
      </c>
      <c r="E517" s="1" t="s">
        <v>771</v>
      </c>
      <c r="K517" s="1">
        <v>494373.5678</v>
      </c>
      <c r="L517" s="1">
        <v>3353252.5808</v>
      </c>
    </row>
    <row r="518" spans="2:12">
      <c r="B518" s="1" t="s">
        <v>2648</v>
      </c>
      <c r="C518" s="1" t="s">
        <v>771</v>
      </c>
      <c r="D518" s="1" t="s">
        <v>771</v>
      </c>
      <c r="E518" s="1" t="s">
        <v>771</v>
      </c>
      <c r="K518" s="1">
        <v>494264.0084</v>
      </c>
      <c r="L518" s="1">
        <v>3353188.3489</v>
      </c>
    </row>
    <row r="519" spans="2:12">
      <c r="B519" s="1" t="s">
        <v>2648</v>
      </c>
      <c r="C519" s="1" t="s">
        <v>771</v>
      </c>
      <c r="D519" s="1" t="s">
        <v>771</v>
      </c>
      <c r="E519" s="1" t="s">
        <v>771</v>
      </c>
      <c r="K519" s="1">
        <v>494128.5688</v>
      </c>
      <c r="L519" s="1">
        <v>3353108.9441</v>
      </c>
    </row>
    <row r="520" spans="2:12">
      <c r="B520" s="1" t="s">
        <v>2648</v>
      </c>
      <c r="C520" s="1" t="s">
        <v>771</v>
      </c>
      <c r="D520" s="1" t="s">
        <v>771</v>
      </c>
      <c r="E520" s="1" t="s">
        <v>771</v>
      </c>
      <c r="K520" s="1">
        <v>494037.9881</v>
      </c>
      <c r="L520" s="1">
        <v>3353055.839</v>
      </c>
    </row>
    <row r="521" spans="2:12">
      <c r="B521" s="1" t="s">
        <v>2648</v>
      </c>
      <c r="C521" s="1" t="s">
        <v>771</v>
      </c>
      <c r="D521" s="1" t="s">
        <v>771</v>
      </c>
      <c r="E521" s="1" t="s">
        <v>771</v>
      </c>
      <c r="K521" s="1">
        <v>494017.7123</v>
      </c>
      <c r="L521" s="1">
        <v>3353043.9518</v>
      </c>
    </row>
    <row r="522" spans="2:12">
      <c r="B522" s="1" t="s">
        <v>2648</v>
      </c>
      <c r="C522" s="1" t="s">
        <v>771</v>
      </c>
      <c r="D522" s="1" t="s">
        <v>771</v>
      </c>
      <c r="E522" s="1" t="s">
        <v>771</v>
      </c>
      <c r="K522" s="1">
        <v>493981.7461</v>
      </c>
      <c r="L522" s="1">
        <v>3353012.8836</v>
      </c>
    </row>
    <row r="523" spans="2:12">
      <c r="B523" s="1" t="s">
        <v>2648</v>
      </c>
      <c r="C523" s="1" t="s">
        <v>771</v>
      </c>
      <c r="D523" s="1" t="s">
        <v>771</v>
      </c>
      <c r="E523" s="1" t="s">
        <v>771</v>
      </c>
      <c r="K523" s="1">
        <v>493889.4219</v>
      </c>
      <c r="L523" s="1">
        <v>3352933.1325</v>
      </c>
    </row>
    <row r="524" spans="2:12">
      <c r="B524" s="1" t="s">
        <v>2648</v>
      </c>
      <c r="C524" s="1" t="s">
        <v>771</v>
      </c>
      <c r="D524" s="1" t="s">
        <v>771</v>
      </c>
      <c r="E524" s="1" t="s">
        <v>771</v>
      </c>
      <c r="K524" s="1">
        <v>493848.0147</v>
      </c>
      <c r="L524" s="1">
        <v>3352897.3643</v>
      </c>
    </row>
    <row r="525" spans="2:12">
      <c r="B525" s="1" t="s">
        <v>2648</v>
      </c>
      <c r="C525" s="1" t="s">
        <v>771</v>
      </c>
      <c r="D525" s="1" t="s">
        <v>771</v>
      </c>
      <c r="E525" s="1" t="s">
        <v>771</v>
      </c>
      <c r="K525" s="1">
        <v>493813.6936</v>
      </c>
      <c r="L525" s="1">
        <v>3352779.8953</v>
      </c>
    </row>
    <row r="526" spans="2:12">
      <c r="B526" s="1" t="s">
        <v>2648</v>
      </c>
      <c r="C526" s="1" t="s">
        <v>771</v>
      </c>
      <c r="D526" s="1" t="s">
        <v>771</v>
      </c>
      <c r="E526" s="1" t="s">
        <v>771</v>
      </c>
      <c r="K526" s="1">
        <v>493770.5302</v>
      </c>
      <c r="L526" s="1">
        <v>3352720.2249</v>
      </c>
    </row>
    <row r="527" spans="2:12">
      <c r="B527" s="1" t="s">
        <v>2648</v>
      </c>
      <c r="C527" s="1" t="s">
        <v>771</v>
      </c>
      <c r="D527" s="1" t="s">
        <v>771</v>
      </c>
      <c r="E527" s="1" t="s">
        <v>771</v>
      </c>
      <c r="K527" s="1">
        <v>493783.8943</v>
      </c>
      <c r="L527" s="1">
        <v>3352657.7629</v>
      </c>
    </row>
    <row r="528" spans="2:12">
      <c r="B528" s="1" t="s">
        <v>2648</v>
      </c>
      <c r="C528" s="1" t="s">
        <v>771</v>
      </c>
      <c r="D528" s="1" t="s">
        <v>771</v>
      </c>
      <c r="E528" s="1" t="s">
        <v>771</v>
      </c>
      <c r="K528" s="1">
        <v>493786.0197</v>
      </c>
      <c r="L528" s="1">
        <v>3352640.1714</v>
      </c>
    </row>
    <row r="529" spans="2:12">
      <c r="B529" s="1" t="s">
        <v>2648</v>
      </c>
      <c r="C529" s="1" t="s">
        <v>771</v>
      </c>
      <c r="D529" s="1" t="s">
        <v>771</v>
      </c>
      <c r="E529" s="1" t="s">
        <v>771</v>
      </c>
      <c r="K529" s="1">
        <v>493800.0785</v>
      </c>
      <c r="L529" s="1">
        <v>3352523.8124</v>
      </c>
    </row>
    <row r="530" spans="2:12">
      <c r="B530" s="1" t="s">
        <v>2648</v>
      </c>
      <c r="C530" s="1" t="s">
        <v>771</v>
      </c>
      <c r="D530" s="1" t="s">
        <v>771</v>
      </c>
      <c r="E530" s="1" t="s">
        <v>771</v>
      </c>
      <c r="K530" s="1">
        <v>493824.9893</v>
      </c>
      <c r="L530" s="1">
        <v>3352467.2463</v>
      </c>
    </row>
    <row r="531" spans="2:12">
      <c r="B531" s="1" t="s">
        <v>2648</v>
      </c>
      <c r="C531" s="1" t="s">
        <v>771</v>
      </c>
      <c r="D531" s="1" t="s">
        <v>771</v>
      </c>
      <c r="E531" s="1" t="s">
        <v>771</v>
      </c>
      <c r="K531" s="1">
        <v>493907.1967</v>
      </c>
      <c r="L531" s="1">
        <v>3352411.1839</v>
      </c>
    </row>
    <row r="532" spans="2:12">
      <c r="B532" s="1" t="s">
        <v>2648</v>
      </c>
      <c r="C532" s="1" t="s">
        <v>771</v>
      </c>
      <c r="D532" s="1" t="s">
        <v>771</v>
      </c>
      <c r="E532" s="1" t="s">
        <v>771</v>
      </c>
      <c r="K532" s="1">
        <v>493936.831</v>
      </c>
      <c r="L532" s="1">
        <v>3352337.8366</v>
      </c>
    </row>
    <row r="533" spans="2:12">
      <c r="B533" s="1" t="s">
        <v>2648</v>
      </c>
      <c r="C533" s="1" t="s">
        <v>771</v>
      </c>
      <c r="D533" s="1" t="s">
        <v>771</v>
      </c>
      <c r="E533" s="1" t="s">
        <v>771</v>
      </c>
      <c r="K533" s="1">
        <v>493937.7017</v>
      </c>
      <c r="L533" s="1">
        <v>3352290.1637</v>
      </c>
    </row>
    <row r="534" spans="2:12">
      <c r="B534" s="1" t="s">
        <v>2648</v>
      </c>
      <c r="C534" s="1" t="s">
        <v>771</v>
      </c>
      <c r="D534" s="1" t="s">
        <v>771</v>
      </c>
      <c r="E534" s="1" t="s">
        <v>771</v>
      </c>
      <c r="K534" s="1">
        <v>493899.2259</v>
      </c>
      <c r="L534" s="1">
        <v>3352242.9186</v>
      </c>
    </row>
    <row r="535" spans="2:12">
      <c r="B535" s="1" t="s">
        <v>2648</v>
      </c>
      <c r="C535" s="1" t="s">
        <v>771</v>
      </c>
      <c r="D535" s="1" t="s">
        <v>771</v>
      </c>
      <c r="E535" s="1" t="s">
        <v>771</v>
      </c>
      <c r="K535" s="1">
        <v>493903.7038</v>
      </c>
      <c r="L535" s="1">
        <v>3352205.1583</v>
      </c>
    </row>
    <row r="536" spans="2:12">
      <c r="B536" s="1" t="s">
        <v>2648</v>
      </c>
      <c r="C536" s="1" t="s">
        <v>771</v>
      </c>
      <c r="D536" s="1" t="s">
        <v>771</v>
      </c>
      <c r="E536" s="1" t="s">
        <v>771</v>
      </c>
      <c r="K536" s="1">
        <v>493809.9648</v>
      </c>
      <c r="L536" s="1">
        <v>3352074.7104</v>
      </c>
    </row>
    <row r="537" spans="2:12">
      <c r="B537" s="1" t="s">
        <v>2648</v>
      </c>
      <c r="C537" s="1" t="s">
        <v>771</v>
      </c>
      <c r="D537" s="1" t="s">
        <v>771</v>
      </c>
      <c r="E537" s="1" t="s">
        <v>771</v>
      </c>
      <c r="K537" s="1">
        <v>493791.2307</v>
      </c>
      <c r="L537" s="1">
        <v>3351981.4468</v>
      </c>
    </row>
    <row r="538" spans="2:12">
      <c r="B538" s="1" t="s">
        <v>2648</v>
      </c>
      <c r="C538" s="1" t="s">
        <v>771</v>
      </c>
      <c r="D538" s="1" t="s">
        <v>771</v>
      </c>
      <c r="E538" s="1" t="s">
        <v>771</v>
      </c>
      <c r="K538" s="1">
        <v>493865.0591</v>
      </c>
      <c r="L538" s="1">
        <v>3351760.4947</v>
      </c>
    </row>
    <row r="539" spans="2:12">
      <c r="B539" s="1" t="s">
        <v>2648</v>
      </c>
      <c r="C539" s="1" t="s">
        <v>771</v>
      </c>
      <c r="D539" s="1" t="s">
        <v>771</v>
      </c>
      <c r="E539" s="1" t="s">
        <v>771</v>
      </c>
      <c r="K539" s="1">
        <v>493869.7756</v>
      </c>
      <c r="L539" s="1">
        <v>3351746.3793</v>
      </c>
    </row>
    <row r="540" spans="2:12">
      <c r="B540" s="1" t="s">
        <v>2648</v>
      </c>
      <c r="C540" s="1" t="s">
        <v>771</v>
      </c>
      <c r="D540" s="1" t="s">
        <v>771</v>
      </c>
      <c r="E540" s="1" t="s">
        <v>771</v>
      </c>
      <c r="K540" s="1">
        <v>493875.9129</v>
      </c>
      <c r="L540" s="1">
        <v>3351731.4743</v>
      </c>
    </row>
    <row r="541" spans="2:12">
      <c r="B541" s="1" t="s">
        <v>2648</v>
      </c>
      <c r="C541" s="1" t="s">
        <v>771</v>
      </c>
      <c r="D541" s="1" t="s">
        <v>771</v>
      </c>
      <c r="E541" s="1" t="s">
        <v>771</v>
      </c>
      <c r="K541" s="1">
        <v>494021.9374</v>
      </c>
      <c r="L541" s="1">
        <v>3351376.839</v>
      </c>
    </row>
    <row r="542" spans="2:12">
      <c r="B542" s="1" t="s">
        <v>2648</v>
      </c>
      <c r="C542" s="1" t="s">
        <v>771</v>
      </c>
      <c r="D542" s="1" t="s">
        <v>771</v>
      </c>
      <c r="E542" s="1" t="s">
        <v>771</v>
      </c>
      <c r="K542" s="1">
        <v>494109.1537</v>
      </c>
      <c r="L542" s="1">
        <v>3351288.6749</v>
      </c>
    </row>
    <row r="543" spans="2:12">
      <c r="B543" s="1" t="s">
        <v>2648</v>
      </c>
      <c r="C543" s="1" t="s">
        <v>771</v>
      </c>
      <c r="D543" s="1" t="s">
        <v>771</v>
      </c>
      <c r="E543" s="1" t="s">
        <v>771</v>
      </c>
      <c r="K543" s="1">
        <v>494168.7254</v>
      </c>
      <c r="L543" s="1">
        <v>3351173.8298</v>
      </c>
    </row>
    <row r="544" spans="2:12">
      <c r="B544" s="1" t="s">
        <v>2648</v>
      </c>
      <c r="C544" s="1" t="s">
        <v>771</v>
      </c>
      <c r="D544" s="1" t="s">
        <v>771</v>
      </c>
      <c r="E544" s="1" t="s">
        <v>771</v>
      </c>
      <c r="K544" s="1">
        <v>494471.1752</v>
      </c>
      <c r="L544" s="1">
        <v>3350891.5293</v>
      </c>
    </row>
    <row r="545" spans="2:12">
      <c r="B545" s="1" t="s">
        <v>2648</v>
      </c>
      <c r="C545" s="1" t="s">
        <v>771</v>
      </c>
      <c r="D545" s="1" t="s">
        <v>771</v>
      </c>
      <c r="E545" s="1" t="s">
        <v>771</v>
      </c>
      <c r="K545" s="1">
        <v>494538.5896</v>
      </c>
      <c r="L545" s="1">
        <v>3350828.6062</v>
      </c>
    </row>
    <row r="546" spans="2:12">
      <c r="B546" s="1" t="s">
        <v>2648</v>
      </c>
      <c r="C546" s="1" t="s">
        <v>771</v>
      </c>
      <c r="D546" s="1" t="s">
        <v>771</v>
      </c>
      <c r="E546" s="1" t="s">
        <v>771</v>
      </c>
      <c r="K546" s="1">
        <v>494610.7844</v>
      </c>
      <c r="L546" s="1">
        <v>3350741.9742</v>
      </c>
    </row>
    <row r="547" spans="2:12">
      <c r="B547" s="1" t="s">
        <v>2648</v>
      </c>
      <c r="C547" s="1" t="s">
        <v>771</v>
      </c>
      <c r="D547" s="1" t="s">
        <v>771</v>
      </c>
      <c r="E547" s="1" t="s">
        <v>771</v>
      </c>
      <c r="K547" s="1">
        <v>494773.3823</v>
      </c>
      <c r="L547" s="1">
        <v>3350715.5281</v>
      </c>
    </row>
    <row r="548" spans="2:12">
      <c r="B548" s="1" t="s">
        <v>2648</v>
      </c>
      <c r="C548" s="1" t="s">
        <v>771</v>
      </c>
      <c r="D548" s="1" t="s">
        <v>771</v>
      </c>
      <c r="E548" s="1" t="s">
        <v>771</v>
      </c>
      <c r="K548" s="1">
        <v>494808.3765</v>
      </c>
      <c r="L548" s="1">
        <v>3350689.2009</v>
      </c>
    </row>
    <row r="549" spans="2:12">
      <c r="B549" s="1" t="s">
        <v>2648</v>
      </c>
      <c r="C549" s="1" t="s">
        <v>771</v>
      </c>
      <c r="D549" s="1" t="s">
        <v>771</v>
      </c>
      <c r="E549" s="1" t="s">
        <v>771</v>
      </c>
      <c r="K549" s="1">
        <v>495016.943</v>
      </c>
      <c r="L549" s="1">
        <v>3350532.2901</v>
      </c>
    </row>
    <row r="550" spans="2:12">
      <c r="B550" s="1" t="s">
        <v>2648</v>
      </c>
      <c r="C550" s="1" t="s">
        <v>771</v>
      </c>
      <c r="D550" s="1" t="s">
        <v>771</v>
      </c>
      <c r="E550" s="1" t="s">
        <v>771</v>
      </c>
      <c r="K550" s="1">
        <v>495048.9072</v>
      </c>
      <c r="L550" s="1">
        <v>3350508.2424</v>
      </c>
    </row>
    <row r="551" spans="2:12">
      <c r="B551" s="1" t="s">
        <v>2648</v>
      </c>
      <c r="C551" s="1" t="s">
        <v>771</v>
      </c>
      <c r="D551" s="1" t="s">
        <v>771</v>
      </c>
      <c r="E551" s="1" t="s">
        <v>771</v>
      </c>
      <c r="K551" s="1">
        <v>495206.331</v>
      </c>
      <c r="L551" s="1">
        <v>3350389.8078</v>
      </c>
    </row>
    <row r="552" spans="2:12">
      <c r="B552" s="1" t="s">
        <v>2648</v>
      </c>
      <c r="C552" s="1" t="s">
        <v>771</v>
      </c>
      <c r="D552" s="1" t="s">
        <v>771</v>
      </c>
      <c r="E552" s="1" t="s">
        <v>771</v>
      </c>
      <c r="K552" s="1">
        <v>495227.2678</v>
      </c>
      <c r="L552" s="1">
        <v>3350374.0564</v>
      </c>
    </row>
    <row r="553" spans="2:12">
      <c r="B553" s="1" t="s">
        <v>2648</v>
      </c>
      <c r="C553" s="1" t="s">
        <v>771</v>
      </c>
      <c r="D553" s="1" t="s">
        <v>771</v>
      </c>
      <c r="E553" s="1" t="s">
        <v>771</v>
      </c>
      <c r="K553" s="1">
        <v>495312.3604</v>
      </c>
      <c r="L553" s="1">
        <v>3350323.4143</v>
      </c>
    </row>
    <row r="554" spans="2:12">
      <c r="B554" s="1" t="s">
        <v>2648</v>
      </c>
      <c r="C554" s="1" t="s">
        <v>771</v>
      </c>
      <c r="D554" s="1" t="s">
        <v>771</v>
      </c>
      <c r="E554" s="1" t="s">
        <v>771</v>
      </c>
      <c r="K554" s="1">
        <v>495330.8146</v>
      </c>
      <c r="L554" s="1">
        <v>3350149.7439</v>
      </c>
    </row>
    <row r="555" spans="2:12">
      <c r="B555" s="1" t="s">
        <v>2648</v>
      </c>
      <c r="C555" s="1" t="s">
        <v>771</v>
      </c>
      <c r="D555" s="1" t="s">
        <v>771</v>
      </c>
      <c r="E555" s="1" t="s">
        <v>771</v>
      </c>
      <c r="K555" s="1">
        <v>495387.5813</v>
      </c>
      <c r="L555" s="1">
        <v>3350038.3305</v>
      </c>
    </row>
    <row r="556" spans="2:12">
      <c r="B556" s="1" t="s">
        <v>2648</v>
      </c>
      <c r="C556" s="1" t="s">
        <v>771</v>
      </c>
      <c r="D556" s="1" t="s">
        <v>771</v>
      </c>
      <c r="E556" s="1" t="s">
        <v>771</v>
      </c>
      <c r="K556" s="1">
        <v>495418.7683</v>
      </c>
      <c r="L556" s="1">
        <v>3350016.3203</v>
      </c>
    </row>
    <row r="557" spans="2:12">
      <c r="B557" s="1" t="s">
        <v>2648</v>
      </c>
      <c r="C557" s="1" t="s">
        <v>771</v>
      </c>
      <c r="D557" s="1" t="s">
        <v>771</v>
      </c>
      <c r="E557" s="1" t="s">
        <v>771</v>
      </c>
      <c r="K557" s="1">
        <v>495701.1862</v>
      </c>
      <c r="L557" s="1">
        <v>3349817.0043</v>
      </c>
    </row>
    <row r="558" spans="2:12">
      <c r="B558" s="1" t="s">
        <v>2648</v>
      </c>
      <c r="C558" s="1" t="s">
        <v>771</v>
      </c>
      <c r="D558" s="1" t="s">
        <v>771</v>
      </c>
      <c r="E558" s="1" t="s">
        <v>771</v>
      </c>
      <c r="K558" s="1">
        <v>495836.7436</v>
      </c>
      <c r="L558" s="1">
        <v>3349682.1935</v>
      </c>
    </row>
    <row r="559" spans="2:12">
      <c r="B559" s="1" t="s">
        <v>2648</v>
      </c>
      <c r="C559" s="1" t="s">
        <v>771</v>
      </c>
      <c r="D559" s="1" t="s">
        <v>771</v>
      </c>
      <c r="E559" s="1" t="s">
        <v>771</v>
      </c>
      <c r="K559" s="1">
        <v>496109.1362</v>
      </c>
      <c r="L559" s="1">
        <v>3349596.3867</v>
      </c>
    </row>
    <row r="560" spans="2:12">
      <c r="B560" s="1" t="s">
        <v>2648</v>
      </c>
      <c r="C560" s="1" t="s">
        <v>771</v>
      </c>
      <c r="D560" s="1" t="s">
        <v>771</v>
      </c>
      <c r="E560" s="1" t="s">
        <v>771</v>
      </c>
      <c r="K560" s="1">
        <v>496306.2216</v>
      </c>
      <c r="L560" s="1">
        <v>3349639.3438</v>
      </c>
    </row>
    <row r="561" spans="2:12">
      <c r="B561" s="1" t="s">
        <v>2648</v>
      </c>
      <c r="C561" s="1" t="s">
        <v>771</v>
      </c>
      <c r="D561" s="1" t="s">
        <v>771</v>
      </c>
      <c r="E561" s="1" t="s">
        <v>771</v>
      </c>
      <c r="K561" s="1">
        <v>496628.4202</v>
      </c>
      <c r="L561" s="1">
        <v>3349561.329</v>
      </c>
    </row>
    <row r="562" spans="2:12">
      <c r="B562" s="1" t="s">
        <v>2648</v>
      </c>
      <c r="C562" s="1" t="s">
        <v>771</v>
      </c>
      <c r="D562" s="1" t="s">
        <v>771</v>
      </c>
      <c r="E562" s="1" t="s">
        <v>771</v>
      </c>
      <c r="K562" s="1">
        <v>496780.894</v>
      </c>
      <c r="L562" s="1">
        <v>3349442.1754</v>
      </c>
    </row>
    <row r="563" spans="2:12">
      <c r="B563" s="1" t="s">
        <v>2648</v>
      </c>
      <c r="C563" s="1" t="s">
        <v>771</v>
      </c>
      <c r="D563" s="1" t="s">
        <v>771</v>
      </c>
      <c r="E563" s="1" t="s">
        <v>771</v>
      </c>
      <c r="K563" s="1">
        <v>496824.4977</v>
      </c>
      <c r="L563" s="1">
        <v>3349408.1004</v>
      </c>
    </row>
    <row r="564" spans="2:12">
      <c r="B564" s="1" t="s">
        <v>2648</v>
      </c>
      <c r="C564" s="1" t="s">
        <v>771</v>
      </c>
      <c r="D564" s="1" t="s">
        <v>771</v>
      </c>
      <c r="E564" s="1" t="s">
        <v>771</v>
      </c>
      <c r="K564" s="1">
        <v>496853.1542</v>
      </c>
      <c r="L564" s="1">
        <v>3349328.747</v>
      </c>
    </row>
    <row r="565" spans="2:12">
      <c r="B565" s="1" t="s">
        <v>2648</v>
      </c>
      <c r="C565" s="1" t="s">
        <v>771</v>
      </c>
      <c r="D565" s="1" t="s">
        <v>771</v>
      </c>
      <c r="E565" s="1" t="s">
        <v>771</v>
      </c>
      <c r="K565" s="1">
        <v>496905.511</v>
      </c>
      <c r="L565" s="1">
        <v>3349299.2447</v>
      </c>
    </row>
    <row r="566" spans="2:12">
      <c r="B566" s="1" t="s">
        <v>2648</v>
      </c>
      <c r="C566" s="1" t="s">
        <v>771</v>
      </c>
      <c r="D566" s="1" t="s">
        <v>771</v>
      </c>
      <c r="E566" s="1" t="s">
        <v>771</v>
      </c>
      <c r="K566" s="1">
        <v>497162.8146</v>
      </c>
      <c r="L566" s="1">
        <v>3349154.2579</v>
      </c>
    </row>
    <row r="567" spans="2:12">
      <c r="B567" s="1" t="s">
        <v>2648</v>
      </c>
      <c r="C567" s="1" t="s">
        <v>771</v>
      </c>
      <c r="D567" s="1" t="s">
        <v>771</v>
      </c>
      <c r="E567" s="1" t="s">
        <v>771</v>
      </c>
      <c r="K567" s="1">
        <v>497442.4858</v>
      </c>
      <c r="L567" s="1">
        <v>3348865.4192</v>
      </c>
    </row>
    <row r="568" spans="2:12">
      <c r="B568" s="1" t="s">
        <v>2648</v>
      </c>
      <c r="C568" s="1" t="s">
        <v>771</v>
      </c>
      <c r="D568" s="1" t="s">
        <v>771</v>
      </c>
      <c r="E568" s="1" t="s">
        <v>771</v>
      </c>
      <c r="K568" s="1">
        <v>497826.1005</v>
      </c>
      <c r="L568" s="1">
        <v>3348680.6792</v>
      </c>
    </row>
    <row r="569" spans="2:12">
      <c r="B569" s="1" t="s">
        <v>2648</v>
      </c>
      <c r="C569" s="1" t="s">
        <v>771</v>
      </c>
      <c r="D569" s="1" t="s">
        <v>771</v>
      </c>
      <c r="E569" s="1" t="s">
        <v>771</v>
      </c>
      <c r="K569" s="1">
        <v>498380.2322</v>
      </c>
      <c r="L569" s="1">
        <v>3348655.4974</v>
      </c>
    </row>
    <row r="570" spans="2:12">
      <c r="B570" s="1" t="s">
        <v>2648</v>
      </c>
      <c r="C570" s="1" t="s">
        <v>771</v>
      </c>
      <c r="D570" s="1" t="s">
        <v>771</v>
      </c>
      <c r="E570" s="1" t="s">
        <v>771</v>
      </c>
      <c r="K570" s="1">
        <v>498713.1832</v>
      </c>
      <c r="L570" s="1">
        <v>3348435.2175</v>
      </c>
    </row>
    <row r="571" spans="2:12">
      <c r="B571" s="1" t="s">
        <v>2648</v>
      </c>
      <c r="C571" s="1" t="s">
        <v>771</v>
      </c>
      <c r="D571" s="1" t="s">
        <v>771</v>
      </c>
      <c r="E571" s="1" t="s">
        <v>771</v>
      </c>
      <c r="K571" s="1">
        <v>498795.7727</v>
      </c>
      <c r="L571" s="1">
        <v>3348407.4765</v>
      </c>
    </row>
    <row r="572" spans="2:12">
      <c r="B572" s="1" t="s">
        <v>2648</v>
      </c>
      <c r="C572" s="1" t="s">
        <v>771</v>
      </c>
      <c r="D572" s="1" t="s">
        <v>771</v>
      </c>
      <c r="E572" s="1" t="s">
        <v>771</v>
      </c>
      <c r="K572" s="1">
        <v>498851.3025</v>
      </c>
      <c r="L572" s="1">
        <v>3348388.8246</v>
      </c>
    </row>
    <row r="573" spans="2:12">
      <c r="B573" s="1" t="s">
        <v>2648</v>
      </c>
      <c r="C573" s="1" t="s">
        <v>771</v>
      </c>
      <c r="D573" s="1" t="s">
        <v>771</v>
      </c>
      <c r="E573" s="1" t="s">
        <v>771</v>
      </c>
      <c r="K573" s="1">
        <v>498916.6532</v>
      </c>
      <c r="L573" s="1">
        <v>3348327.7482</v>
      </c>
    </row>
    <row r="574" spans="2:12">
      <c r="B574" s="1" t="s">
        <v>2648</v>
      </c>
      <c r="C574" s="1" t="s">
        <v>771</v>
      </c>
      <c r="D574" s="1" t="s">
        <v>771</v>
      </c>
      <c r="E574" s="1" t="s">
        <v>771</v>
      </c>
      <c r="K574" s="1">
        <v>498933.0498</v>
      </c>
      <c r="L574" s="1">
        <v>3348304.543</v>
      </c>
    </row>
    <row r="575" spans="2:12">
      <c r="B575" s="1" t="s">
        <v>2648</v>
      </c>
      <c r="C575" s="1" t="s">
        <v>771</v>
      </c>
      <c r="D575" s="1" t="s">
        <v>771</v>
      </c>
      <c r="E575" s="1" t="s">
        <v>771</v>
      </c>
      <c r="K575" s="1">
        <v>499075.0091</v>
      </c>
      <c r="L575" s="1">
        <v>3348103.6361</v>
      </c>
    </row>
    <row r="576" spans="2:12">
      <c r="B576" s="1" t="s">
        <v>2648</v>
      </c>
      <c r="C576" s="1" t="s">
        <v>771</v>
      </c>
      <c r="D576" s="1" t="s">
        <v>771</v>
      </c>
      <c r="E576" s="1" t="s">
        <v>771</v>
      </c>
      <c r="K576" s="1">
        <v>499097.1372</v>
      </c>
      <c r="L576" s="1">
        <v>3348072.3194</v>
      </c>
    </row>
    <row r="577" spans="2:12">
      <c r="B577" s="1" t="s">
        <v>2648</v>
      </c>
      <c r="C577" s="1" t="s">
        <v>771</v>
      </c>
      <c r="D577" s="1" t="s">
        <v>771</v>
      </c>
      <c r="E577" s="1" t="s">
        <v>771</v>
      </c>
      <c r="K577" s="1">
        <v>499202.6745</v>
      </c>
      <c r="L577" s="1">
        <v>3347975.2018</v>
      </c>
    </row>
    <row r="578" spans="2:12">
      <c r="B578" s="1" t="s">
        <v>2648</v>
      </c>
      <c r="C578" s="1" t="s">
        <v>771</v>
      </c>
      <c r="D578" s="1" t="s">
        <v>771</v>
      </c>
      <c r="E578" s="1" t="s">
        <v>771</v>
      </c>
      <c r="K578" s="1">
        <v>499218.302</v>
      </c>
      <c r="L578" s="1">
        <v>3347876.5797</v>
      </c>
    </row>
    <row r="579" spans="2:12">
      <c r="B579" s="1" t="s">
        <v>2648</v>
      </c>
      <c r="C579" s="1" t="s">
        <v>771</v>
      </c>
      <c r="D579" s="1" t="s">
        <v>771</v>
      </c>
      <c r="E579" s="1" t="s">
        <v>771</v>
      </c>
      <c r="K579" s="1">
        <v>499240.0387</v>
      </c>
      <c r="L579" s="1">
        <v>3347739.4033</v>
      </c>
    </row>
    <row r="580" spans="2:12">
      <c r="B580" s="1" t="s">
        <v>2648</v>
      </c>
      <c r="C580" s="1" t="s">
        <v>771</v>
      </c>
      <c r="D580" s="1" t="s">
        <v>771</v>
      </c>
      <c r="E580" s="1" t="s">
        <v>771</v>
      </c>
      <c r="K580" s="1">
        <v>499280.6486</v>
      </c>
      <c r="L580" s="1">
        <v>3347658.5865</v>
      </c>
    </row>
    <row r="581" spans="2:12">
      <c r="B581" s="1" t="s">
        <v>2648</v>
      </c>
      <c r="C581" s="1" t="s">
        <v>771</v>
      </c>
      <c r="D581" s="1" t="s">
        <v>771</v>
      </c>
      <c r="E581" s="1" t="s">
        <v>771</v>
      </c>
      <c r="K581" s="1">
        <v>499292.5037</v>
      </c>
      <c r="L581" s="1">
        <v>3347498.9774</v>
      </c>
    </row>
    <row r="582" spans="2:12">
      <c r="B582" s="1" t="s">
        <v>2648</v>
      </c>
      <c r="C582" s="1" t="s">
        <v>771</v>
      </c>
      <c r="D582" s="1" t="s">
        <v>771</v>
      </c>
      <c r="E582" s="1" t="s">
        <v>771</v>
      </c>
      <c r="K582" s="1">
        <v>499314.8579</v>
      </c>
      <c r="L582" s="1">
        <v>3347454.5535</v>
      </c>
    </row>
    <row r="583" spans="2:12">
      <c r="B583" s="1" t="s">
        <v>2648</v>
      </c>
      <c r="C583" s="1" t="s">
        <v>771</v>
      </c>
      <c r="D583" s="1" t="s">
        <v>771</v>
      </c>
      <c r="E583" s="1" t="s">
        <v>771</v>
      </c>
      <c r="K583" s="1">
        <v>499374.9416</v>
      </c>
      <c r="L583" s="1">
        <v>3347415.9323</v>
      </c>
    </row>
    <row r="584" spans="2:12">
      <c r="B584" s="1" t="s">
        <v>2648</v>
      </c>
      <c r="C584" s="1" t="s">
        <v>771</v>
      </c>
      <c r="D584" s="1" t="s">
        <v>771</v>
      </c>
      <c r="E584" s="1" t="s">
        <v>771</v>
      </c>
      <c r="K584" s="1">
        <v>499455.2415</v>
      </c>
      <c r="L584" s="1">
        <v>3347364.3164</v>
      </c>
    </row>
    <row r="585" spans="2:12">
      <c r="B585" s="1" t="s">
        <v>2648</v>
      </c>
      <c r="C585" s="1" t="s">
        <v>771</v>
      </c>
      <c r="D585" s="1" t="s">
        <v>771</v>
      </c>
      <c r="E585" s="1" t="s">
        <v>771</v>
      </c>
      <c r="K585" s="1">
        <v>499574.7878</v>
      </c>
      <c r="L585" s="1">
        <v>3347365.344</v>
      </c>
    </row>
    <row r="586" spans="2:12">
      <c r="B586" s="1" t="s">
        <v>2648</v>
      </c>
      <c r="C586" s="1" t="s">
        <v>771</v>
      </c>
      <c r="D586" s="1" t="s">
        <v>771</v>
      </c>
      <c r="E586" s="1" t="s">
        <v>771</v>
      </c>
      <c r="K586" s="1">
        <v>499615.4291</v>
      </c>
      <c r="L586" s="1">
        <v>3347365.6934</v>
      </c>
    </row>
    <row r="587" spans="2:12">
      <c r="B587" s="1" t="s">
        <v>2648</v>
      </c>
      <c r="C587" s="1" t="s">
        <v>771</v>
      </c>
      <c r="D587" s="1" t="s">
        <v>771</v>
      </c>
      <c r="E587" s="1" t="s">
        <v>771</v>
      </c>
      <c r="K587" s="1">
        <v>499631.2104</v>
      </c>
      <c r="L587" s="1">
        <v>3347360.7811</v>
      </c>
    </row>
    <row r="588" spans="2:12">
      <c r="B588" s="1" t="s">
        <v>2648</v>
      </c>
      <c r="C588" s="1" t="s">
        <v>771</v>
      </c>
      <c r="D588" s="1" t="s">
        <v>771</v>
      </c>
      <c r="E588" s="1" t="s">
        <v>771</v>
      </c>
      <c r="K588" s="1">
        <v>499640.7394</v>
      </c>
      <c r="L588" s="1">
        <v>3347357.8149</v>
      </c>
    </row>
    <row r="589" spans="2:12">
      <c r="B589" s="1" t="s">
        <v>2648</v>
      </c>
      <c r="C589" s="1" t="s">
        <v>771</v>
      </c>
      <c r="D589" s="1" t="s">
        <v>771</v>
      </c>
      <c r="E589" s="1" t="s">
        <v>771</v>
      </c>
      <c r="K589" s="1">
        <v>499842.1453</v>
      </c>
      <c r="L589" s="1">
        <v>3347295.1217</v>
      </c>
    </row>
    <row r="590" spans="2:12">
      <c r="B590" s="1" t="s">
        <v>2648</v>
      </c>
      <c r="C590" s="1" t="s">
        <v>771</v>
      </c>
      <c r="D590" s="1" t="s">
        <v>771</v>
      </c>
      <c r="E590" s="1" t="s">
        <v>771</v>
      </c>
      <c r="K590" s="1">
        <v>500002.0895</v>
      </c>
      <c r="L590" s="1">
        <v>3347159.9584</v>
      </c>
    </row>
    <row r="591" spans="2:12">
      <c r="B591" s="1" t="s">
        <v>2648</v>
      </c>
      <c r="C591" s="1" t="s">
        <v>771</v>
      </c>
      <c r="D591" s="1" t="s">
        <v>771</v>
      </c>
      <c r="E591" s="1" t="s">
        <v>771</v>
      </c>
      <c r="K591" s="1">
        <v>500058.1473</v>
      </c>
      <c r="L591" s="1">
        <v>3347112.5858</v>
      </c>
    </row>
    <row r="592" spans="2:12">
      <c r="B592" s="1" t="s">
        <v>2648</v>
      </c>
      <c r="C592" s="1" t="s">
        <v>771</v>
      </c>
      <c r="D592" s="1" t="s">
        <v>771</v>
      </c>
      <c r="E592" s="1" t="s">
        <v>771</v>
      </c>
      <c r="K592" s="1">
        <v>500064.9261</v>
      </c>
      <c r="L592" s="1">
        <v>3347091.404</v>
      </c>
    </row>
    <row r="593" spans="2:12">
      <c r="B593" s="1" t="s">
        <v>2648</v>
      </c>
      <c r="C593" s="1" t="s">
        <v>771</v>
      </c>
      <c r="D593" s="1" t="s">
        <v>771</v>
      </c>
      <c r="E593" s="1" t="s">
        <v>771</v>
      </c>
      <c r="K593" s="1">
        <v>500089.6576</v>
      </c>
      <c r="L593" s="1">
        <v>3347014.1249</v>
      </c>
    </row>
    <row r="594" spans="2:12">
      <c r="B594" s="1" t="s">
        <v>2648</v>
      </c>
      <c r="C594" s="1" t="s">
        <v>771</v>
      </c>
      <c r="D594" s="1" t="s">
        <v>771</v>
      </c>
      <c r="E594" s="1" t="s">
        <v>771</v>
      </c>
      <c r="K594" s="1">
        <v>500020.6493</v>
      </c>
      <c r="L594" s="1">
        <v>3346779.3198</v>
      </c>
    </row>
    <row r="595" spans="2:12">
      <c r="B595" s="1" t="s">
        <v>2648</v>
      </c>
      <c r="C595" s="1" t="s">
        <v>771</v>
      </c>
      <c r="D595" s="1" t="s">
        <v>771</v>
      </c>
      <c r="E595" s="1" t="s">
        <v>771</v>
      </c>
      <c r="K595" s="1">
        <v>500099.1695</v>
      </c>
      <c r="L595" s="1">
        <v>3346596.9831</v>
      </c>
    </row>
    <row r="596" spans="2:12">
      <c r="B596" s="1" t="s">
        <v>2648</v>
      </c>
      <c r="C596" s="1" t="s">
        <v>771</v>
      </c>
      <c r="D596" s="1" t="s">
        <v>771</v>
      </c>
      <c r="E596" s="1" t="s">
        <v>771</v>
      </c>
      <c r="K596" s="1">
        <v>500118.725</v>
      </c>
      <c r="L596" s="1">
        <v>3346564.9474</v>
      </c>
    </row>
    <row r="597" spans="2:12">
      <c r="B597" s="1" t="s">
        <v>2648</v>
      </c>
      <c r="C597" s="1" t="s">
        <v>771</v>
      </c>
      <c r="D597" s="1" t="s">
        <v>771</v>
      </c>
      <c r="E597" s="1" t="s">
        <v>771</v>
      </c>
      <c r="K597" s="1">
        <v>500129.1456</v>
      </c>
      <c r="L597" s="1">
        <v>3346547.8766</v>
      </c>
    </row>
    <row r="598" spans="2:12">
      <c r="B598" s="1" t="s">
        <v>2648</v>
      </c>
      <c r="C598" s="1" t="s">
        <v>771</v>
      </c>
      <c r="D598" s="1" t="s">
        <v>771</v>
      </c>
      <c r="E598" s="1" t="s">
        <v>771</v>
      </c>
      <c r="K598" s="1">
        <v>500183.8353</v>
      </c>
      <c r="L598" s="1">
        <v>3346458.2848</v>
      </c>
    </row>
    <row r="599" spans="2:12">
      <c r="B599" s="1" t="s">
        <v>2648</v>
      </c>
      <c r="C599" s="1" t="s">
        <v>771</v>
      </c>
      <c r="D599" s="1" t="s">
        <v>771</v>
      </c>
      <c r="E599" s="1" t="s">
        <v>771</v>
      </c>
      <c r="K599" s="1">
        <v>500200.1886</v>
      </c>
      <c r="L599" s="1">
        <v>3346237.6368</v>
      </c>
    </row>
    <row r="600" spans="2:12">
      <c r="B600" s="1" t="s">
        <v>2648</v>
      </c>
      <c r="C600" s="1" t="s">
        <v>771</v>
      </c>
      <c r="D600" s="1" t="s">
        <v>771</v>
      </c>
      <c r="E600" s="1" t="s">
        <v>771</v>
      </c>
      <c r="K600" s="1">
        <v>500216.0953</v>
      </c>
      <c r="L600" s="1">
        <v>3346202.9123</v>
      </c>
    </row>
    <row r="601" spans="2:12">
      <c r="B601" s="1" t="s">
        <v>2648</v>
      </c>
      <c r="C601" s="1" t="s">
        <v>771</v>
      </c>
      <c r="D601" s="1" t="s">
        <v>771</v>
      </c>
      <c r="E601" s="1" t="s">
        <v>771</v>
      </c>
      <c r="K601" s="1">
        <v>500231.5045</v>
      </c>
      <c r="L601" s="1">
        <v>3346169.2737</v>
      </c>
    </row>
    <row r="602" spans="2:12">
      <c r="B602" s="1" t="s">
        <v>2648</v>
      </c>
      <c r="C602" s="1" t="s">
        <v>771</v>
      </c>
      <c r="D602" s="1" t="s">
        <v>771</v>
      </c>
      <c r="E602" s="1" t="s">
        <v>771</v>
      </c>
      <c r="K602" s="1">
        <v>500329.5201</v>
      </c>
      <c r="L602" s="1">
        <v>3345955.304</v>
      </c>
    </row>
    <row r="603" spans="2:12">
      <c r="B603" s="1" t="s">
        <v>2648</v>
      </c>
      <c r="C603" s="1" t="s">
        <v>771</v>
      </c>
      <c r="D603" s="1" t="s">
        <v>771</v>
      </c>
      <c r="E603" s="1" t="s">
        <v>771</v>
      </c>
      <c r="K603" s="1">
        <v>500347.7651</v>
      </c>
      <c r="L603" s="1">
        <v>3345859.3023</v>
      </c>
    </row>
    <row r="604" spans="2:12">
      <c r="B604" s="1" t="s">
        <v>2648</v>
      </c>
      <c r="C604" s="1" t="s">
        <v>771</v>
      </c>
      <c r="D604" s="1" t="s">
        <v>771</v>
      </c>
      <c r="E604" s="1" t="s">
        <v>771</v>
      </c>
      <c r="K604" s="1">
        <v>500354.8599</v>
      </c>
      <c r="L604" s="1">
        <v>3345821.9705</v>
      </c>
    </row>
    <row r="605" spans="2:12">
      <c r="B605" s="1" t="s">
        <v>2648</v>
      </c>
      <c r="C605" s="1" t="s">
        <v>771</v>
      </c>
      <c r="D605" s="1" t="s">
        <v>771</v>
      </c>
      <c r="E605" s="1" t="s">
        <v>771</v>
      </c>
      <c r="K605" s="1">
        <v>500368.5434</v>
      </c>
      <c r="L605" s="1">
        <v>3345749.9698</v>
      </c>
    </row>
    <row r="606" spans="2:12">
      <c r="B606" s="1" t="s">
        <v>2648</v>
      </c>
      <c r="C606" s="1" t="s">
        <v>771</v>
      </c>
      <c r="D606" s="1" t="s">
        <v>771</v>
      </c>
      <c r="E606" s="1" t="s">
        <v>771</v>
      </c>
      <c r="K606" s="1">
        <v>500695.9868</v>
      </c>
      <c r="L606" s="1">
        <v>3345565.9321</v>
      </c>
    </row>
    <row r="607" spans="2:12">
      <c r="B607" s="1" t="s">
        <v>2648</v>
      </c>
      <c r="C607" s="1" t="s">
        <v>771</v>
      </c>
      <c r="D607" s="1" t="s">
        <v>771</v>
      </c>
      <c r="E607" s="1" t="s">
        <v>771</v>
      </c>
      <c r="K607" s="1">
        <v>500708.0357</v>
      </c>
      <c r="L607" s="1">
        <v>3345465.7817</v>
      </c>
    </row>
    <row r="608" spans="2:12">
      <c r="B608" s="1" t="s">
        <v>2648</v>
      </c>
      <c r="C608" s="1" t="s">
        <v>771</v>
      </c>
      <c r="D608" s="1" t="s">
        <v>771</v>
      </c>
      <c r="E608" s="1" t="s">
        <v>771</v>
      </c>
      <c r="K608" s="1">
        <v>501756.7676</v>
      </c>
      <c r="L608" s="1">
        <v>3344850.414</v>
      </c>
    </row>
    <row r="609" spans="2:12">
      <c r="B609" s="1" t="s">
        <v>2648</v>
      </c>
      <c r="C609" s="1" t="s">
        <v>771</v>
      </c>
      <c r="D609" s="1" t="s">
        <v>771</v>
      </c>
      <c r="E609" s="1" t="s">
        <v>771</v>
      </c>
      <c r="K609" s="1">
        <v>501903.4461</v>
      </c>
      <c r="L609" s="1">
        <v>3344427.6192</v>
      </c>
    </row>
    <row r="610" spans="2:12">
      <c r="B610" s="1" t="s">
        <v>2648</v>
      </c>
      <c r="C610" s="1" t="s">
        <v>771</v>
      </c>
      <c r="D610" s="1" t="s">
        <v>771</v>
      </c>
      <c r="E610" s="1" t="s">
        <v>771</v>
      </c>
      <c r="K610" s="1">
        <v>502121.4845</v>
      </c>
      <c r="L610" s="1">
        <v>3344166.4639</v>
      </c>
    </row>
    <row r="611" spans="2:12">
      <c r="B611" s="1" t="s">
        <v>2648</v>
      </c>
      <c r="C611" s="1" t="s">
        <v>771</v>
      </c>
      <c r="D611" s="1" t="s">
        <v>771</v>
      </c>
      <c r="E611" s="1" t="s">
        <v>771</v>
      </c>
      <c r="K611" s="1">
        <v>502366.8815</v>
      </c>
      <c r="L611" s="1">
        <v>3343548.9878</v>
      </c>
    </row>
    <row r="612" spans="2:12">
      <c r="B612" s="1" t="s">
        <v>2648</v>
      </c>
      <c r="C612" s="1" t="s">
        <v>771</v>
      </c>
      <c r="D612" s="1" t="s">
        <v>771</v>
      </c>
      <c r="E612" s="1" t="s">
        <v>771</v>
      </c>
      <c r="K612" s="1">
        <v>502560.6341</v>
      </c>
      <c r="L612" s="1">
        <v>3343490.2546</v>
      </c>
    </row>
    <row r="613" spans="2:12">
      <c r="B613" s="1" t="s">
        <v>2648</v>
      </c>
      <c r="C613" s="1" t="s">
        <v>771</v>
      </c>
      <c r="D613" s="1" t="s">
        <v>771</v>
      </c>
      <c r="E613" s="1" t="s">
        <v>771</v>
      </c>
      <c r="K613" s="1">
        <v>502592.7301</v>
      </c>
      <c r="L613" s="1">
        <v>3343480.5252</v>
      </c>
    </row>
    <row r="614" spans="2:12">
      <c r="B614" s="1" t="s">
        <v>2648</v>
      </c>
      <c r="C614" s="1" t="s">
        <v>771</v>
      </c>
      <c r="D614" s="1" t="s">
        <v>771</v>
      </c>
      <c r="E614" s="1" t="s">
        <v>771</v>
      </c>
      <c r="K614" s="1">
        <v>502686.4968</v>
      </c>
      <c r="L614" s="1">
        <v>3343376.9227</v>
      </c>
    </row>
    <row r="615" spans="2:12">
      <c r="B615" s="1" t="s">
        <v>2648</v>
      </c>
      <c r="C615" s="1" t="s">
        <v>771</v>
      </c>
      <c r="D615" s="1" t="s">
        <v>771</v>
      </c>
      <c r="E615" s="1" t="s">
        <v>771</v>
      </c>
      <c r="K615" s="1">
        <v>502706.2955</v>
      </c>
      <c r="L615" s="1">
        <v>3343355.0472</v>
      </c>
    </row>
    <row r="616" spans="2:12">
      <c r="B616" s="1" t="s">
        <v>2648</v>
      </c>
      <c r="C616" s="1" t="s">
        <v>771</v>
      </c>
      <c r="D616" s="1" t="s">
        <v>771</v>
      </c>
      <c r="E616" s="1" t="s">
        <v>771</v>
      </c>
      <c r="K616" s="1">
        <v>502735.3057</v>
      </c>
      <c r="L616" s="1">
        <v>3343345.1533</v>
      </c>
    </row>
    <row r="617" spans="2:12">
      <c r="B617" s="1" t="s">
        <v>2648</v>
      </c>
      <c r="C617" s="1" t="s">
        <v>771</v>
      </c>
      <c r="D617" s="1" t="s">
        <v>771</v>
      </c>
      <c r="E617" s="1" t="s">
        <v>771</v>
      </c>
      <c r="K617" s="1">
        <v>502811.7709</v>
      </c>
      <c r="L617" s="1">
        <v>3343319.0747</v>
      </c>
    </row>
    <row r="618" spans="2:12">
      <c r="B618" s="1" t="s">
        <v>2648</v>
      </c>
      <c r="C618" s="1" t="s">
        <v>771</v>
      </c>
      <c r="D618" s="1" t="s">
        <v>771</v>
      </c>
      <c r="E618" s="1" t="s">
        <v>771</v>
      </c>
      <c r="K618" s="1">
        <v>502821.2356</v>
      </c>
      <c r="L618" s="1">
        <v>3343315.8468</v>
      </c>
    </row>
    <row r="619" spans="2:12">
      <c r="B619" s="1" t="s">
        <v>2648</v>
      </c>
      <c r="C619" s="1" t="s">
        <v>771</v>
      </c>
      <c r="D619" s="1" t="s">
        <v>771</v>
      </c>
      <c r="E619" s="1" t="s">
        <v>771</v>
      </c>
      <c r="K619" s="1">
        <v>502847.8831</v>
      </c>
      <c r="L619" s="1">
        <v>3343306.7587</v>
      </c>
    </row>
    <row r="620" spans="2:12">
      <c r="B620" s="1" t="s">
        <v>2648</v>
      </c>
      <c r="C620" s="1" t="s">
        <v>771</v>
      </c>
      <c r="D620" s="1" t="s">
        <v>771</v>
      </c>
      <c r="E620" s="1" t="s">
        <v>771</v>
      </c>
      <c r="K620" s="1">
        <v>503014.2854</v>
      </c>
      <c r="L620" s="1">
        <v>3343250.0071</v>
      </c>
    </row>
    <row r="621" spans="2:12">
      <c r="B621" s="1" t="s">
        <v>2648</v>
      </c>
      <c r="C621" s="1" t="s">
        <v>771</v>
      </c>
      <c r="D621" s="1" t="s">
        <v>771</v>
      </c>
      <c r="E621" s="1" t="s">
        <v>771</v>
      </c>
      <c r="K621" s="1">
        <v>503971.6468</v>
      </c>
      <c r="L621" s="1">
        <v>3342679.3624</v>
      </c>
    </row>
    <row r="622" spans="2:12">
      <c r="B622" s="1" t="s">
        <v>2648</v>
      </c>
      <c r="C622" s="1" t="s">
        <v>771</v>
      </c>
      <c r="D622" s="1" t="s">
        <v>771</v>
      </c>
      <c r="E622" s="1" t="s">
        <v>771</v>
      </c>
      <c r="K622" s="1">
        <v>504660.7248</v>
      </c>
      <c r="L622" s="1">
        <v>3342018.6964</v>
      </c>
    </row>
    <row r="623" spans="2:12">
      <c r="B623" s="1" t="s">
        <v>2648</v>
      </c>
      <c r="C623" s="1" t="s">
        <v>771</v>
      </c>
      <c r="D623" s="1" t="s">
        <v>771</v>
      </c>
      <c r="E623" s="1" t="s">
        <v>771</v>
      </c>
      <c r="K623" s="1">
        <v>504771.8455</v>
      </c>
      <c r="L623" s="1">
        <v>3341621.6283</v>
      </c>
    </row>
    <row r="624" spans="2:12">
      <c r="B624" s="1" t="s">
        <v>2648</v>
      </c>
      <c r="C624" s="1" t="s">
        <v>771</v>
      </c>
      <c r="D624" s="1" t="s">
        <v>771</v>
      </c>
      <c r="E624" s="1" t="s">
        <v>771</v>
      </c>
      <c r="K624" s="1">
        <v>504885.8419</v>
      </c>
      <c r="L624" s="1">
        <v>3341528.3616</v>
      </c>
    </row>
    <row r="625" spans="2:12">
      <c r="B625" s="1" t="s">
        <v>2648</v>
      </c>
      <c r="C625" s="1" t="s">
        <v>771</v>
      </c>
      <c r="D625" s="1" t="s">
        <v>771</v>
      </c>
      <c r="E625" s="1" t="s">
        <v>771</v>
      </c>
      <c r="K625" s="1">
        <v>504921.9866</v>
      </c>
      <c r="L625" s="1">
        <v>3341498.7897</v>
      </c>
    </row>
    <row r="626" spans="2:12">
      <c r="B626" s="1" t="s">
        <v>2648</v>
      </c>
      <c r="C626" s="1" t="s">
        <v>771</v>
      </c>
      <c r="D626" s="1" t="s">
        <v>771</v>
      </c>
      <c r="E626" s="1" t="s">
        <v>771</v>
      </c>
      <c r="K626" s="1">
        <v>505003.63</v>
      </c>
      <c r="L626" s="1">
        <v>3341431.9927</v>
      </c>
    </row>
    <row r="627" spans="2:12">
      <c r="B627" s="1" t="s">
        <v>2648</v>
      </c>
      <c r="C627" s="1" t="s">
        <v>771</v>
      </c>
      <c r="D627" s="1" t="s">
        <v>771</v>
      </c>
      <c r="E627" s="1" t="s">
        <v>771</v>
      </c>
      <c r="K627" s="1">
        <v>505044.9208</v>
      </c>
      <c r="L627" s="1">
        <v>3341118.5009</v>
      </c>
    </row>
    <row r="628" spans="2:12">
      <c r="B628" s="1" t="s">
        <v>2648</v>
      </c>
      <c r="C628" s="1" t="s">
        <v>771</v>
      </c>
      <c r="D628" s="1" t="s">
        <v>771</v>
      </c>
      <c r="E628" s="1" t="s">
        <v>771</v>
      </c>
      <c r="K628" s="1">
        <v>505226.1749</v>
      </c>
      <c r="L628" s="1">
        <v>3340987.0965</v>
      </c>
    </row>
    <row r="629" spans="2:12">
      <c r="B629" s="1" t="s">
        <v>2648</v>
      </c>
      <c r="C629" s="1" t="s">
        <v>771</v>
      </c>
      <c r="D629" s="1" t="s">
        <v>771</v>
      </c>
      <c r="E629" s="1" t="s">
        <v>771</v>
      </c>
      <c r="K629" s="1">
        <v>505241.4655</v>
      </c>
      <c r="L629" s="1">
        <v>3340976.0112</v>
      </c>
    </row>
    <row r="630" spans="2:12">
      <c r="B630" s="1" t="s">
        <v>2648</v>
      </c>
      <c r="C630" s="1" t="s">
        <v>771</v>
      </c>
      <c r="D630" s="1" t="s">
        <v>771</v>
      </c>
      <c r="E630" s="1" t="s">
        <v>771</v>
      </c>
      <c r="K630" s="1">
        <v>505320.1338</v>
      </c>
      <c r="L630" s="1">
        <v>3340918.9788</v>
      </c>
    </row>
    <row r="631" spans="2:12">
      <c r="B631" s="1" t="s">
        <v>2648</v>
      </c>
      <c r="C631" s="1" t="s">
        <v>771</v>
      </c>
      <c r="D631" s="1" t="s">
        <v>771</v>
      </c>
      <c r="E631" s="1" t="s">
        <v>771</v>
      </c>
      <c r="K631" s="1">
        <v>505329.6606</v>
      </c>
      <c r="L631" s="1">
        <v>3340912.0722</v>
      </c>
    </row>
    <row r="632" spans="2:12">
      <c r="B632" s="1" t="s">
        <v>2648</v>
      </c>
      <c r="C632" s="1" t="s">
        <v>771</v>
      </c>
      <c r="D632" s="1" t="s">
        <v>771</v>
      </c>
      <c r="E632" s="1" t="s">
        <v>771</v>
      </c>
      <c r="K632" s="1">
        <v>505414.3092</v>
      </c>
      <c r="L632" s="1">
        <v>3340850.7042</v>
      </c>
    </row>
    <row r="633" spans="2:12">
      <c r="B633" s="1" t="s">
        <v>2648</v>
      </c>
      <c r="C633" s="1" t="s">
        <v>771</v>
      </c>
      <c r="D633" s="1" t="s">
        <v>771</v>
      </c>
      <c r="E633" s="1" t="s">
        <v>771</v>
      </c>
      <c r="K633" s="1">
        <v>505516.4542</v>
      </c>
      <c r="L633" s="1">
        <v>3340797.7926</v>
      </c>
    </row>
    <row r="634" spans="2:12">
      <c r="B634" s="1" t="s">
        <v>2648</v>
      </c>
      <c r="C634" s="1" t="s">
        <v>771</v>
      </c>
      <c r="D634" s="1" t="s">
        <v>771</v>
      </c>
      <c r="E634" s="1" t="s">
        <v>771</v>
      </c>
      <c r="K634" s="1">
        <v>505530.7352</v>
      </c>
      <c r="L634" s="1">
        <v>3340790.395</v>
      </c>
    </row>
    <row r="635" spans="2:12">
      <c r="B635" s="1" t="s">
        <v>2648</v>
      </c>
      <c r="C635" s="1" t="s">
        <v>771</v>
      </c>
      <c r="D635" s="1" t="s">
        <v>771</v>
      </c>
      <c r="E635" s="1" t="s">
        <v>771</v>
      </c>
      <c r="K635" s="1">
        <v>505674.1936</v>
      </c>
      <c r="L635" s="1">
        <v>3340716.0829</v>
      </c>
    </row>
    <row r="636" spans="2:12">
      <c r="B636" s="1" t="s">
        <v>2648</v>
      </c>
      <c r="C636" s="1" t="s">
        <v>771</v>
      </c>
      <c r="D636" s="1" t="s">
        <v>771</v>
      </c>
      <c r="E636" s="1" t="s">
        <v>771</v>
      </c>
      <c r="K636" s="1">
        <v>505703.8415</v>
      </c>
      <c r="L636" s="1">
        <v>3340700.7251</v>
      </c>
    </row>
    <row r="637" spans="2:12">
      <c r="B637" s="1" t="s">
        <v>2648</v>
      </c>
      <c r="C637" s="1" t="s">
        <v>771</v>
      </c>
      <c r="D637" s="1" t="s">
        <v>771</v>
      </c>
      <c r="E637" s="1" t="s">
        <v>771</v>
      </c>
      <c r="K637" s="1">
        <v>505773.4022</v>
      </c>
      <c r="L637" s="1">
        <v>3340675.9742</v>
      </c>
    </row>
    <row r="638" spans="2:12">
      <c r="B638" s="1" t="s">
        <v>2648</v>
      </c>
      <c r="C638" s="1" t="s">
        <v>771</v>
      </c>
      <c r="D638" s="1" t="s">
        <v>771</v>
      </c>
      <c r="E638" s="1" t="s">
        <v>771</v>
      </c>
      <c r="K638" s="1">
        <v>505773.9159</v>
      </c>
      <c r="L638" s="1">
        <v>3340626.7315</v>
      </c>
    </row>
    <row r="639" spans="2:12">
      <c r="B639" s="1" t="s">
        <v>2648</v>
      </c>
      <c r="C639" s="1" t="s">
        <v>771</v>
      </c>
      <c r="D639" s="1" t="s">
        <v>771</v>
      </c>
      <c r="E639" s="1" t="s">
        <v>771</v>
      </c>
      <c r="K639" s="1">
        <v>505798.9152</v>
      </c>
      <c r="L639" s="1">
        <v>3340587.4437</v>
      </c>
    </row>
    <row r="640" spans="2:12">
      <c r="B640" s="1" t="s">
        <v>2648</v>
      </c>
      <c r="C640" s="1" t="s">
        <v>771</v>
      </c>
      <c r="D640" s="1" t="s">
        <v>771</v>
      </c>
      <c r="E640" s="1" t="s">
        <v>771</v>
      </c>
      <c r="K640" s="1">
        <v>505831.3209</v>
      </c>
      <c r="L640" s="1">
        <v>3340563.5398</v>
      </c>
    </row>
    <row r="641" spans="2:12">
      <c r="B641" s="1" t="s">
        <v>2648</v>
      </c>
      <c r="C641" s="1" t="s">
        <v>771</v>
      </c>
      <c r="D641" s="1" t="s">
        <v>771</v>
      </c>
      <c r="E641" s="1" t="s">
        <v>771</v>
      </c>
      <c r="K641" s="1">
        <v>505846.6178</v>
      </c>
      <c r="L641" s="1">
        <v>3340552.2562</v>
      </c>
    </row>
    <row r="642" spans="2:12">
      <c r="B642" s="1" t="s">
        <v>2648</v>
      </c>
      <c r="C642" s="1" t="s">
        <v>771</v>
      </c>
      <c r="D642" s="1" t="s">
        <v>771</v>
      </c>
      <c r="E642" s="1" t="s">
        <v>771</v>
      </c>
      <c r="K642" s="1">
        <v>505893.1781</v>
      </c>
      <c r="L642" s="1">
        <v>3340470.2537</v>
      </c>
    </row>
    <row r="643" spans="2:12">
      <c r="B643" s="1" t="s">
        <v>2648</v>
      </c>
      <c r="C643" s="1" t="s">
        <v>771</v>
      </c>
      <c r="D643" s="1" t="s">
        <v>771</v>
      </c>
      <c r="E643" s="1" t="s">
        <v>771</v>
      </c>
      <c r="K643" s="1">
        <v>505903.6658</v>
      </c>
      <c r="L643" s="1">
        <v>3340451.7827</v>
      </c>
    </row>
    <row r="644" spans="2:12">
      <c r="B644" s="1" t="s">
        <v>2648</v>
      </c>
      <c r="C644" s="1" t="s">
        <v>771</v>
      </c>
      <c r="D644" s="1" t="s">
        <v>771</v>
      </c>
      <c r="E644" s="1" t="s">
        <v>771</v>
      </c>
      <c r="K644" s="1">
        <v>505972.0051</v>
      </c>
      <c r="L644" s="1">
        <v>3340424.2754</v>
      </c>
    </row>
    <row r="645" spans="2:12">
      <c r="B645" s="1" t="s">
        <v>2648</v>
      </c>
      <c r="C645" s="1" t="s">
        <v>771</v>
      </c>
      <c r="D645" s="1" t="s">
        <v>771</v>
      </c>
      <c r="E645" s="1" t="s">
        <v>771</v>
      </c>
      <c r="K645" s="1">
        <v>505986.699</v>
      </c>
      <c r="L645" s="1">
        <v>3340399.2075</v>
      </c>
    </row>
    <row r="646" spans="2:12">
      <c r="B646" s="1" t="s">
        <v>2648</v>
      </c>
      <c r="C646" s="1" t="s">
        <v>771</v>
      </c>
      <c r="D646" s="1" t="s">
        <v>771</v>
      </c>
      <c r="E646" s="1" t="s">
        <v>771</v>
      </c>
      <c r="K646" s="1">
        <v>506017.5851</v>
      </c>
      <c r="L646" s="1">
        <v>3340346.5157</v>
      </c>
    </row>
    <row r="647" spans="2:12">
      <c r="B647" s="1" t="s">
        <v>2648</v>
      </c>
      <c r="C647" s="1" t="s">
        <v>771</v>
      </c>
      <c r="D647" s="1" t="s">
        <v>771</v>
      </c>
      <c r="E647" s="1" t="s">
        <v>771</v>
      </c>
      <c r="K647" s="1">
        <v>506074.0444</v>
      </c>
      <c r="L647" s="1">
        <v>3340250.1958</v>
      </c>
    </row>
    <row r="648" spans="2:12">
      <c r="B648" s="1" t="s">
        <v>2648</v>
      </c>
      <c r="C648" s="1" t="s">
        <v>771</v>
      </c>
      <c r="D648" s="1" t="s">
        <v>771</v>
      </c>
      <c r="E648" s="1" t="s">
        <v>771</v>
      </c>
      <c r="K648" s="1">
        <v>506203.1503</v>
      </c>
      <c r="L648" s="1">
        <v>3340029.9405</v>
      </c>
    </row>
    <row r="649" spans="2:12">
      <c r="B649" s="1" t="s">
        <v>2648</v>
      </c>
      <c r="C649" s="1" t="s">
        <v>771</v>
      </c>
      <c r="D649" s="1" t="s">
        <v>771</v>
      </c>
      <c r="E649" s="1" t="s">
        <v>771</v>
      </c>
      <c r="K649" s="1">
        <v>506242.0478</v>
      </c>
      <c r="L649" s="1">
        <v>3339963.5811</v>
      </c>
    </row>
    <row r="650" spans="2:12">
      <c r="B650" s="1" t="s">
        <v>2648</v>
      </c>
      <c r="C650" s="1" t="s">
        <v>771</v>
      </c>
      <c r="D650" s="1" t="s">
        <v>771</v>
      </c>
      <c r="E650" s="1" t="s">
        <v>771</v>
      </c>
      <c r="K650" s="1">
        <v>506268.599</v>
      </c>
      <c r="L650" s="1">
        <v>3339918.2847</v>
      </c>
    </row>
    <row r="651" spans="2:12">
      <c r="B651" s="1" t="s">
        <v>2648</v>
      </c>
      <c r="C651" s="1" t="s">
        <v>771</v>
      </c>
      <c r="D651" s="1" t="s">
        <v>771</v>
      </c>
      <c r="E651" s="1" t="s">
        <v>771</v>
      </c>
      <c r="K651" s="1">
        <v>506269.8337</v>
      </c>
      <c r="L651" s="1">
        <v>3339897.6958</v>
      </c>
    </row>
    <row r="652" spans="2:12">
      <c r="B652" s="1" t="s">
        <v>2648</v>
      </c>
      <c r="C652" s="1" t="s">
        <v>771</v>
      </c>
      <c r="D652" s="1" t="s">
        <v>771</v>
      </c>
      <c r="E652" s="1" t="s">
        <v>771</v>
      </c>
      <c r="K652" s="1">
        <v>506272.6645</v>
      </c>
      <c r="L652" s="1">
        <v>3339850.4936</v>
      </c>
    </row>
    <row r="653" spans="2:12">
      <c r="B653" s="1" t="s">
        <v>2648</v>
      </c>
      <c r="C653" s="1" t="s">
        <v>771</v>
      </c>
      <c r="D653" s="1" t="s">
        <v>771</v>
      </c>
      <c r="E653" s="1" t="s">
        <v>771</v>
      </c>
      <c r="K653" s="1">
        <v>506383.4082</v>
      </c>
      <c r="L653" s="1">
        <v>3339736.999</v>
      </c>
    </row>
    <row r="654" spans="2:12">
      <c r="B654" s="1" t="s">
        <v>2648</v>
      </c>
      <c r="C654" s="1" t="s">
        <v>771</v>
      </c>
      <c r="D654" s="1" t="s">
        <v>771</v>
      </c>
      <c r="E654" s="1" t="s">
        <v>771</v>
      </c>
      <c r="K654" s="1">
        <v>506524.0428</v>
      </c>
      <c r="L654" s="1">
        <v>3339655.2784</v>
      </c>
    </row>
    <row r="655" spans="2:12">
      <c r="B655" s="1" t="s">
        <v>2648</v>
      </c>
      <c r="C655" s="1" t="s">
        <v>771</v>
      </c>
      <c r="D655" s="1" t="s">
        <v>771</v>
      </c>
      <c r="E655" s="1" t="s">
        <v>771</v>
      </c>
      <c r="K655" s="1">
        <v>506609.532</v>
      </c>
      <c r="L655" s="1">
        <v>3339605.6018</v>
      </c>
    </row>
    <row r="656" spans="2:12">
      <c r="B656" s="1" t="s">
        <v>2648</v>
      </c>
      <c r="C656" s="1" t="s">
        <v>771</v>
      </c>
      <c r="D656" s="1" t="s">
        <v>771</v>
      </c>
      <c r="E656" s="1" t="s">
        <v>771</v>
      </c>
      <c r="K656" s="1">
        <v>506668.3967</v>
      </c>
      <c r="L656" s="1">
        <v>3339586.1704</v>
      </c>
    </row>
    <row r="657" spans="2:12">
      <c r="B657" s="1" t="s">
        <v>2648</v>
      </c>
      <c r="C657" s="1" t="s">
        <v>771</v>
      </c>
      <c r="D657" s="1" t="s">
        <v>771</v>
      </c>
      <c r="E657" s="1" t="s">
        <v>771</v>
      </c>
      <c r="K657" s="1">
        <v>506705.041</v>
      </c>
      <c r="L657" s="1">
        <v>3339574.0741</v>
      </c>
    </row>
    <row r="658" spans="2:12">
      <c r="B658" s="1" t="s">
        <v>2648</v>
      </c>
      <c r="C658" s="1" t="s">
        <v>771</v>
      </c>
      <c r="D658" s="1" t="s">
        <v>771</v>
      </c>
      <c r="E658" s="1" t="s">
        <v>771</v>
      </c>
      <c r="K658" s="1">
        <v>506720.037</v>
      </c>
      <c r="L658" s="1">
        <v>3339442.2668</v>
      </c>
    </row>
    <row r="659" spans="2:12">
      <c r="B659" s="1" t="s">
        <v>2648</v>
      </c>
      <c r="C659" s="1" t="s">
        <v>771</v>
      </c>
      <c r="D659" s="1" t="s">
        <v>771</v>
      </c>
      <c r="E659" s="1" t="s">
        <v>771</v>
      </c>
      <c r="K659" s="1">
        <v>506752.9953</v>
      </c>
      <c r="L659" s="1">
        <v>3339417.3958</v>
      </c>
    </row>
    <row r="660" spans="2:12">
      <c r="B660" s="1" t="s">
        <v>2648</v>
      </c>
      <c r="C660" s="1" t="s">
        <v>771</v>
      </c>
      <c r="D660" s="1" t="s">
        <v>771</v>
      </c>
      <c r="E660" s="1" t="s">
        <v>771</v>
      </c>
      <c r="K660" s="1">
        <v>506937.616</v>
      </c>
      <c r="L660" s="1">
        <v>3339278.0776</v>
      </c>
    </row>
    <row r="661" spans="2:12">
      <c r="B661" s="1" t="s">
        <v>2648</v>
      </c>
      <c r="C661" s="1" t="s">
        <v>771</v>
      </c>
      <c r="D661" s="1" t="s">
        <v>771</v>
      </c>
      <c r="E661" s="1" t="s">
        <v>771</v>
      </c>
      <c r="K661" s="1">
        <v>506994.1132</v>
      </c>
      <c r="L661" s="1">
        <v>3339148.4443</v>
      </c>
    </row>
    <row r="662" spans="2:12">
      <c r="B662" s="1" t="s">
        <v>2648</v>
      </c>
      <c r="C662" s="1" t="s">
        <v>771</v>
      </c>
      <c r="D662" s="1" t="s">
        <v>771</v>
      </c>
      <c r="E662" s="1" t="s">
        <v>771</v>
      </c>
      <c r="K662" s="1">
        <v>507189.6204</v>
      </c>
      <c r="L662" s="1">
        <v>3338956.7529</v>
      </c>
    </row>
    <row r="663" spans="2:12">
      <c r="B663" s="1" t="s">
        <v>2648</v>
      </c>
      <c r="C663" s="1" t="s">
        <v>771</v>
      </c>
      <c r="D663" s="1" t="s">
        <v>771</v>
      </c>
      <c r="E663" s="1" t="s">
        <v>771</v>
      </c>
      <c r="K663" s="1">
        <v>507212.8916</v>
      </c>
      <c r="L663" s="1">
        <v>3338933.936</v>
      </c>
    </row>
    <row r="664" spans="2:12">
      <c r="B664" s="1" t="s">
        <v>2648</v>
      </c>
      <c r="C664" s="1" t="s">
        <v>771</v>
      </c>
      <c r="D664" s="1" t="s">
        <v>771</v>
      </c>
      <c r="E664" s="1" t="s">
        <v>771</v>
      </c>
      <c r="K664" s="1">
        <v>507263.0089</v>
      </c>
      <c r="L664" s="1">
        <v>3338884.7968</v>
      </c>
    </row>
    <row r="665" spans="2:12">
      <c r="B665" s="1" t="s">
        <v>2648</v>
      </c>
      <c r="C665" s="1" t="s">
        <v>771</v>
      </c>
      <c r="D665" s="1" t="s">
        <v>771</v>
      </c>
      <c r="E665" s="1" t="s">
        <v>771</v>
      </c>
      <c r="K665" s="1">
        <v>507270.7581</v>
      </c>
      <c r="L665" s="1">
        <v>3338721.5121</v>
      </c>
    </row>
    <row r="666" spans="2:12">
      <c r="B666" s="1" t="s">
        <v>2648</v>
      </c>
      <c r="C666" s="1" t="s">
        <v>771</v>
      </c>
      <c r="D666" s="1" t="s">
        <v>771</v>
      </c>
      <c r="E666" s="1" t="s">
        <v>771</v>
      </c>
      <c r="K666" s="1">
        <v>507133.3052</v>
      </c>
      <c r="L666" s="1">
        <v>3338516.6223</v>
      </c>
    </row>
    <row r="667" spans="2:12">
      <c r="B667" s="1" t="s">
        <v>2648</v>
      </c>
      <c r="C667" s="1" t="s">
        <v>771</v>
      </c>
      <c r="D667" s="1" t="s">
        <v>771</v>
      </c>
      <c r="E667" s="1" t="s">
        <v>771</v>
      </c>
      <c r="K667" s="1">
        <v>507134.4343</v>
      </c>
      <c r="L667" s="1">
        <v>3338427.6499</v>
      </c>
    </row>
    <row r="668" spans="2:12">
      <c r="B668" s="1" t="s">
        <v>2648</v>
      </c>
      <c r="C668" s="1" t="s">
        <v>771</v>
      </c>
      <c r="D668" s="1" t="s">
        <v>771</v>
      </c>
      <c r="E668" s="1" t="s">
        <v>771</v>
      </c>
      <c r="K668" s="1">
        <v>507135.1946</v>
      </c>
      <c r="L668" s="1">
        <v>3338367.7412</v>
      </c>
    </row>
    <row r="669" spans="2:12">
      <c r="B669" s="1" t="s">
        <v>2648</v>
      </c>
      <c r="C669" s="1" t="s">
        <v>771</v>
      </c>
      <c r="D669" s="1" t="s">
        <v>771</v>
      </c>
      <c r="E669" s="1" t="s">
        <v>771</v>
      </c>
      <c r="K669" s="1">
        <v>507209.084</v>
      </c>
      <c r="L669" s="1">
        <v>3338322.2943</v>
      </c>
    </row>
    <row r="670" spans="2:12">
      <c r="B670" s="1" t="s">
        <v>2648</v>
      </c>
      <c r="C670" s="1" t="s">
        <v>771</v>
      </c>
      <c r="D670" s="1" t="s">
        <v>771</v>
      </c>
      <c r="E670" s="1" t="s">
        <v>771</v>
      </c>
      <c r="K670" s="1">
        <v>507219.3959</v>
      </c>
      <c r="L670" s="1">
        <v>3338196.2187</v>
      </c>
    </row>
    <row r="671" spans="2:12">
      <c r="B671" s="1" t="s">
        <v>2648</v>
      </c>
      <c r="C671" s="1" t="s">
        <v>771</v>
      </c>
      <c r="D671" s="1" t="s">
        <v>771</v>
      </c>
      <c r="E671" s="1" t="s">
        <v>771</v>
      </c>
      <c r="K671" s="1">
        <v>507250.3046</v>
      </c>
      <c r="L671" s="1">
        <v>3338154.9442</v>
      </c>
    </row>
    <row r="672" spans="2:12">
      <c r="B672" s="1" t="s">
        <v>2648</v>
      </c>
      <c r="C672" s="1" t="s">
        <v>771</v>
      </c>
      <c r="D672" s="1" t="s">
        <v>771</v>
      </c>
      <c r="E672" s="1" t="s">
        <v>771</v>
      </c>
      <c r="K672" s="1">
        <v>507287.0031</v>
      </c>
      <c r="L672" s="1">
        <v>3338105.9382</v>
      </c>
    </row>
    <row r="673" spans="2:12">
      <c r="B673" s="1" t="s">
        <v>2648</v>
      </c>
      <c r="C673" s="1" t="s">
        <v>771</v>
      </c>
      <c r="D673" s="1" t="s">
        <v>771</v>
      </c>
      <c r="E673" s="1" t="s">
        <v>771</v>
      </c>
      <c r="K673" s="1">
        <v>507627.4959</v>
      </c>
      <c r="L673" s="1">
        <v>3337970.1779</v>
      </c>
    </row>
    <row r="674" spans="2:12">
      <c r="B674" s="1" t="s">
        <v>2648</v>
      </c>
      <c r="C674" s="1" t="s">
        <v>771</v>
      </c>
      <c r="D674" s="1" t="s">
        <v>771</v>
      </c>
      <c r="E674" s="1" t="s">
        <v>771</v>
      </c>
      <c r="K674" s="1">
        <v>507688.539</v>
      </c>
      <c r="L674" s="1">
        <v>3337945.839</v>
      </c>
    </row>
    <row r="675" spans="2:12">
      <c r="B675" s="1" t="s">
        <v>2648</v>
      </c>
      <c r="C675" s="1" t="s">
        <v>771</v>
      </c>
      <c r="D675" s="1" t="s">
        <v>771</v>
      </c>
      <c r="E675" s="1" t="s">
        <v>771</v>
      </c>
      <c r="K675" s="1">
        <v>507708.6119</v>
      </c>
      <c r="L675" s="1">
        <v>3337928.2515</v>
      </c>
    </row>
    <row r="676" spans="2:12">
      <c r="B676" s="1" t="s">
        <v>2648</v>
      </c>
      <c r="C676" s="1" t="s">
        <v>771</v>
      </c>
      <c r="D676" s="1" t="s">
        <v>771</v>
      </c>
      <c r="E676" s="1" t="s">
        <v>771</v>
      </c>
      <c r="K676" s="1">
        <v>507758.7816</v>
      </c>
      <c r="L676" s="1">
        <v>3337884.2937</v>
      </c>
    </row>
    <row r="677" spans="2:12">
      <c r="B677" s="1" t="s">
        <v>2648</v>
      </c>
      <c r="C677" s="1" t="s">
        <v>771</v>
      </c>
      <c r="D677" s="1" t="s">
        <v>771</v>
      </c>
      <c r="E677" s="1" t="s">
        <v>771</v>
      </c>
      <c r="K677" s="1">
        <v>507770.2328</v>
      </c>
      <c r="L677" s="1">
        <v>3337874.2604</v>
      </c>
    </row>
    <row r="678" spans="2:12">
      <c r="B678" s="1" t="s">
        <v>2648</v>
      </c>
      <c r="C678" s="1" t="s">
        <v>771</v>
      </c>
      <c r="D678" s="1" t="s">
        <v>771</v>
      </c>
      <c r="E678" s="1" t="s">
        <v>771</v>
      </c>
      <c r="K678" s="1">
        <v>507841.8293</v>
      </c>
      <c r="L678" s="1">
        <v>3337811.5288</v>
      </c>
    </row>
    <row r="679" spans="2:12">
      <c r="B679" s="1" t="s">
        <v>2648</v>
      </c>
      <c r="C679" s="1" t="s">
        <v>771</v>
      </c>
      <c r="D679" s="1" t="s">
        <v>771</v>
      </c>
      <c r="E679" s="1" t="s">
        <v>771</v>
      </c>
      <c r="K679" s="1">
        <v>507859.445</v>
      </c>
      <c r="L679" s="1">
        <v>3337796.0942</v>
      </c>
    </row>
    <row r="680" spans="2:12">
      <c r="B680" s="1" t="s">
        <v>2648</v>
      </c>
      <c r="C680" s="1" t="s">
        <v>771</v>
      </c>
      <c r="D680" s="1" t="s">
        <v>771</v>
      </c>
      <c r="E680" s="1" t="s">
        <v>771</v>
      </c>
      <c r="K680" s="1">
        <v>507868.9569</v>
      </c>
      <c r="L680" s="1">
        <v>3337770.0944</v>
      </c>
    </row>
    <row r="681" spans="2:12">
      <c r="B681" s="1" t="s">
        <v>2648</v>
      </c>
      <c r="C681" s="1" t="s">
        <v>771</v>
      </c>
      <c r="D681" s="1" t="s">
        <v>771</v>
      </c>
      <c r="E681" s="1" t="s">
        <v>771</v>
      </c>
      <c r="K681" s="1">
        <v>507919.8088</v>
      </c>
      <c r="L681" s="1">
        <v>3337631.0952</v>
      </c>
    </row>
    <row r="682" spans="2:12">
      <c r="B682" s="1" t="s">
        <v>2648</v>
      </c>
      <c r="C682" s="1" t="s">
        <v>771</v>
      </c>
      <c r="D682" s="1" t="s">
        <v>771</v>
      </c>
      <c r="E682" s="1" t="s">
        <v>771</v>
      </c>
      <c r="K682" s="1">
        <v>508016.5339</v>
      </c>
      <c r="L682" s="1">
        <v>3337593.9447</v>
      </c>
    </row>
    <row r="683" spans="2:12">
      <c r="B683" s="1" t="s">
        <v>2648</v>
      </c>
      <c r="C683" s="1" t="s">
        <v>771</v>
      </c>
      <c r="D683" s="1" t="s">
        <v>771</v>
      </c>
      <c r="E683" s="1" t="s">
        <v>771</v>
      </c>
      <c r="K683" s="1">
        <v>508083.3569</v>
      </c>
      <c r="L683" s="1">
        <v>3337568.2791</v>
      </c>
    </row>
    <row r="684" spans="2:12">
      <c r="B684" s="1" t="s">
        <v>2648</v>
      </c>
      <c r="C684" s="1" t="s">
        <v>771</v>
      </c>
      <c r="D684" s="1" t="s">
        <v>771</v>
      </c>
      <c r="E684" s="1" t="s">
        <v>771</v>
      </c>
      <c r="K684" s="1">
        <v>508077.9184</v>
      </c>
      <c r="L684" s="1">
        <v>3337493.0684</v>
      </c>
    </row>
    <row r="685" spans="2:12">
      <c r="B685" s="1" t="s">
        <v>2648</v>
      </c>
      <c r="C685" s="1" t="s">
        <v>771</v>
      </c>
      <c r="D685" s="1" t="s">
        <v>771</v>
      </c>
      <c r="E685" s="1" t="s">
        <v>771</v>
      </c>
      <c r="K685" s="1">
        <v>508167.3935</v>
      </c>
      <c r="L685" s="1">
        <v>3337438.7374</v>
      </c>
    </row>
    <row r="686" spans="2:12">
      <c r="B686" s="1" t="s">
        <v>2648</v>
      </c>
      <c r="C686" s="1" t="s">
        <v>771</v>
      </c>
      <c r="D686" s="1" t="s">
        <v>771</v>
      </c>
      <c r="E686" s="1" t="s">
        <v>771</v>
      </c>
      <c r="K686" s="1">
        <v>508240.3291</v>
      </c>
      <c r="L686" s="1">
        <v>3337394.4495</v>
      </c>
    </row>
    <row r="687" spans="2:12">
      <c r="B687" s="1" t="s">
        <v>2648</v>
      </c>
      <c r="C687" s="1" t="s">
        <v>771</v>
      </c>
      <c r="D687" s="1" t="s">
        <v>771</v>
      </c>
      <c r="E687" s="1" t="s">
        <v>771</v>
      </c>
      <c r="K687" s="1">
        <v>508343.2242</v>
      </c>
      <c r="L687" s="1">
        <v>3337397.6352</v>
      </c>
    </row>
    <row r="688" spans="2:12">
      <c r="B688" s="1" t="s">
        <v>2648</v>
      </c>
      <c r="C688" s="1" t="s">
        <v>771</v>
      </c>
      <c r="D688" s="1" t="s">
        <v>771</v>
      </c>
      <c r="E688" s="1" t="s">
        <v>771</v>
      </c>
      <c r="K688" s="1">
        <v>508460.5718</v>
      </c>
      <c r="L688" s="1">
        <v>3337319.0103</v>
      </c>
    </row>
    <row r="689" spans="2:12">
      <c r="B689" s="1" t="s">
        <v>2648</v>
      </c>
      <c r="C689" s="1" t="s">
        <v>771</v>
      </c>
      <c r="D689" s="1" t="s">
        <v>771</v>
      </c>
      <c r="E689" s="1" t="s">
        <v>771</v>
      </c>
      <c r="K689" s="1">
        <v>508565.5494</v>
      </c>
      <c r="L689" s="1">
        <v>3337248.6735</v>
      </c>
    </row>
    <row r="690" spans="2:12">
      <c r="B690" s="1" t="s">
        <v>2648</v>
      </c>
      <c r="C690" s="1" t="s">
        <v>771</v>
      </c>
      <c r="D690" s="1" t="s">
        <v>771</v>
      </c>
      <c r="E690" s="1" t="s">
        <v>771</v>
      </c>
      <c r="K690" s="1">
        <v>508610.9419</v>
      </c>
      <c r="L690" s="1">
        <v>3337218.2597</v>
      </c>
    </row>
    <row r="691" spans="2:12">
      <c r="B691" s="1" t="s">
        <v>2648</v>
      </c>
      <c r="C691" s="1" t="s">
        <v>771</v>
      </c>
      <c r="D691" s="1" t="s">
        <v>771</v>
      </c>
      <c r="E691" s="1" t="s">
        <v>771</v>
      </c>
      <c r="K691" s="1">
        <v>508640.7083</v>
      </c>
      <c r="L691" s="1">
        <v>3337131.661</v>
      </c>
    </row>
    <row r="692" spans="2:12">
      <c r="B692" s="1" t="s">
        <v>2648</v>
      </c>
      <c r="C692" s="1" t="s">
        <v>771</v>
      </c>
      <c r="D692" s="1" t="s">
        <v>771</v>
      </c>
      <c r="E692" s="1" t="s">
        <v>771</v>
      </c>
      <c r="K692" s="1">
        <v>508650.9105</v>
      </c>
      <c r="L692" s="1">
        <v>3337101.9797</v>
      </c>
    </row>
    <row r="693" spans="2:12">
      <c r="B693" s="1" t="s">
        <v>2648</v>
      </c>
      <c r="C693" s="1" t="s">
        <v>771</v>
      </c>
      <c r="D693" s="1" t="s">
        <v>771</v>
      </c>
      <c r="E693" s="1" t="s">
        <v>771</v>
      </c>
      <c r="K693" s="1">
        <v>508649.171</v>
      </c>
      <c r="L693" s="1">
        <v>3337020.6207</v>
      </c>
    </row>
    <row r="694" spans="2:12">
      <c r="B694" s="1" t="s">
        <v>2648</v>
      </c>
      <c r="C694" s="1" t="s">
        <v>771</v>
      </c>
      <c r="D694" s="1" t="s">
        <v>771</v>
      </c>
      <c r="E694" s="1" t="s">
        <v>771</v>
      </c>
      <c r="K694" s="1">
        <v>508665.9451</v>
      </c>
      <c r="L694" s="1">
        <v>3336996.3119</v>
      </c>
    </row>
    <row r="695" spans="2:12">
      <c r="B695" s="1" t="s">
        <v>2648</v>
      </c>
      <c r="C695" s="1" t="s">
        <v>771</v>
      </c>
      <c r="D695" s="1" t="s">
        <v>771</v>
      </c>
      <c r="E695" s="1" t="s">
        <v>771</v>
      </c>
      <c r="K695" s="1">
        <v>508840.4731</v>
      </c>
      <c r="L695" s="1">
        <v>3336743.3888</v>
      </c>
    </row>
    <row r="696" spans="2:12">
      <c r="B696" s="1" t="s">
        <v>2648</v>
      </c>
      <c r="C696" s="1" t="s">
        <v>771</v>
      </c>
      <c r="D696" s="1" t="s">
        <v>771</v>
      </c>
      <c r="E696" s="1" t="s">
        <v>771</v>
      </c>
      <c r="K696" s="1">
        <v>508878.144</v>
      </c>
      <c r="L696" s="1">
        <v>3336688.7966</v>
      </c>
    </row>
    <row r="697" spans="2:12">
      <c r="B697" s="1" t="s">
        <v>2648</v>
      </c>
      <c r="C697" s="1" t="s">
        <v>771</v>
      </c>
      <c r="D697" s="1" t="s">
        <v>771</v>
      </c>
      <c r="E697" s="1" t="s">
        <v>771</v>
      </c>
      <c r="K697" s="1">
        <v>508968.2425</v>
      </c>
      <c r="L697" s="1">
        <v>3336658.8071</v>
      </c>
    </row>
    <row r="698" spans="2:12">
      <c r="B698" s="1" t="s">
        <v>2648</v>
      </c>
      <c r="C698" s="1" t="s">
        <v>771</v>
      </c>
      <c r="D698" s="1" t="s">
        <v>771</v>
      </c>
      <c r="E698" s="1" t="s">
        <v>771</v>
      </c>
      <c r="K698" s="1">
        <v>509027.1047</v>
      </c>
      <c r="L698" s="1">
        <v>3336610.135</v>
      </c>
    </row>
    <row r="699" spans="2:12">
      <c r="B699" s="1" t="s">
        <v>2648</v>
      </c>
      <c r="C699" s="1" t="s">
        <v>771</v>
      </c>
      <c r="D699" s="1" t="s">
        <v>771</v>
      </c>
      <c r="E699" s="1" t="s">
        <v>771</v>
      </c>
      <c r="K699" s="1">
        <v>509039.5863</v>
      </c>
      <c r="L699" s="1">
        <v>3336534.2716</v>
      </c>
    </row>
    <row r="700" spans="2:12">
      <c r="B700" s="1" t="s">
        <v>2648</v>
      </c>
      <c r="C700" s="1" t="s">
        <v>771</v>
      </c>
      <c r="D700" s="1" t="s">
        <v>771</v>
      </c>
      <c r="E700" s="1" t="s">
        <v>771</v>
      </c>
      <c r="K700" s="1">
        <v>509060.3975</v>
      </c>
      <c r="L700" s="1">
        <v>3336407.7802</v>
      </c>
    </row>
    <row r="701" spans="2:12">
      <c r="B701" s="1" t="s">
        <v>2648</v>
      </c>
      <c r="C701" s="1" t="s">
        <v>771</v>
      </c>
      <c r="D701" s="1" t="s">
        <v>771</v>
      </c>
      <c r="E701" s="1" t="s">
        <v>771</v>
      </c>
      <c r="K701" s="1">
        <v>509146.2059</v>
      </c>
      <c r="L701" s="1">
        <v>3336342.3206</v>
      </c>
    </row>
    <row r="702" spans="2:12">
      <c r="B702" s="1" t="s">
        <v>2648</v>
      </c>
      <c r="C702" s="1" t="s">
        <v>771</v>
      </c>
      <c r="D702" s="1" t="s">
        <v>771</v>
      </c>
      <c r="E702" s="1" t="s">
        <v>771</v>
      </c>
      <c r="K702" s="1">
        <v>509422.6318</v>
      </c>
      <c r="L702" s="1">
        <v>3336307.345</v>
      </c>
    </row>
    <row r="703" spans="2:12">
      <c r="B703" s="1" t="s">
        <v>2648</v>
      </c>
      <c r="C703" s="1" t="s">
        <v>771</v>
      </c>
      <c r="D703" s="1" t="s">
        <v>771</v>
      </c>
      <c r="E703" s="1" t="s">
        <v>771</v>
      </c>
      <c r="K703" s="1">
        <v>509507.4379</v>
      </c>
      <c r="L703" s="1">
        <v>3336160.5666</v>
      </c>
    </row>
    <row r="704" spans="2:12">
      <c r="B704" s="1" t="s">
        <v>2648</v>
      </c>
      <c r="C704" s="1" t="s">
        <v>771</v>
      </c>
      <c r="D704" s="1" t="s">
        <v>771</v>
      </c>
      <c r="E704" s="1" t="s">
        <v>771</v>
      </c>
      <c r="K704" s="1">
        <v>509574.6761</v>
      </c>
      <c r="L704" s="1">
        <v>3336095.8111</v>
      </c>
    </row>
    <row r="705" spans="2:12">
      <c r="B705" s="1" t="s">
        <v>2648</v>
      </c>
      <c r="C705" s="1" t="s">
        <v>771</v>
      </c>
      <c r="D705" s="1" t="s">
        <v>771</v>
      </c>
      <c r="E705" s="1" t="s">
        <v>771</v>
      </c>
      <c r="K705" s="1">
        <v>509581.7371</v>
      </c>
      <c r="L705" s="1">
        <v>3336089.0108</v>
      </c>
    </row>
    <row r="706" spans="2:12">
      <c r="B706" s="1" t="s">
        <v>2648</v>
      </c>
      <c r="C706" s="1" t="s">
        <v>771</v>
      </c>
      <c r="D706" s="1" t="s">
        <v>771</v>
      </c>
      <c r="E706" s="1" t="s">
        <v>771</v>
      </c>
      <c r="K706" s="1">
        <v>509614.1168</v>
      </c>
      <c r="L706" s="1">
        <v>3336057.8267</v>
      </c>
    </row>
    <row r="707" spans="2:12">
      <c r="B707" s="1" t="s">
        <v>2648</v>
      </c>
      <c r="C707" s="1" t="s">
        <v>771</v>
      </c>
      <c r="D707" s="1" t="s">
        <v>771</v>
      </c>
      <c r="E707" s="1" t="s">
        <v>771</v>
      </c>
      <c r="K707" s="1">
        <v>509652.7383</v>
      </c>
      <c r="L707" s="1">
        <v>3335964.7766</v>
      </c>
    </row>
    <row r="708" spans="2:12">
      <c r="B708" s="1" t="s">
        <v>2648</v>
      </c>
      <c r="C708" s="1" t="s">
        <v>771</v>
      </c>
      <c r="D708" s="1" t="s">
        <v>771</v>
      </c>
      <c r="E708" s="1" t="s">
        <v>771</v>
      </c>
      <c r="K708" s="1">
        <v>509665.6514</v>
      </c>
      <c r="L708" s="1">
        <v>3335901.2659</v>
      </c>
    </row>
    <row r="709" spans="2:12">
      <c r="B709" s="1" t="s">
        <v>2648</v>
      </c>
      <c r="C709" s="1" t="s">
        <v>771</v>
      </c>
      <c r="D709" s="1" t="s">
        <v>771</v>
      </c>
      <c r="E709" s="1" t="s">
        <v>771</v>
      </c>
      <c r="K709" s="1">
        <v>509679.7971</v>
      </c>
      <c r="L709" s="1">
        <v>3335831.6934</v>
      </c>
    </row>
    <row r="710" spans="2:12">
      <c r="B710" s="1" t="s">
        <v>2648</v>
      </c>
      <c r="C710" s="1" t="s">
        <v>771</v>
      </c>
      <c r="D710" s="1" t="s">
        <v>771</v>
      </c>
      <c r="E710" s="1" t="s">
        <v>771</v>
      </c>
      <c r="K710" s="1">
        <v>509860.2072</v>
      </c>
      <c r="L710" s="1">
        <v>3335713.7926</v>
      </c>
    </row>
    <row r="711" spans="2:12">
      <c r="B711" s="1" t="s">
        <v>2648</v>
      </c>
      <c r="C711" s="1" t="s">
        <v>771</v>
      </c>
      <c r="D711" s="1" t="s">
        <v>771</v>
      </c>
      <c r="E711" s="1" t="s">
        <v>771</v>
      </c>
      <c r="K711" s="1">
        <v>509900.039</v>
      </c>
      <c r="L711" s="1">
        <v>3335687.7619</v>
      </c>
    </row>
    <row r="712" spans="2:12">
      <c r="B712" s="1" t="s">
        <v>2648</v>
      </c>
      <c r="C712" s="1" t="s">
        <v>771</v>
      </c>
      <c r="D712" s="1" t="s">
        <v>771</v>
      </c>
      <c r="E712" s="1" t="s">
        <v>771</v>
      </c>
      <c r="K712" s="1">
        <v>509949.3597</v>
      </c>
      <c r="L712" s="1">
        <v>3335655.53</v>
      </c>
    </row>
    <row r="713" spans="2:12">
      <c r="B713" s="1" t="s">
        <v>2648</v>
      </c>
      <c r="C713" s="1" t="s">
        <v>771</v>
      </c>
      <c r="D713" s="1" t="s">
        <v>771</v>
      </c>
      <c r="E713" s="1" t="s">
        <v>771</v>
      </c>
      <c r="K713" s="1">
        <v>510214.6441</v>
      </c>
      <c r="L713" s="1">
        <v>3335669.6278</v>
      </c>
    </row>
    <row r="714" spans="2:12">
      <c r="B714" s="1" t="s">
        <v>2648</v>
      </c>
      <c r="C714" s="1" t="s">
        <v>771</v>
      </c>
      <c r="D714" s="1" t="s">
        <v>771</v>
      </c>
      <c r="E714" s="1" t="s">
        <v>771</v>
      </c>
      <c r="K714" s="1">
        <v>510337.6749</v>
      </c>
      <c r="L714" s="1">
        <v>3335624.2426</v>
      </c>
    </row>
    <row r="715" spans="2:12">
      <c r="B715" s="1" t="s">
        <v>2648</v>
      </c>
      <c r="C715" s="1" t="s">
        <v>771</v>
      </c>
      <c r="D715" s="1" t="s">
        <v>771</v>
      </c>
      <c r="E715" s="1" t="s">
        <v>771</v>
      </c>
      <c r="K715" s="1">
        <v>510394.5184</v>
      </c>
      <c r="L715" s="1">
        <v>3335603.2735</v>
      </c>
    </row>
    <row r="716" spans="2:12">
      <c r="B716" s="1" t="s">
        <v>2648</v>
      </c>
      <c r="C716" s="1" t="s">
        <v>771</v>
      </c>
      <c r="D716" s="1" t="s">
        <v>771</v>
      </c>
      <c r="E716" s="1" t="s">
        <v>771</v>
      </c>
      <c r="K716" s="1">
        <v>510400.8666</v>
      </c>
      <c r="L716" s="1">
        <v>3335496.0891</v>
      </c>
    </row>
    <row r="717" spans="2:12">
      <c r="B717" s="1" t="s">
        <v>2648</v>
      </c>
      <c r="C717" s="1" t="s">
        <v>771</v>
      </c>
      <c r="D717" s="1" t="s">
        <v>771</v>
      </c>
      <c r="E717" s="1" t="s">
        <v>771</v>
      </c>
      <c r="K717" s="1">
        <v>510427.1855</v>
      </c>
      <c r="L717" s="1">
        <v>3335478.6121</v>
      </c>
    </row>
    <row r="718" spans="2:12">
      <c r="B718" s="1" t="s">
        <v>2648</v>
      </c>
      <c r="C718" s="1" t="s">
        <v>771</v>
      </c>
      <c r="D718" s="1" t="s">
        <v>771</v>
      </c>
      <c r="E718" s="1" t="s">
        <v>771</v>
      </c>
      <c r="K718" s="1">
        <v>510503.6409</v>
      </c>
      <c r="L718" s="1">
        <v>3335427.8419</v>
      </c>
    </row>
    <row r="719" spans="2:12">
      <c r="B719" s="1" t="s">
        <v>2648</v>
      </c>
      <c r="C719" s="1" t="s">
        <v>771</v>
      </c>
      <c r="D719" s="1" t="s">
        <v>771</v>
      </c>
      <c r="E719" s="1" t="s">
        <v>771</v>
      </c>
      <c r="K719" s="1">
        <v>510535.791</v>
      </c>
      <c r="L719" s="1">
        <v>3335420.6419</v>
      </c>
    </row>
    <row r="720" spans="2:12">
      <c r="B720" s="1" t="s">
        <v>2648</v>
      </c>
      <c r="C720" s="1" t="s">
        <v>771</v>
      </c>
      <c r="D720" s="1" t="s">
        <v>771</v>
      </c>
      <c r="E720" s="1" t="s">
        <v>771</v>
      </c>
      <c r="K720" s="1">
        <v>510556.9834</v>
      </c>
      <c r="L720" s="1">
        <v>3335415.8959</v>
      </c>
    </row>
    <row r="721" spans="2:12">
      <c r="B721" s="1" t="s">
        <v>2648</v>
      </c>
      <c r="C721" s="1" t="s">
        <v>771</v>
      </c>
      <c r="D721" s="1" t="s">
        <v>771</v>
      </c>
      <c r="E721" s="1" t="s">
        <v>771</v>
      </c>
      <c r="K721" s="1">
        <v>510725.6691</v>
      </c>
      <c r="L721" s="1">
        <v>3335378.1187</v>
      </c>
    </row>
    <row r="722" spans="2:12">
      <c r="B722" s="1" t="s">
        <v>2648</v>
      </c>
      <c r="C722" s="1" t="s">
        <v>771</v>
      </c>
      <c r="D722" s="1" t="s">
        <v>771</v>
      </c>
      <c r="E722" s="1" t="s">
        <v>771</v>
      </c>
      <c r="K722" s="1">
        <v>510883.7287</v>
      </c>
      <c r="L722" s="1">
        <v>3335312.7241</v>
      </c>
    </row>
    <row r="723" spans="2:12">
      <c r="B723" s="1" t="s">
        <v>2648</v>
      </c>
      <c r="C723" s="1" t="s">
        <v>771</v>
      </c>
      <c r="D723" s="1" t="s">
        <v>771</v>
      </c>
      <c r="E723" s="1" t="s">
        <v>771</v>
      </c>
      <c r="K723" s="1">
        <v>510893.148</v>
      </c>
      <c r="L723" s="1">
        <v>3335308.827</v>
      </c>
    </row>
    <row r="724" spans="2:12">
      <c r="B724" s="1" t="s">
        <v>2648</v>
      </c>
      <c r="C724" s="1" t="s">
        <v>771</v>
      </c>
      <c r="D724" s="1" t="s">
        <v>771</v>
      </c>
      <c r="E724" s="1" t="s">
        <v>771</v>
      </c>
      <c r="K724" s="1">
        <v>511012.7276</v>
      </c>
      <c r="L724" s="1">
        <v>3335259.3529</v>
      </c>
    </row>
    <row r="725" spans="2:12">
      <c r="B725" s="1" t="s">
        <v>2648</v>
      </c>
      <c r="C725" s="1" t="s">
        <v>771</v>
      </c>
      <c r="D725" s="1" t="s">
        <v>771</v>
      </c>
      <c r="E725" s="1" t="s">
        <v>771</v>
      </c>
      <c r="K725" s="1">
        <v>511034.855</v>
      </c>
      <c r="L725" s="1">
        <v>3335250.1981</v>
      </c>
    </row>
    <row r="726" spans="2:12">
      <c r="B726" s="1" t="s">
        <v>2648</v>
      </c>
      <c r="C726" s="1" t="s">
        <v>771</v>
      </c>
      <c r="D726" s="1" t="s">
        <v>771</v>
      </c>
      <c r="E726" s="1" t="s">
        <v>771</v>
      </c>
      <c r="K726" s="1">
        <v>511476.7992</v>
      </c>
      <c r="L726" s="1">
        <v>3335067.3509</v>
      </c>
    </row>
    <row r="727" spans="2:12">
      <c r="B727" s="1" t="s">
        <v>2648</v>
      </c>
      <c r="C727" s="1" t="s">
        <v>771</v>
      </c>
      <c r="D727" s="1" t="s">
        <v>771</v>
      </c>
      <c r="E727" s="1" t="s">
        <v>771</v>
      </c>
      <c r="K727" s="1">
        <v>512350.4177</v>
      </c>
      <c r="L727" s="1">
        <v>3333892.487</v>
      </c>
    </row>
    <row r="728" spans="2:12">
      <c r="B728" s="1" t="s">
        <v>2648</v>
      </c>
      <c r="C728" s="1" t="s">
        <v>771</v>
      </c>
      <c r="D728" s="1" t="s">
        <v>771</v>
      </c>
      <c r="E728" s="1" t="s">
        <v>771</v>
      </c>
      <c r="K728" s="1">
        <v>513674.8072</v>
      </c>
      <c r="L728" s="1">
        <v>3332771.3119</v>
      </c>
    </row>
    <row r="729" spans="2:12">
      <c r="B729" s="1" t="s">
        <v>2648</v>
      </c>
      <c r="C729" s="1" t="s">
        <v>771</v>
      </c>
      <c r="D729" s="1" t="s">
        <v>771</v>
      </c>
      <c r="E729" s="1" t="s">
        <v>771</v>
      </c>
      <c r="K729" s="1">
        <v>513689.5957</v>
      </c>
      <c r="L729" s="1">
        <v>3332709.3567</v>
      </c>
    </row>
    <row r="730" spans="2:12">
      <c r="B730" s="1" t="s">
        <v>2648</v>
      </c>
      <c r="C730" s="1" t="s">
        <v>771</v>
      </c>
      <c r="D730" s="1" t="s">
        <v>771</v>
      </c>
      <c r="E730" s="1" t="s">
        <v>771</v>
      </c>
      <c r="K730" s="1">
        <v>513708.5539</v>
      </c>
      <c r="L730" s="1">
        <v>3332629.9333</v>
      </c>
    </row>
    <row r="731" spans="2:12">
      <c r="B731" s="1" t="s">
        <v>2648</v>
      </c>
      <c r="C731" s="1" t="s">
        <v>771</v>
      </c>
      <c r="D731" s="1" t="s">
        <v>771</v>
      </c>
      <c r="E731" s="1" t="s">
        <v>771</v>
      </c>
      <c r="K731" s="1">
        <v>513756.9076</v>
      </c>
      <c r="L731" s="1">
        <v>3332427.3603</v>
      </c>
    </row>
    <row r="732" spans="2:12">
      <c r="B732" s="1" t="s">
        <v>2648</v>
      </c>
      <c r="C732" s="1" t="s">
        <v>771</v>
      </c>
      <c r="D732" s="1" t="s">
        <v>771</v>
      </c>
      <c r="E732" s="1" t="s">
        <v>771</v>
      </c>
      <c r="K732" s="1">
        <v>513780.0138</v>
      </c>
      <c r="L732" s="1">
        <v>3332374.0743</v>
      </c>
    </row>
    <row r="733" spans="2:12">
      <c r="B733" s="1" t="s">
        <v>2648</v>
      </c>
      <c r="C733" s="1" t="s">
        <v>771</v>
      </c>
      <c r="D733" s="1" t="s">
        <v>771</v>
      </c>
      <c r="E733" s="1" t="s">
        <v>771</v>
      </c>
      <c r="K733" s="1">
        <v>513801.8931</v>
      </c>
      <c r="L733" s="1">
        <v>3332323.6177</v>
      </c>
    </row>
    <row r="734" spans="2:12">
      <c r="B734" s="1" t="s">
        <v>2648</v>
      </c>
      <c r="C734" s="1" t="s">
        <v>771</v>
      </c>
      <c r="D734" s="1" t="s">
        <v>771</v>
      </c>
      <c r="E734" s="1" t="s">
        <v>771</v>
      </c>
      <c r="K734" s="1">
        <v>513824.9792</v>
      </c>
      <c r="L734" s="1">
        <v>3332270.3779</v>
      </c>
    </row>
    <row r="735" spans="2:12">
      <c r="B735" s="1" t="s">
        <v>2648</v>
      </c>
      <c r="C735" s="1" t="s">
        <v>771</v>
      </c>
      <c r="D735" s="1" t="s">
        <v>771</v>
      </c>
      <c r="E735" s="1" t="s">
        <v>771</v>
      </c>
      <c r="K735" s="1">
        <v>513839.4482</v>
      </c>
      <c r="L735" s="1">
        <v>3332221.6551</v>
      </c>
    </row>
    <row r="736" spans="2:12">
      <c r="B736" s="1" t="s">
        <v>2648</v>
      </c>
      <c r="C736" s="1" t="s">
        <v>771</v>
      </c>
      <c r="D736" s="1" t="s">
        <v>771</v>
      </c>
      <c r="E736" s="1" t="s">
        <v>771</v>
      </c>
      <c r="K736" s="1">
        <v>513849.0934</v>
      </c>
      <c r="L736" s="1">
        <v>3332189.176</v>
      </c>
    </row>
    <row r="737" spans="2:12">
      <c r="B737" s="1" t="s">
        <v>2648</v>
      </c>
      <c r="C737" s="1" t="s">
        <v>771</v>
      </c>
      <c r="D737" s="1" t="s">
        <v>771</v>
      </c>
      <c r="E737" s="1" t="s">
        <v>771</v>
      </c>
      <c r="K737" s="1">
        <v>513904.5311</v>
      </c>
      <c r="L737" s="1">
        <v>3332002.4953</v>
      </c>
    </row>
    <row r="738" spans="2:12">
      <c r="B738" s="1" t="s">
        <v>2648</v>
      </c>
      <c r="C738" s="1" t="s">
        <v>771</v>
      </c>
      <c r="D738" s="1" t="s">
        <v>771</v>
      </c>
      <c r="E738" s="1" t="s">
        <v>771</v>
      </c>
      <c r="K738" s="1">
        <v>513932.8098</v>
      </c>
      <c r="L738" s="1">
        <v>3331968.2972</v>
      </c>
    </row>
    <row r="739" spans="2:12">
      <c r="B739" s="1" t="s">
        <v>2648</v>
      </c>
      <c r="C739" s="1" t="s">
        <v>771</v>
      </c>
      <c r="D739" s="1" t="s">
        <v>771</v>
      </c>
      <c r="E739" s="1" t="s">
        <v>771</v>
      </c>
      <c r="K739" s="1">
        <v>513966.0332</v>
      </c>
      <c r="L739" s="1">
        <v>3331928.1193</v>
      </c>
    </row>
    <row r="740" spans="2:12">
      <c r="B740" s="1" t="s">
        <v>2648</v>
      </c>
      <c r="C740" s="1" t="s">
        <v>771</v>
      </c>
      <c r="D740" s="1" t="s">
        <v>771</v>
      </c>
      <c r="E740" s="1" t="s">
        <v>771</v>
      </c>
      <c r="K740" s="1">
        <v>514161.1721</v>
      </c>
      <c r="L740" s="1">
        <v>3331692.133</v>
      </c>
    </row>
    <row r="741" spans="2:12">
      <c r="B741" s="1" t="s">
        <v>2648</v>
      </c>
      <c r="C741" s="1" t="s">
        <v>771</v>
      </c>
      <c r="D741" s="1" t="s">
        <v>771</v>
      </c>
      <c r="E741" s="1" t="s">
        <v>771</v>
      </c>
      <c r="K741" s="1">
        <v>514188.5654</v>
      </c>
      <c r="L741" s="1">
        <v>3331659.0056</v>
      </c>
    </row>
    <row r="742" spans="2:12">
      <c r="B742" s="1" t="s">
        <v>2648</v>
      </c>
      <c r="C742" s="1" t="s">
        <v>771</v>
      </c>
      <c r="D742" s="1" t="s">
        <v>771</v>
      </c>
      <c r="E742" s="1" t="s">
        <v>771</v>
      </c>
      <c r="K742" s="1">
        <v>514393.2177</v>
      </c>
      <c r="L742" s="1">
        <v>3331411.5145</v>
      </c>
    </row>
    <row r="743" spans="2:12">
      <c r="B743" s="1" t="s">
        <v>2648</v>
      </c>
      <c r="C743" s="1" t="s">
        <v>771</v>
      </c>
      <c r="D743" s="1" t="s">
        <v>771</v>
      </c>
      <c r="E743" s="1" t="s">
        <v>771</v>
      </c>
      <c r="K743" s="1">
        <v>514426.8328</v>
      </c>
      <c r="L743" s="1">
        <v>3331370.8629</v>
      </c>
    </row>
    <row r="744" spans="2:12">
      <c r="B744" s="1" t="s">
        <v>2648</v>
      </c>
      <c r="C744" s="1" t="s">
        <v>771</v>
      </c>
      <c r="D744" s="1" t="s">
        <v>771</v>
      </c>
      <c r="E744" s="1" t="s">
        <v>771</v>
      </c>
      <c r="K744" s="1">
        <v>514671.8507</v>
      </c>
      <c r="L744" s="1">
        <v>3331074.5568</v>
      </c>
    </row>
    <row r="745" spans="2:12">
      <c r="B745" s="1" t="s">
        <v>2648</v>
      </c>
      <c r="C745" s="1" t="s">
        <v>771</v>
      </c>
      <c r="D745" s="1" t="s">
        <v>771</v>
      </c>
      <c r="E745" s="1" t="s">
        <v>771</v>
      </c>
      <c r="K745" s="1">
        <v>514685.0686</v>
      </c>
      <c r="L745" s="1">
        <v>3331037.0421</v>
      </c>
    </row>
    <row r="746" spans="2:12">
      <c r="B746" s="1" t="s">
        <v>2648</v>
      </c>
      <c r="C746" s="1" t="s">
        <v>771</v>
      </c>
      <c r="D746" s="1" t="s">
        <v>771</v>
      </c>
      <c r="E746" s="1" t="s">
        <v>771</v>
      </c>
      <c r="K746" s="1">
        <v>514704.7895</v>
      </c>
      <c r="L746" s="1">
        <v>3330981.0713</v>
      </c>
    </row>
    <row r="747" spans="2:12">
      <c r="B747" s="1" t="s">
        <v>2648</v>
      </c>
      <c r="C747" s="1" t="s">
        <v>771</v>
      </c>
      <c r="D747" s="1" t="s">
        <v>771</v>
      </c>
      <c r="E747" s="1" t="s">
        <v>771</v>
      </c>
      <c r="K747" s="1">
        <v>514723.6474</v>
      </c>
      <c r="L747" s="1">
        <v>3330927.5495</v>
      </c>
    </row>
    <row r="748" spans="2:12">
      <c r="B748" s="1" t="s">
        <v>2648</v>
      </c>
      <c r="C748" s="1" t="s">
        <v>771</v>
      </c>
      <c r="D748" s="1" t="s">
        <v>771</v>
      </c>
      <c r="E748" s="1" t="s">
        <v>771</v>
      </c>
      <c r="K748" s="1">
        <v>515029.5013</v>
      </c>
      <c r="L748" s="1">
        <v>3330837.6158</v>
      </c>
    </row>
    <row r="749" spans="2:12">
      <c r="B749" s="1" t="s">
        <v>2648</v>
      </c>
      <c r="C749" s="1" t="s">
        <v>771</v>
      </c>
      <c r="D749" s="1" t="s">
        <v>771</v>
      </c>
      <c r="E749" s="1" t="s">
        <v>771</v>
      </c>
      <c r="K749" s="1">
        <v>515049.2706</v>
      </c>
      <c r="L749" s="1">
        <v>3330831.8027</v>
      </c>
    </row>
    <row r="750" spans="2:12">
      <c r="B750" s="1" t="s">
        <v>2648</v>
      </c>
      <c r="C750" s="1" t="s">
        <v>771</v>
      </c>
      <c r="D750" s="1" t="s">
        <v>771</v>
      </c>
      <c r="E750" s="1" t="s">
        <v>771</v>
      </c>
      <c r="K750" s="1">
        <v>515120.6631</v>
      </c>
      <c r="L750" s="1">
        <v>3330810.8104</v>
      </c>
    </row>
    <row r="751" spans="2:12">
      <c r="B751" s="1" t="s">
        <v>2648</v>
      </c>
      <c r="C751" s="1" t="s">
        <v>771</v>
      </c>
      <c r="D751" s="1" t="s">
        <v>771</v>
      </c>
      <c r="E751" s="1" t="s">
        <v>771</v>
      </c>
      <c r="K751" s="1">
        <v>515132.0182</v>
      </c>
      <c r="L751" s="1">
        <v>3330807.4715</v>
      </c>
    </row>
    <row r="752" spans="2:12">
      <c r="B752" s="1" t="s">
        <v>2648</v>
      </c>
      <c r="C752" s="1" t="s">
        <v>771</v>
      </c>
      <c r="D752" s="1" t="s">
        <v>771</v>
      </c>
      <c r="E752" s="1" t="s">
        <v>771</v>
      </c>
      <c r="K752" s="1">
        <v>515309.8032</v>
      </c>
      <c r="L752" s="1">
        <v>3330755.1953</v>
      </c>
    </row>
    <row r="753" spans="2:12">
      <c r="B753" s="1" t="s">
        <v>2648</v>
      </c>
      <c r="C753" s="1" t="s">
        <v>771</v>
      </c>
      <c r="D753" s="1" t="s">
        <v>771</v>
      </c>
      <c r="E753" s="1" t="s">
        <v>771</v>
      </c>
      <c r="K753" s="1">
        <v>515328.7754</v>
      </c>
      <c r="L753" s="1">
        <v>3330749.6167</v>
      </c>
    </row>
    <row r="754" spans="2:12">
      <c r="B754" s="1" t="s">
        <v>2648</v>
      </c>
      <c r="C754" s="1" t="s">
        <v>771</v>
      </c>
      <c r="D754" s="1" t="s">
        <v>771</v>
      </c>
      <c r="E754" s="1" t="s">
        <v>771</v>
      </c>
      <c r="K754" s="1">
        <v>515350.2505</v>
      </c>
      <c r="L754" s="1">
        <v>3330723.106</v>
      </c>
    </row>
    <row r="755" spans="2:12">
      <c r="B755" s="1" t="s">
        <v>2648</v>
      </c>
      <c r="C755" s="1" t="s">
        <v>771</v>
      </c>
      <c r="D755" s="1" t="s">
        <v>771</v>
      </c>
      <c r="E755" s="1" t="s">
        <v>771</v>
      </c>
      <c r="K755" s="1">
        <v>515416.6488</v>
      </c>
      <c r="L755" s="1">
        <v>3330641.1381</v>
      </c>
    </row>
    <row r="756" spans="2:12">
      <c r="B756" s="1" t="s">
        <v>2648</v>
      </c>
      <c r="C756" s="1" t="s">
        <v>771</v>
      </c>
      <c r="D756" s="1" t="s">
        <v>771</v>
      </c>
      <c r="E756" s="1" t="s">
        <v>771</v>
      </c>
      <c r="K756" s="1">
        <v>515439.1121</v>
      </c>
      <c r="L756" s="1">
        <v>3330613.4073</v>
      </c>
    </row>
    <row r="757" spans="2:12">
      <c r="B757" s="1" t="s">
        <v>2648</v>
      </c>
      <c r="C757" s="1" t="s">
        <v>771</v>
      </c>
      <c r="D757" s="1" t="s">
        <v>771</v>
      </c>
      <c r="E757" s="1" t="s">
        <v>771</v>
      </c>
      <c r="K757" s="1">
        <v>515451.6537</v>
      </c>
      <c r="L757" s="1">
        <v>3330506.8431</v>
      </c>
    </row>
    <row r="758" spans="2:12">
      <c r="B758" s="1" t="s">
        <v>2648</v>
      </c>
      <c r="C758" s="1" t="s">
        <v>771</v>
      </c>
      <c r="D758" s="1" t="s">
        <v>771</v>
      </c>
      <c r="E758" s="1" t="s">
        <v>771</v>
      </c>
      <c r="K758" s="1">
        <v>515463.9059</v>
      </c>
      <c r="L758" s="1">
        <v>3330480.608</v>
      </c>
    </row>
    <row r="759" spans="2:12">
      <c r="B759" s="1" t="s">
        <v>2648</v>
      </c>
      <c r="C759" s="1" t="s">
        <v>771</v>
      </c>
      <c r="D759" s="1" t="s">
        <v>771</v>
      </c>
      <c r="E759" s="1" t="s">
        <v>771</v>
      </c>
      <c r="K759" s="1">
        <v>515519.5899</v>
      </c>
      <c r="L759" s="1">
        <v>3330361.3745</v>
      </c>
    </row>
    <row r="760" spans="2:12">
      <c r="B760" s="1" t="s">
        <v>2648</v>
      </c>
      <c r="C760" s="1" t="s">
        <v>771</v>
      </c>
      <c r="D760" s="1" t="s">
        <v>771</v>
      </c>
      <c r="E760" s="1" t="s">
        <v>771</v>
      </c>
      <c r="K760" s="1">
        <v>515524.6429</v>
      </c>
      <c r="L760" s="1">
        <v>3330350.5547</v>
      </c>
    </row>
    <row r="761" spans="2:12">
      <c r="B761" s="1" t="s">
        <v>2648</v>
      </c>
      <c r="C761" s="1" t="s">
        <v>771</v>
      </c>
      <c r="D761" s="1" t="s">
        <v>771</v>
      </c>
      <c r="E761" s="1" t="s">
        <v>771</v>
      </c>
      <c r="K761" s="1">
        <v>515564.8397</v>
      </c>
      <c r="L761" s="1">
        <v>3330296.9765</v>
      </c>
    </row>
    <row r="762" spans="2:12">
      <c r="B762" s="1" t="s">
        <v>2648</v>
      </c>
      <c r="C762" s="1" t="s">
        <v>771</v>
      </c>
      <c r="D762" s="1" t="s">
        <v>771</v>
      </c>
      <c r="E762" s="1" t="s">
        <v>771</v>
      </c>
      <c r="K762" s="1">
        <v>515588.2007</v>
      </c>
      <c r="L762" s="1">
        <v>3330187.1526</v>
      </c>
    </row>
    <row r="763" spans="2:12">
      <c r="B763" s="1" t="s">
        <v>2648</v>
      </c>
      <c r="C763" s="1" t="s">
        <v>771</v>
      </c>
      <c r="D763" s="1" t="s">
        <v>771</v>
      </c>
      <c r="E763" s="1" t="s">
        <v>771</v>
      </c>
      <c r="K763" s="1">
        <v>515617.2345</v>
      </c>
      <c r="L763" s="1">
        <v>3330148.1638</v>
      </c>
    </row>
    <row r="764" spans="2:12">
      <c r="B764" s="1" t="s">
        <v>2648</v>
      </c>
      <c r="C764" s="1" t="s">
        <v>771</v>
      </c>
      <c r="D764" s="1" t="s">
        <v>771</v>
      </c>
      <c r="E764" s="1" t="s">
        <v>771</v>
      </c>
      <c r="K764" s="1">
        <v>515673.8281</v>
      </c>
      <c r="L764" s="1">
        <v>3330130.8284</v>
      </c>
    </row>
    <row r="765" spans="2:12">
      <c r="B765" s="1" t="s">
        <v>2648</v>
      </c>
      <c r="C765" s="1" t="s">
        <v>771</v>
      </c>
      <c r="D765" s="1" t="s">
        <v>771</v>
      </c>
      <c r="E765" s="1" t="s">
        <v>771</v>
      </c>
      <c r="K765" s="1">
        <v>515734.3619</v>
      </c>
      <c r="L765" s="1">
        <v>3330123.0303</v>
      </c>
    </row>
    <row r="766" spans="2:12">
      <c r="B766" s="1" t="s">
        <v>2648</v>
      </c>
      <c r="C766" s="1" t="s">
        <v>771</v>
      </c>
      <c r="D766" s="1" t="s">
        <v>771</v>
      </c>
      <c r="E766" s="1" t="s">
        <v>771</v>
      </c>
      <c r="K766" s="1">
        <v>515757.4259</v>
      </c>
      <c r="L766" s="1">
        <v>3330108.4574</v>
      </c>
    </row>
    <row r="767" spans="2:12">
      <c r="B767" s="1" t="s">
        <v>2648</v>
      </c>
      <c r="C767" s="1" t="s">
        <v>771</v>
      </c>
      <c r="D767" s="1" t="s">
        <v>771</v>
      </c>
      <c r="E767" s="1" t="s">
        <v>771</v>
      </c>
      <c r="K767" s="1">
        <v>515992.3431</v>
      </c>
      <c r="L767" s="1">
        <v>3329960.0257</v>
      </c>
    </row>
    <row r="768" spans="2:12">
      <c r="B768" s="1" t="s">
        <v>2648</v>
      </c>
      <c r="C768" s="1" t="s">
        <v>771</v>
      </c>
      <c r="D768" s="1" t="s">
        <v>771</v>
      </c>
      <c r="E768" s="1" t="s">
        <v>771</v>
      </c>
      <c r="K768" s="1">
        <v>516000.1231</v>
      </c>
      <c r="L768" s="1">
        <v>3329923.1115</v>
      </c>
    </row>
    <row r="769" spans="2:12">
      <c r="B769" s="1" t="s">
        <v>2648</v>
      </c>
      <c r="C769" s="1" t="s">
        <v>771</v>
      </c>
      <c r="D769" s="1" t="s">
        <v>771</v>
      </c>
      <c r="E769" s="1" t="s">
        <v>771</v>
      </c>
      <c r="K769" s="1">
        <v>516011.6051</v>
      </c>
      <c r="L769" s="1">
        <v>3329868.6318</v>
      </c>
    </row>
    <row r="770" spans="2:12">
      <c r="B770" s="1" t="s">
        <v>2648</v>
      </c>
      <c r="C770" s="1" t="s">
        <v>771</v>
      </c>
      <c r="D770" s="1" t="s">
        <v>771</v>
      </c>
      <c r="E770" s="1" t="s">
        <v>771</v>
      </c>
      <c r="K770" s="1">
        <v>516034.1957</v>
      </c>
      <c r="L770" s="1">
        <v>3329761.4449</v>
      </c>
    </row>
    <row r="771" spans="2:12">
      <c r="B771" s="1" t="s">
        <v>2648</v>
      </c>
      <c r="C771" s="1" t="s">
        <v>771</v>
      </c>
      <c r="D771" s="1" t="s">
        <v>771</v>
      </c>
      <c r="E771" s="1" t="s">
        <v>771</v>
      </c>
      <c r="K771" s="1">
        <v>516025.3018</v>
      </c>
      <c r="L771" s="1">
        <v>3329725.0722</v>
      </c>
    </row>
    <row r="772" spans="2:12">
      <c r="B772" s="1" t="s">
        <v>2648</v>
      </c>
      <c r="C772" s="1" t="s">
        <v>771</v>
      </c>
      <c r="D772" s="1" t="s">
        <v>771</v>
      </c>
      <c r="E772" s="1" t="s">
        <v>771</v>
      </c>
      <c r="K772" s="1">
        <v>516005.7059</v>
      </c>
      <c r="L772" s="1">
        <v>3329644.9328</v>
      </c>
    </row>
    <row r="773" spans="2:12">
      <c r="B773" s="1" t="s">
        <v>2648</v>
      </c>
      <c r="C773" s="1" t="s">
        <v>771</v>
      </c>
      <c r="D773" s="1" t="s">
        <v>771</v>
      </c>
      <c r="E773" s="1" t="s">
        <v>771</v>
      </c>
      <c r="K773" s="1">
        <v>516016.0041</v>
      </c>
      <c r="L773" s="1">
        <v>3329564.2612</v>
      </c>
    </row>
    <row r="774" spans="2:12">
      <c r="B774" s="1" t="s">
        <v>2648</v>
      </c>
      <c r="C774" s="1" t="s">
        <v>771</v>
      </c>
      <c r="D774" s="1" t="s">
        <v>771</v>
      </c>
      <c r="E774" s="1" t="s">
        <v>771</v>
      </c>
      <c r="K774" s="1">
        <v>516007.2684</v>
      </c>
      <c r="L774" s="1">
        <v>3329505.344</v>
      </c>
    </row>
    <row r="775" spans="2:12">
      <c r="B775" s="1" t="s">
        <v>2648</v>
      </c>
      <c r="C775" s="1" t="s">
        <v>771</v>
      </c>
      <c r="D775" s="1" t="s">
        <v>771</v>
      </c>
      <c r="E775" s="1" t="s">
        <v>771</v>
      </c>
      <c r="K775" s="1">
        <v>516075.8947</v>
      </c>
      <c r="L775" s="1">
        <v>3329433.2794</v>
      </c>
    </row>
    <row r="776" spans="2:12">
      <c r="B776" s="1" t="s">
        <v>2648</v>
      </c>
      <c r="C776" s="1" t="s">
        <v>771</v>
      </c>
      <c r="D776" s="1" t="s">
        <v>771</v>
      </c>
      <c r="E776" s="1" t="s">
        <v>771</v>
      </c>
      <c r="K776" s="1">
        <v>516088.5868</v>
      </c>
      <c r="L776" s="1">
        <v>3329392.9868</v>
      </c>
    </row>
    <row r="777" spans="2:12">
      <c r="B777" s="1" t="s">
        <v>2648</v>
      </c>
      <c r="C777" s="1" t="s">
        <v>771</v>
      </c>
      <c r="D777" s="1" t="s">
        <v>771</v>
      </c>
      <c r="E777" s="1" t="s">
        <v>771</v>
      </c>
      <c r="K777" s="1">
        <v>516105.0702</v>
      </c>
      <c r="L777" s="1">
        <v>3329378.3408</v>
      </c>
    </row>
    <row r="778" spans="2:12">
      <c r="B778" s="1" t="s">
        <v>2648</v>
      </c>
      <c r="C778" s="1" t="s">
        <v>771</v>
      </c>
      <c r="D778" s="1" t="s">
        <v>771</v>
      </c>
      <c r="E778" s="1" t="s">
        <v>771</v>
      </c>
      <c r="K778" s="1">
        <v>516279.998</v>
      </c>
      <c r="L778" s="1">
        <v>3329222.9115</v>
      </c>
    </row>
    <row r="779" spans="2:12">
      <c r="B779" s="1" t="s">
        <v>2648</v>
      </c>
      <c r="C779" s="1" t="s">
        <v>771</v>
      </c>
      <c r="D779" s="1" t="s">
        <v>771</v>
      </c>
      <c r="E779" s="1" t="s">
        <v>771</v>
      </c>
      <c r="K779" s="1">
        <v>516315.153</v>
      </c>
      <c r="L779" s="1">
        <v>3329191.6751</v>
      </c>
    </row>
    <row r="780" spans="2:12">
      <c r="B780" s="1" t="s">
        <v>2648</v>
      </c>
      <c r="C780" s="1" t="s">
        <v>771</v>
      </c>
      <c r="D780" s="1" t="s">
        <v>771</v>
      </c>
      <c r="E780" s="1" t="s">
        <v>771</v>
      </c>
      <c r="K780" s="1">
        <v>516467.2662</v>
      </c>
      <c r="L780" s="1">
        <v>3329056.5174</v>
      </c>
    </row>
    <row r="781" spans="2:12">
      <c r="B781" s="1" t="s">
        <v>2648</v>
      </c>
      <c r="C781" s="1" t="s">
        <v>771</v>
      </c>
      <c r="D781" s="1" t="s">
        <v>771</v>
      </c>
      <c r="E781" s="1" t="s">
        <v>771</v>
      </c>
      <c r="K781" s="1">
        <v>516487.6376</v>
      </c>
      <c r="L781" s="1">
        <v>3329038.4166</v>
      </c>
    </row>
    <row r="782" spans="2:12">
      <c r="B782" s="1" t="s">
        <v>2648</v>
      </c>
      <c r="C782" s="1" t="s">
        <v>771</v>
      </c>
      <c r="D782" s="1" t="s">
        <v>771</v>
      </c>
      <c r="E782" s="1" t="s">
        <v>771</v>
      </c>
    </row>
    <row r="783" spans="2:12">
      <c r="B783" s="1" t="s">
        <v>2648</v>
      </c>
      <c r="C783" s="1" t="s">
        <v>771</v>
      </c>
      <c r="D783" s="1" t="s">
        <v>771</v>
      </c>
      <c r="E783" s="1" t="s">
        <v>771</v>
      </c>
    </row>
    <row r="784" spans="2:12">
      <c r="B784" s="1" t="s">
        <v>2648</v>
      </c>
      <c r="C784" s="1" t="s">
        <v>771</v>
      </c>
      <c r="D784" s="1" t="s">
        <v>771</v>
      </c>
      <c r="E784" s="1" t="s">
        <v>771</v>
      </c>
    </row>
    <row r="785" spans="2:5">
      <c r="B785" s="1" t="s">
        <v>2648</v>
      </c>
      <c r="C785" s="1" t="s">
        <v>771</v>
      </c>
      <c r="D785" s="1" t="s">
        <v>771</v>
      </c>
      <c r="E785" s="1" t="s">
        <v>771</v>
      </c>
    </row>
    <row r="786" spans="2:5">
      <c r="B786" s="1" t="s">
        <v>2648</v>
      </c>
      <c r="C786" s="1" t="s">
        <v>771</v>
      </c>
      <c r="D786" s="1" t="s">
        <v>771</v>
      </c>
      <c r="E786" s="1" t="s">
        <v>771</v>
      </c>
    </row>
    <row r="787" spans="2:5">
      <c r="B787" s="1" t="s">
        <v>2648</v>
      </c>
      <c r="C787" s="1" t="s">
        <v>771</v>
      </c>
      <c r="D787" s="1" t="s">
        <v>771</v>
      </c>
      <c r="E787" s="1" t="s">
        <v>771</v>
      </c>
    </row>
    <row r="788" spans="2:5">
      <c r="B788" s="1" t="s">
        <v>2648</v>
      </c>
      <c r="C788" s="1" t="s">
        <v>771</v>
      </c>
      <c r="D788" s="1" t="s">
        <v>771</v>
      </c>
      <c r="E788" s="1" t="s">
        <v>771</v>
      </c>
    </row>
    <row r="789" spans="2:5">
      <c r="B789" s="1" t="s">
        <v>2648</v>
      </c>
      <c r="C789" s="1" t="s">
        <v>771</v>
      </c>
      <c r="D789" s="1" t="s">
        <v>771</v>
      </c>
      <c r="E789" s="1" t="s">
        <v>771</v>
      </c>
    </row>
    <row r="790" spans="2:5">
      <c r="B790" s="1" t="s">
        <v>2648</v>
      </c>
      <c r="C790" s="1" t="s">
        <v>771</v>
      </c>
      <c r="D790" s="1" t="s">
        <v>771</v>
      </c>
      <c r="E790" s="1" t="s">
        <v>771</v>
      </c>
    </row>
    <row r="791" spans="2:5">
      <c r="B791" s="1" t="s">
        <v>2648</v>
      </c>
      <c r="C791" s="1" t="s">
        <v>771</v>
      </c>
      <c r="D791" s="1" t="s">
        <v>771</v>
      </c>
      <c r="E791" s="1" t="s">
        <v>771</v>
      </c>
    </row>
    <row r="792" spans="2:5">
      <c r="B792" s="1" t="s">
        <v>2648</v>
      </c>
      <c r="C792" s="1" t="s">
        <v>771</v>
      </c>
      <c r="D792" s="1" t="s">
        <v>771</v>
      </c>
      <c r="E792" s="1" t="s">
        <v>771</v>
      </c>
    </row>
    <row r="793" spans="2:5">
      <c r="B793" s="1" t="s">
        <v>2648</v>
      </c>
      <c r="C793" s="1" t="s">
        <v>771</v>
      </c>
      <c r="D793" s="1" t="s">
        <v>771</v>
      </c>
      <c r="E793" s="1" t="s">
        <v>771</v>
      </c>
    </row>
    <row r="794" spans="2:5">
      <c r="B794" s="1" t="s">
        <v>2648</v>
      </c>
      <c r="C794" s="1" t="s">
        <v>771</v>
      </c>
      <c r="D794" s="1" t="s">
        <v>771</v>
      </c>
      <c r="E794" s="1" t="s">
        <v>771</v>
      </c>
    </row>
    <row r="795" spans="2:5">
      <c r="B795" s="1" t="s">
        <v>2648</v>
      </c>
      <c r="C795" s="1" t="s">
        <v>771</v>
      </c>
      <c r="D795" s="1" t="s">
        <v>771</v>
      </c>
      <c r="E795" s="1" t="s">
        <v>771</v>
      </c>
    </row>
    <row r="796" spans="2:5">
      <c r="B796" s="1" t="s">
        <v>2648</v>
      </c>
      <c r="C796" s="1" t="s">
        <v>771</v>
      </c>
      <c r="D796" s="1" t="s">
        <v>771</v>
      </c>
      <c r="E796" s="1" t="s">
        <v>771</v>
      </c>
    </row>
    <row r="797" spans="2:5">
      <c r="B797" s="1" t="s">
        <v>2648</v>
      </c>
      <c r="C797" s="1" t="s">
        <v>771</v>
      </c>
      <c r="D797" s="1" t="s">
        <v>771</v>
      </c>
      <c r="E797" s="1" t="s">
        <v>771</v>
      </c>
    </row>
    <row r="798" spans="2:5">
      <c r="B798" s="1" t="s">
        <v>2648</v>
      </c>
      <c r="C798" s="1" t="s">
        <v>771</v>
      </c>
      <c r="D798" s="1" t="s">
        <v>771</v>
      </c>
      <c r="E798" s="1" t="s">
        <v>771</v>
      </c>
    </row>
    <row r="799" spans="2:5">
      <c r="B799" s="1" t="s">
        <v>2648</v>
      </c>
      <c r="C799" s="1" t="s">
        <v>771</v>
      </c>
      <c r="D799" s="1" t="s">
        <v>771</v>
      </c>
      <c r="E799" s="1" t="s">
        <v>771</v>
      </c>
    </row>
    <row r="800" spans="2:5">
      <c r="B800" s="1" t="s">
        <v>2648</v>
      </c>
      <c r="C800" s="1" t="s">
        <v>771</v>
      </c>
      <c r="D800" s="1" t="s">
        <v>771</v>
      </c>
      <c r="E800" s="1" t="s">
        <v>771</v>
      </c>
    </row>
    <row r="801" spans="2:5">
      <c r="B801" s="1" t="s">
        <v>2648</v>
      </c>
      <c r="C801" s="1" t="s">
        <v>771</v>
      </c>
      <c r="D801" s="1" t="s">
        <v>771</v>
      </c>
      <c r="E801" s="1" t="s">
        <v>771</v>
      </c>
    </row>
    <row r="802" spans="2:5">
      <c r="B802" s="1" t="s">
        <v>2648</v>
      </c>
      <c r="C802" s="1" t="s">
        <v>771</v>
      </c>
      <c r="D802" s="1" t="s">
        <v>771</v>
      </c>
      <c r="E802" s="1" t="s">
        <v>771</v>
      </c>
    </row>
    <row r="803" spans="2:5">
      <c r="B803" s="1" t="s">
        <v>2648</v>
      </c>
      <c r="C803" s="1" t="s">
        <v>771</v>
      </c>
      <c r="D803" s="1" t="s">
        <v>771</v>
      </c>
      <c r="E803" s="1" t="s">
        <v>771</v>
      </c>
    </row>
    <row r="804" spans="2:5">
      <c r="B804" s="1" t="s">
        <v>2648</v>
      </c>
      <c r="C804" s="1" t="s">
        <v>771</v>
      </c>
      <c r="D804" s="1" t="s">
        <v>771</v>
      </c>
      <c r="E804" s="1" t="s">
        <v>771</v>
      </c>
    </row>
  </sheetData>
  <sortState ref="B2:E434">
    <sortCondition ref="B2:B434"/>
  </sortState>
  <mergeCells count="3">
    <mergeCell ref="O2:O3"/>
    <mergeCell ref="O4:O11"/>
    <mergeCell ref="P2:P3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Q402"/>
  <sheetViews>
    <sheetView topLeftCell="A229" workbookViewId="0">
      <selection activeCell="J374" sqref="J374"/>
    </sheetView>
  </sheetViews>
  <sheetFormatPr defaultColWidth="9" defaultRowHeight="13.8"/>
  <cols>
    <col min="1" max="2" width="9" style="10"/>
    <col min="3" max="3" width="16.5555555555556" style="10" customWidth="1"/>
    <col min="4" max="5" width="15.2222222222222" style="10" customWidth="1"/>
    <col min="6" max="6" width="9.44444444444444" style="10" customWidth="1"/>
    <col min="7" max="7" width="10.1111111111111" style="10" customWidth="1"/>
    <col min="8" max="9" width="12.8888888888889" style="10"/>
    <col min="10" max="11" width="15" style="10" customWidth="1"/>
    <col min="12" max="12" width="13.1111111111111" style="10" customWidth="1"/>
    <col min="13" max="13" width="14.3333333333333" style="10" customWidth="1"/>
    <col min="14" max="14" width="12" style="10" customWidth="1"/>
    <col min="15" max="15" width="13.4444444444444" style="10" customWidth="1"/>
    <col min="16" max="17" width="12.8888888888889" style="10" customWidth="1"/>
    <col min="18" max="16384" width="9" style="10"/>
  </cols>
  <sheetData>
    <row r="1" spans="3:17">
      <c r="C1" s="10" t="s">
        <v>771</v>
      </c>
      <c r="D1" s="10" t="s">
        <v>771</v>
      </c>
      <c r="E1" s="10" t="s">
        <v>772</v>
      </c>
      <c r="F1" s="10" t="s">
        <v>773</v>
      </c>
      <c r="G1" s="10" t="s">
        <v>774</v>
      </c>
      <c r="H1" s="10" t="s">
        <v>775</v>
      </c>
      <c r="I1" s="10" t="s">
        <v>776</v>
      </c>
      <c r="J1" s="10" t="s">
        <v>777</v>
      </c>
      <c r="K1" s="10" t="s">
        <v>778</v>
      </c>
      <c r="L1" s="10" t="s">
        <v>779</v>
      </c>
      <c r="M1" s="10" t="s">
        <v>780</v>
      </c>
    </row>
    <row r="2" spans="3:17">
      <c r="C2" s="1" t="s">
        <v>80</v>
      </c>
      <c r="D2" s="10">
        <v>453584.7811</v>
      </c>
      <c r="E2" s="10">
        <v>3392291.2298</v>
      </c>
      <c r="F2" s="10">
        <v>0</v>
      </c>
      <c r="G2" s="10">
        <v>0</v>
      </c>
      <c r="H2" s="10">
        <f>F2*TAN(PI()/180*G2/2)</f>
        <v>0</v>
      </c>
      <c r="I2" s="10">
        <f>F2*G2/180*PI()</f>
        <v>0</v>
      </c>
      <c r="J2" s="10">
        <v>0</v>
      </c>
      <c r="K2" s="11">
        <v>0</v>
      </c>
      <c r="L2" s="11">
        <v>0</v>
      </c>
      <c r="M2" s="11">
        <f>K2+I2</f>
        <v>0</v>
      </c>
    </row>
    <row r="3" spans="3:17">
      <c r="C3" s="1" t="s">
        <v>815</v>
      </c>
      <c r="D3" s="10">
        <v>453690.0395</v>
      </c>
      <c r="E3" s="10">
        <v>3392190.0841</v>
      </c>
      <c r="F3" s="10">
        <v>20</v>
      </c>
      <c r="G3" s="10">
        <f t="shared" ref="G3:G8" si="0">ROUND(IF((2*SQRT((D2-D3)^2+(E2-E3)^2)*SQRT((D4-D3)^2+(E4-E3)^2))=0,0,180-ACOS(((D2-D3)^2+(E2-E3)^2+(D4-D3)^2+(E4-E3)^2-(D4-D2)^2-(E4-E2)^2)/(2*SQRT((D2-D3)^2+(E2-E3)^2)*SQRT((D4-D3)^2+(E4-E3)^2)))/PI()*180),3)</f>
        <v>49.263</v>
      </c>
      <c r="H3" s="10">
        <f t="shared" ref="H3:H8" si="1">F3*TAN(PI()/180*G3/2)</f>
        <v>9.17001866553919</v>
      </c>
      <c r="I3" s="10">
        <f t="shared" ref="I3:I8" si="2">F3*G3/180*PI()</f>
        <v>17.1960309881993</v>
      </c>
      <c r="J3" s="10">
        <f>SQRT((D3-D2)^2+(E3-E2)^2)</f>
        <v>145.978708718086</v>
      </c>
      <c r="K3" s="11">
        <f t="shared" ref="K3:K8" si="3">L3-I3/2</f>
        <v>136.808690052547</v>
      </c>
      <c r="L3" s="11">
        <f>L2+J3-H3+I3/2+I2/2-H2</f>
        <v>145.406705546647</v>
      </c>
      <c r="M3" s="11">
        <f t="shared" ref="M3:M8" si="4">K3+I3</f>
        <v>154.004721040746</v>
      </c>
      <c r="P3" s="10">
        <v>453584.7811</v>
      </c>
      <c r="Q3" s="10">
        <v>3392291.2298</v>
      </c>
    </row>
    <row r="4" spans="3:17">
      <c r="C4" s="1" t="s">
        <v>816</v>
      </c>
      <c r="D4" s="10">
        <v>453919.1821</v>
      </c>
      <c r="E4" s="10">
        <v>3392211.7643</v>
      </c>
      <c r="F4" s="10">
        <v>20</v>
      </c>
      <c r="G4" s="10">
        <f t="shared" si="0"/>
        <v>39.451</v>
      </c>
      <c r="H4" s="10">
        <f t="shared" si="1"/>
        <v>7.17108066941161</v>
      </c>
      <c r="I4" s="10">
        <f t="shared" si="2"/>
        <v>13.7709968640857</v>
      </c>
      <c r="J4" s="10">
        <f t="shared" ref="J4:J8" si="5">SQRT((D4-D3)^2+(E4-E3)^2)</f>
        <v>230.165944932728</v>
      </c>
      <c r="K4" s="11">
        <f t="shared" si="3"/>
        <v>367.829566638523</v>
      </c>
      <c r="L4" s="11">
        <f t="shared" ref="L4:L8" si="6">L3+J4-H4+I4/2+I3/2-H3</f>
        <v>374.715065070566</v>
      </c>
      <c r="M4" s="11">
        <f t="shared" si="4"/>
        <v>381.600563502609</v>
      </c>
      <c r="P4" s="10">
        <v>453690.0395</v>
      </c>
      <c r="Q4" s="10">
        <v>3392190.0841</v>
      </c>
    </row>
    <row r="5" spans="3:17">
      <c r="C5" s="1" t="s">
        <v>817</v>
      </c>
      <c r="D5" s="10">
        <v>454680.7167</v>
      </c>
      <c r="E5" s="10">
        <v>3391697.2134</v>
      </c>
      <c r="F5" s="10">
        <v>0</v>
      </c>
      <c r="G5" s="10">
        <f t="shared" si="0"/>
        <v>13.645</v>
      </c>
      <c r="H5" s="10">
        <f t="shared" si="1"/>
        <v>0</v>
      </c>
      <c r="I5" s="10">
        <f t="shared" si="2"/>
        <v>0</v>
      </c>
      <c r="J5" s="10">
        <f t="shared" si="5"/>
        <v>919.074303681777</v>
      </c>
      <c r="K5" s="11">
        <f t="shared" si="3"/>
        <v>1293.50378651497</v>
      </c>
      <c r="L5" s="11">
        <f t="shared" si="6"/>
        <v>1293.50378651497</v>
      </c>
      <c r="M5" s="11">
        <f t="shared" si="4"/>
        <v>1293.50378651497</v>
      </c>
      <c r="P5" s="10">
        <v>453919.1821</v>
      </c>
      <c r="Q5" s="10">
        <v>3392211.7643</v>
      </c>
    </row>
    <row r="6" spans="3:17">
      <c r="C6" s="1" t="s">
        <v>821</v>
      </c>
      <c r="D6" s="10">
        <v>455323.8452</v>
      </c>
      <c r="E6" s="10">
        <v>3391458.0205</v>
      </c>
      <c r="F6" s="10">
        <v>20</v>
      </c>
      <c r="G6" s="10">
        <f t="shared" si="0"/>
        <v>55.092</v>
      </c>
      <c r="H6" s="10">
        <f t="shared" si="1"/>
        <v>10.4317578727124</v>
      </c>
      <c r="I6" s="10">
        <f t="shared" si="2"/>
        <v>19.2307358301743</v>
      </c>
      <c r="J6" s="10">
        <f t="shared" si="5"/>
        <v>686.168718991542</v>
      </c>
      <c r="K6" s="11">
        <f t="shared" si="3"/>
        <v>1969.2407476338</v>
      </c>
      <c r="L6" s="11">
        <f t="shared" si="6"/>
        <v>1978.85611554889</v>
      </c>
      <c r="M6" s="11">
        <f t="shared" si="4"/>
        <v>1988.47148346398</v>
      </c>
      <c r="P6" s="10">
        <v>454680.7167</v>
      </c>
      <c r="Q6" s="10">
        <v>3391697.2134</v>
      </c>
    </row>
    <row r="7" spans="3:17">
      <c r="C7" s="1" t="s">
        <v>822</v>
      </c>
      <c r="D7" s="10">
        <v>455357.5071</v>
      </c>
      <c r="E7" s="10">
        <v>3391327.9196</v>
      </c>
      <c r="F7" s="10">
        <v>20</v>
      </c>
      <c r="G7" s="10">
        <f t="shared" si="0"/>
        <v>25.908</v>
      </c>
      <c r="H7" s="10">
        <f t="shared" si="1"/>
        <v>4.60045408242276</v>
      </c>
      <c r="I7" s="10">
        <f t="shared" si="2"/>
        <v>9.04359805213382</v>
      </c>
      <c r="J7" s="10">
        <f t="shared" si="5"/>
        <v>134.385146844472</v>
      </c>
      <c r="K7" s="11">
        <f t="shared" si="3"/>
        <v>2107.82441835331</v>
      </c>
      <c r="L7" s="11">
        <f t="shared" si="6"/>
        <v>2112.34621737938</v>
      </c>
      <c r="M7" s="11">
        <f t="shared" si="4"/>
        <v>2116.86801640545</v>
      </c>
      <c r="P7" s="10">
        <v>455323.8452</v>
      </c>
      <c r="Q7" s="10">
        <v>3391458.0205</v>
      </c>
    </row>
    <row r="8" spans="3:17">
      <c r="C8" s="1" t="s">
        <v>823</v>
      </c>
      <c r="D8" s="10">
        <v>455428.4972</v>
      </c>
      <c r="E8" s="10">
        <v>3391244.5485</v>
      </c>
      <c r="F8" s="10">
        <v>20</v>
      </c>
      <c r="G8" s="10">
        <f t="shared" si="0"/>
        <v>19.073</v>
      </c>
      <c r="H8" s="10">
        <f t="shared" si="1"/>
        <v>3.35995127388028</v>
      </c>
      <c r="I8" s="10">
        <f t="shared" si="2"/>
        <v>6.65773296465757</v>
      </c>
      <c r="J8" s="10">
        <f t="shared" si="5"/>
        <v>109.500386361131</v>
      </c>
      <c r="K8" s="11">
        <f t="shared" si="3"/>
        <v>2218.40799741028</v>
      </c>
      <c r="L8" s="11">
        <f t="shared" si="6"/>
        <v>2221.73686389261</v>
      </c>
      <c r="M8" s="11">
        <f t="shared" si="4"/>
        <v>2225.06573037493</v>
      </c>
      <c r="P8" s="10">
        <v>455357.5071</v>
      </c>
      <c r="Q8" s="10">
        <v>3391327.9196</v>
      </c>
    </row>
    <row r="9" spans="3:17">
      <c r="C9" s="1" t="s">
        <v>82</v>
      </c>
      <c r="D9" s="10">
        <v>455557.972</v>
      </c>
      <c r="E9" s="10">
        <v>3391168.2421</v>
      </c>
      <c r="F9" s="10">
        <v>0</v>
      </c>
      <c r="G9" s="10">
        <f t="shared" ref="G9" si="7">ROUND(IF((2*SQRT((D8-D9)^2+(E8-E9)^2)*SQRT((D10-D9)^2+(E10-E9)^2))=0,0,180-ACOS(((D8-D9)^2+(E8-E9)^2+(D10-D9)^2+(E10-E9)^2-(D10-D8)^2-(E10-E8)^2)/(2*SQRT((D8-D9)^2+(E8-E9)^2)*SQRT((D10-D9)^2+(E10-E9)^2)))/PI()*180),3)</f>
        <v>11.877</v>
      </c>
      <c r="H9" s="10">
        <f t="shared" ref="H9:H10" si="8">F9*TAN(PI()/180*G9/2)</f>
        <v>0</v>
      </c>
      <c r="I9" s="10">
        <f t="shared" ref="I9:I10" si="9">F9*G9/180*PI()</f>
        <v>0</v>
      </c>
      <c r="J9" s="10">
        <f t="shared" ref="J9:J10" si="10">SQRT((D9-D8)^2+(E9-E8)^2)</f>
        <v>150.287692496839</v>
      </c>
      <c r="K9" s="11">
        <f t="shared" ref="K9:K10" si="11">L9-I9/2</f>
        <v>2371.99347159789</v>
      </c>
      <c r="L9" s="11">
        <f t="shared" ref="L9:L10" si="12">L8+J9-H9+I9/2+I8/2-H8</f>
        <v>2371.99347159789</v>
      </c>
      <c r="M9" s="11">
        <f t="shared" ref="M9:M10" si="13">K9+I9</f>
        <v>2371.99347159789</v>
      </c>
      <c r="P9" s="10">
        <v>455428.4972</v>
      </c>
      <c r="Q9" s="10">
        <v>3391244.5485</v>
      </c>
    </row>
    <row r="10" spans="3:17">
      <c r="C10" s="1" t="s">
        <v>81</v>
      </c>
      <c r="D10" s="10">
        <v>455565.152</v>
      </c>
      <c r="E10" s="10">
        <v>3391161.6881</v>
      </c>
      <c r="F10" s="10">
        <v>0</v>
      </c>
      <c r="G10" s="10">
        <v>0</v>
      </c>
      <c r="H10" s="10">
        <f t="shared" si="8"/>
        <v>0</v>
      </c>
      <c r="I10" s="10">
        <f t="shared" si="9"/>
        <v>0</v>
      </c>
      <c r="J10" s="10">
        <f t="shared" si="10"/>
        <v>9.72148733476254</v>
      </c>
      <c r="K10" s="11">
        <f t="shared" si="11"/>
        <v>2381.71495893266</v>
      </c>
      <c r="L10" s="11">
        <f t="shared" si="12"/>
        <v>2381.71495893266</v>
      </c>
      <c r="M10" s="11">
        <f t="shared" si="13"/>
        <v>2381.71495893266</v>
      </c>
      <c r="P10" s="10">
        <v>455557.972</v>
      </c>
      <c r="Q10" s="10">
        <v>3391168.2421</v>
      </c>
    </row>
    <row r="11" spans="3:17">
      <c r="C11" s="12"/>
      <c r="D11" s="13"/>
      <c r="E11" s="13"/>
      <c r="F11" s="12"/>
      <c r="G11" s="12"/>
      <c r="H11" s="12"/>
      <c r="I11" s="12"/>
      <c r="J11" s="12"/>
      <c r="K11" s="14"/>
      <c r="L11" s="14"/>
      <c r="M11" s="14"/>
      <c r="P11" s="10">
        <v>455565.152</v>
      </c>
      <c r="Q11" s="10">
        <v>3391161.6881</v>
      </c>
    </row>
    <row r="12" spans="3:17">
      <c r="D12" s="15"/>
      <c r="E12" s="15"/>
      <c r="K12" s="11"/>
      <c r="L12" s="11"/>
      <c r="M12" s="11"/>
    </row>
    <row r="13" spans="3:17">
      <c r="D13" s="15"/>
      <c r="E13" s="15"/>
      <c r="K13" s="11"/>
      <c r="L13" s="11"/>
      <c r="M13" s="11"/>
    </row>
    <row r="14" spans="3:17">
      <c r="D14" s="15"/>
      <c r="E14" s="15"/>
      <c r="K14" s="11"/>
      <c r="L14" s="11"/>
      <c r="M14" s="11"/>
    </row>
    <row r="15" spans="3:17">
      <c r="C15" s="1" t="s">
        <v>1</v>
      </c>
      <c r="D15" s="1" t="s">
        <v>872</v>
      </c>
      <c r="E15" s="1"/>
      <c r="F15" s="1" t="s">
        <v>873</v>
      </c>
      <c r="G15" s="1"/>
      <c r="H15" s="1"/>
      <c r="I15" s="1"/>
      <c r="K15" s="1" t="s">
        <v>806</v>
      </c>
      <c r="L15" s="1"/>
      <c r="M15" s="1"/>
    </row>
    <row r="16" spans="3:17">
      <c r="C16" s="1"/>
      <c r="D16" s="1" t="s">
        <v>875</v>
      </c>
      <c r="E16" s="1" t="s">
        <v>876</v>
      </c>
      <c r="F16" s="1" t="s">
        <v>880</v>
      </c>
      <c r="G16" s="1" t="s">
        <v>879</v>
      </c>
      <c r="H16" s="1" t="s">
        <v>881</v>
      </c>
      <c r="I16" s="1" t="s">
        <v>882</v>
      </c>
      <c r="J16" s="1"/>
      <c r="K16" s="1" t="s">
        <v>877</v>
      </c>
      <c r="L16" s="1" t="s">
        <v>2649</v>
      </c>
      <c r="M16" s="1" t="s">
        <v>878</v>
      </c>
    </row>
    <row r="17" spans="3:17">
      <c r="C17" s="10" t="s">
        <v>2650</v>
      </c>
      <c r="D17" s="16">
        <v>455589.9069</v>
      </c>
      <c r="E17" s="16">
        <v>3391139.0913</v>
      </c>
      <c r="F17" s="10">
        <v>0</v>
      </c>
      <c r="G17" s="17">
        <v>0</v>
      </c>
      <c r="H17" s="17">
        <f t="shared" ref="H17:H26" si="14">F17*TAN(PI()/180*G17/2)</f>
        <v>0</v>
      </c>
      <c r="I17" s="17">
        <f t="shared" ref="I17:I26" si="15">F17*G17/180*PI()</f>
        <v>0</v>
      </c>
      <c r="J17" s="10">
        <v>0</v>
      </c>
      <c r="K17" s="18">
        <v>21473.9</v>
      </c>
      <c r="L17" s="18">
        <v>21473.9</v>
      </c>
      <c r="M17" s="18">
        <f t="shared" ref="M17:M26" si="16">K17+I17</f>
        <v>21473.9</v>
      </c>
      <c r="P17" s="10">
        <v>455589.9069</v>
      </c>
      <c r="Q17" s="10">
        <v>3391139.0913</v>
      </c>
    </row>
    <row r="18" spans="3:17">
      <c r="C18" s="10" t="s">
        <v>86</v>
      </c>
      <c r="D18" s="16">
        <v>455660.571</v>
      </c>
      <c r="E18" s="16">
        <v>3391074.5876</v>
      </c>
      <c r="F18" s="10">
        <v>20</v>
      </c>
      <c r="G18" s="17">
        <f t="shared" ref="G17:G26" si="17">ROUND(IF((2*SQRT((D17-D18)^2+(E17-E18)^2)*SQRT((D19-D18)^2+(E19-E18)^2))=0,0,180-ACOS(((D17-D18)^2+(E17-E18)^2+(D19-D18)^2+(E19-E18)^2-(D19-D17)^2-(E19-E17)^2)/(2*SQRT((D17-D18)^2+(E17-E18)^2)*SQRT((D19-D18)^2+(E19-E18)^2)))/PI()*180),3)</f>
        <v>25.715</v>
      </c>
      <c r="H18" s="17">
        <f t="shared" si="14"/>
        <v>4.56500064886998</v>
      </c>
      <c r="I18" s="17">
        <f t="shared" si="15"/>
        <v>8.97622834300684</v>
      </c>
      <c r="J18" s="10">
        <f t="shared" ref="J17:J26" si="18">SQRT((D18-D17)^2+(E18-E17)^2)</f>
        <v>95.6772822694569</v>
      </c>
      <c r="K18" s="18">
        <f t="shared" ref="K17:K26" si="19">L18-I18/2</f>
        <v>21565.0122816206</v>
      </c>
      <c r="L18" s="18">
        <f t="shared" ref="L17:L26" si="20">L17+J18-H18+I18/2+I17/2-H17</f>
        <v>21569.5003957921</v>
      </c>
      <c r="M18" s="18">
        <f t="shared" si="16"/>
        <v>21573.9885099636</v>
      </c>
      <c r="P18" s="10">
        <v>455660.571</v>
      </c>
      <c r="Q18" s="10">
        <v>3391074.5876</v>
      </c>
    </row>
    <row r="19" spans="3:17">
      <c r="C19" s="10" t="s">
        <v>87</v>
      </c>
      <c r="D19" s="16">
        <v>455743.1634</v>
      </c>
      <c r="E19" s="16">
        <v>3390869.0748</v>
      </c>
      <c r="F19" s="10">
        <v>20</v>
      </c>
      <c r="G19" s="17">
        <f t="shared" si="17"/>
        <v>48.018</v>
      </c>
      <c r="H19" s="17">
        <f t="shared" si="14"/>
        <v>8.90833831559599</v>
      </c>
      <c r="I19" s="17">
        <f t="shared" si="15"/>
        <v>16.7614440044527</v>
      </c>
      <c r="J19" s="10">
        <f t="shared" si="18"/>
        <v>221.488183661482</v>
      </c>
      <c r="K19" s="18">
        <f t="shared" si="19"/>
        <v>21782.0033546606</v>
      </c>
      <c r="L19" s="18">
        <f t="shared" si="20"/>
        <v>21790.3840766628</v>
      </c>
      <c r="M19" s="18">
        <f t="shared" si="16"/>
        <v>21798.7647986651</v>
      </c>
      <c r="P19" s="10">
        <v>455743.1634</v>
      </c>
      <c r="Q19" s="10">
        <v>3390869.0748</v>
      </c>
    </row>
    <row r="20" spans="3:17">
      <c r="C20" s="10" t="s">
        <v>88</v>
      </c>
      <c r="D20" s="16">
        <v>456407.9626</v>
      </c>
      <c r="E20" s="16">
        <v>3390625.9498</v>
      </c>
      <c r="F20" s="10">
        <v>20</v>
      </c>
      <c r="G20" s="17">
        <f t="shared" si="17"/>
        <v>24.207</v>
      </c>
      <c r="H20" s="17">
        <f t="shared" si="14"/>
        <v>4.28890638220134</v>
      </c>
      <c r="I20" s="17">
        <f t="shared" si="15"/>
        <v>8.44983704060535</v>
      </c>
      <c r="J20" s="10">
        <f t="shared" si="18"/>
        <v>707.861386110057</v>
      </c>
      <c r="K20" s="18">
        <f t="shared" si="19"/>
        <v>22493.4289400773</v>
      </c>
      <c r="L20" s="18">
        <f t="shared" si="20"/>
        <v>22497.6538585976</v>
      </c>
      <c r="M20" s="18">
        <f t="shared" si="16"/>
        <v>22501.8787771179</v>
      </c>
      <c r="P20" s="10">
        <v>456407.9626</v>
      </c>
      <c r="Q20" s="10">
        <v>3390625.9498</v>
      </c>
    </row>
    <row r="21" spans="3:17">
      <c r="C21" s="10" t="s">
        <v>89</v>
      </c>
      <c r="D21" s="16">
        <v>456638.225</v>
      </c>
      <c r="E21" s="16">
        <v>3390401.2871</v>
      </c>
      <c r="F21" s="10">
        <v>20</v>
      </c>
      <c r="G21" s="17">
        <f t="shared" si="17"/>
        <v>22.904</v>
      </c>
      <c r="H21" s="17">
        <f t="shared" si="14"/>
        <v>4.05160025343104</v>
      </c>
      <c r="I21" s="17">
        <f t="shared" si="15"/>
        <v>7.99500423753562</v>
      </c>
      <c r="J21" s="10">
        <f t="shared" si="18"/>
        <v>321.704991607412</v>
      </c>
      <c r="K21" s="18">
        <f t="shared" si="19"/>
        <v>22815.2432620897</v>
      </c>
      <c r="L21" s="18">
        <f t="shared" si="20"/>
        <v>22819.2407642085</v>
      </c>
      <c r="M21" s="18">
        <f t="shared" si="16"/>
        <v>22823.2382663273</v>
      </c>
      <c r="P21" s="10">
        <v>456638.225</v>
      </c>
      <c r="Q21" s="10">
        <v>3390401.2871</v>
      </c>
    </row>
    <row r="22" spans="3:17">
      <c r="C22" s="10" t="s">
        <v>90</v>
      </c>
      <c r="D22" s="16">
        <v>456773.1372</v>
      </c>
      <c r="E22" s="16">
        <v>3390348.4419</v>
      </c>
      <c r="F22" s="10">
        <v>20</v>
      </c>
      <c r="G22" s="17">
        <f t="shared" si="17"/>
        <v>14.39</v>
      </c>
      <c r="H22" s="17">
        <f t="shared" si="14"/>
        <v>2.52481440530882</v>
      </c>
      <c r="I22" s="17">
        <f t="shared" si="15"/>
        <v>5.02305758723968</v>
      </c>
      <c r="J22" s="10">
        <f t="shared" si="18"/>
        <v>144.892777155631</v>
      </c>
      <c r="K22" s="18">
        <f t="shared" si="19"/>
        <v>22961.5546288241</v>
      </c>
      <c r="L22" s="18">
        <f t="shared" si="20"/>
        <v>22964.0661576178</v>
      </c>
      <c r="M22" s="18">
        <f t="shared" si="16"/>
        <v>22966.5776864114</v>
      </c>
      <c r="P22" s="10">
        <v>456773.1372</v>
      </c>
      <c r="Q22" s="10">
        <v>3390348.4419</v>
      </c>
    </row>
    <row r="23" spans="3:17">
      <c r="C23" s="10" t="s">
        <v>91</v>
      </c>
      <c r="D23" s="16">
        <v>457019.6671</v>
      </c>
      <c r="E23" s="16">
        <v>3390170.7684</v>
      </c>
      <c r="F23" s="10">
        <v>20</v>
      </c>
      <c r="G23" s="17">
        <f t="shared" si="17"/>
        <v>42.167</v>
      </c>
      <c r="H23" s="17">
        <f t="shared" si="14"/>
        <v>7.71074129836353</v>
      </c>
      <c r="I23" s="17">
        <f t="shared" si="15"/>
        <v>14.719059713769</v>
      </c>
      <c r="J23" s="10">
        <f t="shared" si="18"/>
        <v>303.882977799487</v>
      </c>
      <c r="K23" s="18">
        <f t="shared" si="19"/>
        <v>23260.2251085072</v>
      </c>
      <c r="L23" s="18">
        <f t="shared" si="20"/>
        <v>23267.5846383641</v>
      </c>
      <c r="M23" s="18">
        <f t="shared" si="16"/>
        <v>23274.944168221</v>
      </c>
      <c r="P23" s="10">
        <v>457019.6671</v>
      </c>
      <c r="Q23" s="10">
        <v>3390170.7684</v>
      </c>
    </row>
    <row r="24" spans="3:17">
      <c r="C24" s="10" t="s">
        <v>92</v>
      </c>
      <c r="D24" s="16">
        <v>457051.1221</v>
      </c>
      <c r="E24" s="16">
        <v>3390023.4491</v>
      </c>
      <c r="F24" s="10">
        <v>20</v>
      </c>
      <c r="G24" s="17">
        <f t="shared" si="17"/>
        <v>41.887</v>
      </c>
      <c r="H24" s="17">
        <f t="shared" si="14"/>
        <v>7.654660934445</v>
      </c>
      <c r="I24" s="17">
        <f t="shared" si="15"/>
        <v>14.6213212756573</v>
      </c>
      <c r="J24" s="10">
        <f t="shared" si="18"/>
        <v>150.639945490942</v>
      </c>
      <c r="K24" s="18">
        <f t="shared" si="19"/>
        <v>23410.2187114791</v>
      </c>
      <c r="L24" s="18">
        <f t="shared" si="20"/>
        <v>23417.5293721169</v>
      </c>
      <c r="M24" s="18">
        <f t="shared" si="16"/>
        <v>23424.8400327548</v>
      </c>
      <c r="P24" s="10">
        <v>457051.1221</v>
      </c>
      <c r="Q24" s="10">
        <v>3390023.4491</v>
      </c>
    </row>
    <row r="25" spans="3:17">
      <c r="C25" s="10" t="s">
        <v>93</v>
      </c>
      <c r="D25" s="16">
        <v>457422.3435</v>
      </c>
      <c r="E25" s="16">
        <v>3389753.1397</v>
      </c>
      <c r="F25" s="10">
        <v>20</v>
      </c>
      <c r="G25" s="17">
        <f t="shared" si="17"/>
        <v>47.725</v>
      </c>
      <c r="H25" s="17">
        <f t="shared" si="14"/>
        <v>8.84712413578284</v>
      </c>
      <c r="I25" s="17">
        <f t="shared" si="15"/>
        <v>16.6591677102859</v>
      </c>
      <c r="J25" s="10">
        <f t="shared" si="18"/>
        <v>459.208557788479</v>
      </c>
      <c r="K25" s="18">
        <f t="shared" si="19"/>
        <v>23867.546805473</v>
      </c>
      <c r="L25" s="18">
        <f t="shared" si="20"/>
        <v>23875.8763893282</v>
      </c>
      <c r="M25" s="18">
        <f t="shared" si="16"/>
        <v>23884.2059731833</v>
      </c>
      <c r="P25" s="10">
        <v>457422.3435</v>
      </c>
      <c r="Q25" s="10">
        <v>3389753.1397</v>
      </c>
    </row>
    <row r="26" spans="3:17">
      <c r="C26" s="10" t="s">
        <v>2651</v>
      </c>
      <c r="D26" s="16">
        <v>457700.5573</v>
      </c>
      <c r="E26" s="16">
        <v>3389810.5718</v>
      </c>
      <c r="F26" s="10">
        <v>0</v>
      </c>
      <c r="G26" s="17">
        <v>0</v>
      </c>
      <c r="H26" s="17">
        <f t="shared" si="14"/>
        <v>0</v>
      </c>
      <c r="I26" s="17">
        <f t="shared" si="15"/>
        <v>0</v>
      </c>
      <c r="J26" s="10">
        <f t="shared" si="18"/>
        <v>284.079856063073</v>
      </c>
      <c r="K26" s="18">
        <f t="shared" si="19"/>
        <v>24159.4387051106</v>
      </c>
      <c r="L26" s="18">
        <f t="shared" si="20"/>
        <v>24159.4387051106</v>
      </c>
      <c r="M26" s="18">
        <f t="shared" si="16"/>
        <v>24159.4387051106</v>
      </c>
      <c r="P26" s="10">
        <v>457700.5573</v>
      </c>
      <c r="Q26" s="10">
        <v>3389810.5718</v>
      </c>
    </row>
    <row r="28" spans="3:17">
      <c r="C28" s="1" t="s">
        <v>1</v>
      </c>
      <c r="D28" s="1" t="s">
        <v>872</v>
      </c>
      <c r="E28" s="1"/>
      <c r="F28" s="1" t="s">
        <v>873</v>
      </c>
      <c r="G28" s="1"/>
      <c r="H28" s="1"/>
      <c r="I28" s="1"/>
      <c r="J28" s="1" t="s">
        <v>806</v>
      </c>
      <c r="K28" s="1"/>
    </row>
    <row r="29" spans="3:17">
      <c r="C29" s="1"/>
      <c r="D29" s="1" t="s">
        <v>875</v>
      </c>
      <c r="E29" s="1" t="s">
        <v>876</v>
      </c>
      <c r="F29" s="1" t="s">
        <v>880</v>
      </c>
      <c r="G29" s="1" t="s">
        <v>879</v>
      </c>
      <c r="H29" s="1" t="s">
        <v>881</v>
      </c>
      <c r="I29" s="1" t="s">
        <v>882</v>
      </c>
      <c r="J29" s="1" t="s">
        <v>877</v>
      </c>
      <c r="K29" s="1" t="s">
        <v>878</v>
      </c>
    </row>
    <row r="30" spans="3:17">
      <c r="C30" s="1" t="s">
        <v>2650</v>
      </c>
      <c r="D30" s="19">
        <v>455589.9069</v>
      </c>
      <c r="E30" s="19">
        <v>3391139.0913</v>
      </c>
      <c r="F30" s="1">
        <v>0</v>
      </c>
      <c r="G30" s="6">
        <v>0</v>
      </c>
      <c r="H30" s="6">
        <f>F30*TAN(PI()/180*G30/2)</f>
        <v>0</v>
      </c>
      <c r="I30" s="6">
        <f>F30*G30/180*PI()</f>
        <v>0</v>
      </c>
      <c r="J30" s="20">
        <v>21473.9</v>
      </c>
      <c r="K30" s="20">
        <v>21473.9</v>
      </c>
    </row>
    <row r="31" spans="3:17">
      <c r="C31" s="1" t="s">
        <v>86</v>
      </c>
      <c r="D31" s="19">
        <v>455660.571</v>
      </c>
      <c r="E31" s="19">
        <v>3391074.5876</v>
      </c>
      <c r="F31" s="1">
        <v>20</v>
      </c>
      <c r="G31" s="6">
        <f>ROUND(IF((2*SQRT((D30-D31)^2+(E30-E31)^2)*SQRT((D32-D31)^2+(E32-E31)^2))=0,0,180-ACOS(((D30-D31)^2+(E30-E31)^2+(D32-D31)^2+(E32-E31)^2-(D32-D30)^2-(E32-E30)^2)/(2*SQRT((D30-D31)^2+(E30-E31)^2)*SQRT((D32-D31)^2+(E32-E31)^2)))/PI()*180),3)</f>
        <v>25.715</v>
      </c>
      <c r="H31" s="6">
        <f>F31*TAN(PI()/180*G31/2)</f>
        <v>4.56500064886998</v>
      </c>
      <c r="I31" s="6">
        <f>F31*G31/180*PI()</f>
        <v>8.97622834300684</v>
      </c>
      <c r="J31" s="20">
        <v>21565.0122816206</v>
      </c>
      <c r="K31" s="20">
        <v>21573.9885099636</v>
      </c>
    </row>
    <row r="32" spans="3:17">
      <c r="C32" s="1" t="s">
        <v>87</v>
      </c>
      <c r="D32" s="19">
        <v>455743.1634</v>
      </c>
      <c r="E32" s="19">
        <v>3390869.0748</v>
      </c>
      <c r="F32" s="1">
        <v>20</v>
      </c>
      <c r="G32" s="6">
        <f>ROUND(IF((2*SQRT((D31-D32)^2+(E31-E32)^2)*SQRT((D35-D32)^2+(E35-E32)^2))=0,0,180-ACOS(((D31-D32)^2+(E31-E32)^2+(D35-D32)^2+(E35-E32)^2-(D35-D31)^2-(E35-E31)^2)/(2*SQRT((D31-D32)^2+(E31-E32)^2)*SQRT((D35-D32)^2+(E35-E32)^2)))/PI()*180),3)</f>
        <v>48.018</v>
      </c>
      <c r="H32" s="6">
        <f>F32*TAN(PI()/180*G32/2)</f>
        <v>8.90833831559599</v>
      </c>
      <c r="I32" s="6">
        <f>F32*G32/180*PI()</f>
        <v>16.7614440044527</v>
      </c>
      <c r="J32" s="20">
        <v>21782.0033546606</v>
      </c>
      <c r="K32" s="20">
        <v>21798.7647986651</v>
      </c>
    </row>
    <row r="33" spans="3:11">
      <c r="C33" s="1" t="s">
        <v>1</v>
      </c>
      <c r="D33" s="1" t="s">
        <v>872</v>
      </c>
      <c r="E33" s="1"/>
      <c r="F33" s="1" t="s">
        <v>873</v>
      </c>
      <c r="G33" s="1"/>
      <c r="H33" s="1"/>
      <c r="I33" s="1"/>
      <c r="J33" s="1" t="s">
        <v>806</v>
      </c>
      <c r="K33" s="1"/>
    </row>
    <row r="34" spans="3:11">
      <c r="C34" s="1"/>
      <c r="D34" s="1" t="s">
        <v>875</v>
      </c>
      <c r="E34" s="1" t="s">
        <v>876</v>
      </c>
      <c r="F34" s="1" t="s">
        <v>880</v>
      </c>
      <c r="G34" s="1" t="s">
        <v>879</v>
      </c>
      <c r="H34" s="1" t="s">
        <v>881</v>
      </c>
      <c r="I34" s="1" t="s">
        <v>882</v>
      </c>
      <c r="J34" s="1" t="s">
        <v>877</v>
      </c>
      <c r="K34" s="1" t="s">
        <v>878</v>
      </c>
    </row>
    <row r="35" spans="3:11">
      <c r="C35" s="1" t="s">
        <v>88</v>
      </c>
      <c r="D35" s="19">
        <v>456407.9626</v>
      </c>
      <c r="E35" s="19">
        <v>3390625.9498</v>
      </c>
      <c r="F35" s="1">
        <v>20</v>
      </c>
      <c r="G35" s="6">
        <f>ROUND(IF((2*SQRT((D32-D35)^2+(E32-E35)^2)*SQRT((D36-D35)^2+(E36-E35)^2))=0,0,180-ACOS(((D32-D35)^2+(E32-E35)^2+(D36-D35)^2+(E36-E35)^2-(D36-D32)^2-(E36-E32)^2)/(2*SQRT((D32-D35)^2+(E32-E35)^2)*SQRT((D36-D35)^2+(E36-E35)^2)))/PI()*180),3)</f>
        <v>24.207</v>
      </c>
      <c r="H35" s="6">
        <f>F35*TAN(PI()/180*G35/2)</f>
        <v>4.28890638220134</v>
      </c>
      <c r="I35" s="6">
        <f>F35*G35/180*PI()</f>
        <v>8.44983704060535</v>
      </c>
      <c r="J35" s="20">
        <v>22493.4289400773</v>
      </c>
      <c r="K35" s="20">
        <v>22501.8787771179</v>
      </c>
    </row>
    <row r="36" spans="3:11">
      <c r="C36" s="1" t="s">
        <v>89</v>
      </c>
      <c r="D36" s="19">
        <v>456638.225</v>
      </c>
      <c r="E36" s="19">
        <v>3390401.2871</v>
      </c>
      <c r="F36" s="1">
        <v>20</v>
      </c>
      <c r="G36" s="6">
        <f>ROUND(IF((2*SQRT((D35-D36)^2+(E35-E36)^2)*SQRT((D39-D36)^2+(E39-E36)^2))=0,0,180-ACOS(((D35-D36)^2+(E35-E36)^2+(D39-D36)^2+(E39-E36)^2-(D39-D35)^2-(E39-E35)^2)/(2*SQRT((D35-D36)^2+(E35-E36)^2)*SQRT((D39-D36)^2+(E39-E36)^2)))/PI()*180),3)</f>
        <v>22.904</v>
      </c>
      <c r="H36" s="6">
        <f>F36*TAN(PI()/180*G36/2)</f>
        <v>4.05160025343104</v>
      </c>
      <c r="I36" s="6">
        <f>F36*G36/180*PI()</f>
        <v>7.99500423753562</v>
      </c>
      <c r="J36" s="20">
        <v>22815.2432620897</v>
      </c>
      <c r="K36" s="20">
        <v>22823.2382663273</v>
      </c>
    </row>
    <row r="37" spans="3:11">
      <c r="C37" s="1" t="s">
        <v>1</v>
      </c>
      <c r="D37" s="1" t="s">
        <v>872</v>
      </c>
      <c r="E37" s="1"/>
      <c r="F37" s="1" t="s">
        <v>873</v>
      </c>
      <c r="G37" s="1"/>
      <c r="H37" s="1"/>
      <c r="I37" s="1"/>
      <c r="J37" s="1" t="s">
        <v>806</v>
      </c>
      <c r="K37" s="1"/>
    </row>
    <row r="38" spans="3:11">
      <c r="C38" s="1"/>
      <c r="D38" s="1" t="s">
        <v>875</v>
      </c>
      <c r="E38" s="1" t="s">
        <v>876</v>
      </c>
      <c r="F38" s="1" t="s">
        <v>880</v>
      </c>
      <c r="G38" s="1" t="s">
        <v>879</v>
      </c>
      <c r="H38" s="1" t="s">
        <v>881</v>
      </c>
      <c r="I38" s="1" t="s">
        <v>882</v>
      </c>
      <c r="J38" s="1" t="s">
        <v>877</v>
      </c>
      <c r="K38" s="1" t="s">
        <v>878</v>
      </c>
    </row>
    <row r="39" spans="3:11">
      <c r="C39" s="1" t="s">
        <v>90</v>
      </c>
      <c r="D39" s="19">
        <v>456773.1372</v>
      </c>
      <c r="E39" s="19">
        <v>3390348.4419</v>
      </c>
      <c r="F39" s="1">
        <v>20</v>
      </c>
      <c r="G39" s="6">
        <f>ROUND(IF((2*SQRT((D36-D39)^2+(E36-E39)^2)*SQRT((D40-D39)^2+(E40-E39)^2))=0,0,180-ACOS(((D36-D39)^2+(E36-E39)^2+(D40-D39)^2+(E40-E39)^2-(D40-D36)^2-(E40-E36)^2)/(2*SQRT((D36-D39)^2+(E36-E39)^2)*SQRT((D40-D39)^2+(E40-E39)^2)))/PI()*180),3)</f>
        <v>14.39</v>
      </c>
      <c r="H39" s="6">
        <f>F39*TAN(PI()/180*G39/2)</f>
        <v>2.52481440530882</v>
      </c>
      <c r="I39" s="6">
        <f>F39*G39/180*PI()</f>
        <v>5.02305758723968</v>
      </c>
      <c r="J39" s="20">
        <v>22961.5546288241</v>
      </c>
      <c r="K39" s="20">
        <v>22966.5776864114</v>
      </c>
    </row>
    <row r="40" spans="3:11">
      <c r="C40" s="1" t="s">
        <v>91</v>
      </c>
      <c r="D40" s="19">
        <v>457019.6671</v>
      </c>
      <c r="E40" s="19">
        <v>3390170.7684</v>
      </c>
      <c r="F40" s="1">
        <v>20</v>
      </c>
      <c r="G40" s="6">
        <f>ROUND(IF((2*SQRT((D39-D40)^2+(E39-E40)^2)*SQRT((D41-D40)^2+(E41-E40)^2))=0,0,180-ACOS(((D39-D40)^2+(E39-E40)^2+(D41-D40)^2+(E41-E40)^2-(D41-D39)^2-(E41-E39)^2)/(2*SQRT((D39-D40)^2+(E39-E40)^2)*SQRT((D41-D40)^2+(E41-E40)^2)))/PI()*180),3)</f>
        <v>42.167</v>
      </c>
      <c r="H40" s="6">
        <f>F40*TAN(PI()/180*G40/2)</f>
        <v>7.71074129836353</v>
      </c>
      <c r="I40" s="6">
        <f>F40*G40/180*PI()</f>
        <v>14.719059713769</v>
      </c>
      <c r="J40" s="20">
        <v>23260.2251085072</v>
      </c>
      <c r="K40" s="20">
        <v>23274.944168221</v>
      </c>
    </row>
    <row r="41" spans="3:11">
      <c r="C41" s="1" t="s">
        <v>92</v>
      </c>
      <c r="D41" s="19">
        <v>457051.1221</v>
      </c>
      <c r="E41" s="19">
        <v>3390023.4491</v>
      </c>
      <c r="F41" s="1">
        <v>20</v>
      </c>
      <c r="G41" s="6">
        <f>ROUND(IF((2*SQRT((D40-D41)^2+(E40-E41)^2)*SQRT((D44-D41)^2+(E44-E41)^2))=0,0,180-ACOS(((D40-D41)^2+(E40-E41)^2+(D44-D41)^2+(E44-E41)^2-(D44-D40)^2-(E44-E40)^2)/(2*SQRT((D40-D41)^2+(E40-E41)^2)*SQRT((D44-D41)^2+(E44-E41)^2)))/PI()*180),3)</f>
        <v>41.887</v>
      </c>
      <c r="H41" s="6">
        <f>F41*TAN(PI()/180*G41/2)</f>
        <v>7.654660934445</v>
      </c>
      <c r="I41" s="6">
        <f>F41*G41/180*PI()</f>
        <v>14.6213212756573</v>
      </c>
      <c r="J41" s="20">
        <v>23410.2187114791</v>
      </c>
      <c r="K41" s="20">
        <v>23424.8400327548</v>
      </c>
    </row>
    <row r="42" spans="3:11">
      <c r="C42" s="1" t="s">
        <v>1</v>
      </c>
      <c r="D42" s="1" t="s">
        <v>872</v>
      </c>
      <c r="E42" s="1"/>
      <c r="F42" s="1" t="s">
        <v>873</v>
      </c>
      <c r="G42" s="1"/>
      <c r="H42" s="1"/>
      <c r="I42" s="1"/>
      <c r="J42" s="1" t="s">
        <v>806</v>
      </c>
      <c r="K42" s="1"/>
    </row>
    <row r="43" spans="3:11">
      <c r="C43" s="1"/>
      <c r="D43" s="1" t="s">
        <v>875</v>
      </c>
      <c r="E43" s="1" t="s">
        <v>876</v>
      </c>
      <c r="F43" s="1" t="s">
        <v>880</v>
      </c>
      <c r="G43" s="1" t="s">
        <v>879</v>
      </c>
      <c r="H43" s="1" t="s">
        <v>881</v>
      </c>
      <c r="I43" s="1" t="s">
        <v>882</v>
      </c>
      <c r="J43" s="1" t="s">
        <v>877</v>
      </c>
      <c r="K43" s="1" t="s">
        <v>878</v>
      </c>
    </row>
    <row r="44" spans="3:11">
      <c r="C44" s="1" t="s">
        <v>93</v>
      </c>
      <c r="D44" s="19">
        <v>457422.3435</v>
      </c>
      <c r="E44" s="19">
        <v>3389753.1397</v>
      </c>
      <c r="F44" s="1">
        <v>20</v>
      </c>
      <c r="G44" s="6">
        <f>ROUND(IF((2*SQRT((D41-D44)^2+(E41-E44)^2)*SQRT((D45-D44)^2+(E45-E44)^2))=0,0,180-ACOS(((D41-D44)^2+(E41-E44)^2+(D45-D44)^2+(E45-E44)^2-(D45-D41)^2-(E45-E41)^2)/(2*SQRT((D41-D44)^2+(E41-E44)^2)*SQRT((D45-D44)^2+(E45-E44)^2)))/PI()*180),3)</f>
        <v>47.725</v>
      </c>
      <c r="H44" s="6">
        <f>F44*TAN(PI()/180*G44/2)</f>
        <v>8.84712413578284</v>
      </c>
      <c r="I44" s="6">
        <f>F44*G44/180*PI()</f>
        <v>16.6591677102859</v>
      </c>
      <c r="J44" s="20">
        <v>23867.546805473</v>
      </c>
      <c r="K44" s="20">
        <v>23884.2059731833</v>
      </c>
    </row>
    <row r="45" spans="3:11">
      <c r="C45" s="1" t="s">
        <v>2651</v>
      </c>
      <c r="D45" s="19">
        <v>457700.5573</v>
      </c>
      <c r="E45" s="19">
        <v>3389810.5718</v>
      </c>
      <c r="F45" s="1">
        <v>0</v>
      </c>
      <c r="G45" s="6">
        <v>0</v>
      </c>
      <c r="H45" s="6">
        <f>F45*TAN(PI()/180*G45/2)</f>
        <v>0</v>
      </c>
      <c r="I45" s="6">
        <f>F45*G45/180*PI()</f>
        <v>0</v>
      </c>
      <c r="J45" s="20">
        <v>24159.4387051106</v>
      </c>
      <c r="K45" s="20">
        <v>24159.4387051106</v>
      </c>
    </row>
    <row r="49" spans="3:7">
      <c r="D49" s="10">
        <v>0</v>
      </c>
      <c r="E49" s="10" t="s">
        <v>2652</v>
      </c>
    </row>
    <row r="50" spans="3:7">
      <c r="C50" s="10" t="s">
        <v>23</v>
      </c>
      <c r="D50" s="21">
        <v>36.1625696633931</v>
      </c>
      <c r="F50" s="10">
        <f t="shared" ref="F50:F54" si="21">D50-D49</f>
        <v>36.1625696633931</v>
      </c>
    </row>
    <row r="51" spans="3:7">
      <c r="C51" s="10" t="s">
        <v>29</v>
      </c>
      <c r="D51" s="21">
        <v>11562.3759961372</v>
      </c>
      <c r="G51" s="10">
        <f t="shared" ref="G51:G55" si="22">D51-D50</f>
        <v>11526.2134264738</v>
      </c>
    </row>
    <row r="52" spans="3:7">
      <c r="C52" s="10" t="s">
        <v>32</v>
      </c>
      <c r="D52" s="21">
        <v>11613.9160570746</v>
      </c>
      <c r="F52" s="10">
        <f t="shared" si="21"/>
        <v>51.540060937401</v>
      </c>
    </row>
    <row r="53" spans="3:7">
      <c r="C53" s="10" t="s">
        <v>33</v>
      </c>
      <c r="D53" s="21">
        <v>11738.9162164017</v>
      </c>
      <c r="G53" s="10">
        <f t="shared" si="22"/>
        <v>125.000159327099</v>
      </c>
    </row>
    <row r="54" spans="3:7">
      <c r="C54" s="10" t="s">
        <v>34</v>
      </c>
      <c r="D54" s="21">
        <v>11763.4120279082</v>
      </c>
      <c r="F54" s="10">
        <f t="shared" si="21"/>
        <v>24.4958115065001</v>
      </c>
    </row>
    <row r="55" spans="3:7">
      <c r="C55" s="10" t="s">
        <v>37</v>
      </c>
      <c r="D55" s="21">
        <v>15155.5634155374</v>
      </c>
      <c r="G55" s="10">
        <f t="shared" si="22"/>
        <v>3392.1513876292</v>
      </c>
    </row>
    <row r="56" spans="3:7">
      <c r="C56" s="10" t="s">
        <v>38</v>
      </c>
      <c r="D56" s="21">
        <v>15170.5810929027</v>
      </c>
      <c r="F56" s="10">
        <f t="shared" ref="F56:F60" si="23">D56-D55</f>
        <v>15.0176773653002</v>
      </c>
    </row>
    <row r="57" spans="3:7">
      <c r="C57" s="10" t="s">
        <v>39</v>
      </c>
      <c r="D57" s="21">
        <v>15345.5863154179</v>
      </c>
      <c r="G57" s="10">
        <f t="shared" ref="G57:G61" si="24">D57-D56</f>
        <v>175.005222515201</v>
      </c>
    </row>
    <row r="58" spans="3:7">
      <c r="C58" s="10" t="s">
        <v>40</v>
      </c>
      <c r="D58" s="21">
        <v>15391.8696419312</v>
      </c>
      <c r="F58" s="10">
        <f t="shared" si="23"/>
        <v>46.2833265132995</v>
      </c>
    </row>
    <row r="59" spans="3:7">
      <c r="C59" s="10" t="s">
        <v>42</v>
      </c>
      <c r="D59" s="21">
        <v>15678.768609761</v>
      </c>
      <c r="G59" s="10">
        <f t="shared" si="24"/>
        <v>286.8989678298</v>
      </c>
    </row>
    <row r="60" spans="3:7">
      <c r="C60" s="10" t="s">
        <v>43</v>
      </c>
      <c r="D60" s="21">
        <v>15698.4125539336</v>
      </c>
      <c r="F60" s="10">
        <f t="shared" si="23"/>
        <v>19.6439441725997</v>
      </c>
    </row>
    <row r="61" spans="3:7">
      <c r="C61" s="10" t="s">
        <v>44</v>
      </c>
      <c r="D61" s="21">
        <v>15868.4147384996</v>
      </c>
      <c r="G61" s="10">
        <f t="shared" si="24"/>
        <v>170.002184565999</v>
      </c>
    </row>
    <row r="62" spans="3:7">
      <c r="C62" s="10" t="s">
        <v>45</v>
      </c>
      <c r="D62" s="21">
        <v>15882.4542698949</v>
      </c>
      <c r="F62" s="10">
        <f t="shared" ref="F62:F66" si="25">D62-D61</f>
        <v>14.0395313953013</v>
      </c>
    </row>
    <row r="63" spans="3:7">
      <c r="C63" s="10" t="s">
        <v>47</v>
      </c>
      <c r="D63" s="21">
        <v>16134.1249262182</v>
      </c>
      <c r="G63" s="10">
        <f t="shared" ref="G63:G67" si="26">D63-D62</f>
        <v>251.670656323298</v>
      </c>
    </row>
    <row r="64" spans="3:7">
      <c r="C64" s="10" t="s">
        <v>48</v>
      </c>
      <c r="D64" s="21">
        <v>16147.1910571318</v>
      </c>
      <c r="F64" s="10">
        <f t="shared" si="25"/>
        <v>13.0661309136012</v>
      </c>
    </row>
    <row r="65" spans="3:7">
      <c r="C65" s="10" t="s">
        <v>49</v>
      </c>
      <c r="D65" s="21">
        <v>16217.4431353256</v>
      </c>
      <c r="G65" s="10">
        <f t="shared" si="26"/>
        <v>70.2520781938001</v>
      </c>
    </row>
    <row r="66" spans="3:7">
      <c r="C66" s="10" t="s">
        <v>50</v>
      </c>
      <c r="D66" s="21">
        <v>16231.0925783826</v>
      </c>
      <c r="F66" s="10">
        <f t="shared" si="25"/>
        <v>13.6494430570001</v>
      </c>
    </row>
    <row r="67" spans="3:7">
      <c r="C67" s="10" t="s">
        <v>52</v>
      </c>
      <c r="D67" s="21">
        <v>16351.4798176464</v>
      </c>
      <c r="G67" s="10">
        <f t="shared" si="26"/>
        <v>120.387239263799</v>
      </c>
    </row>
    <row r="68" spans="3:7">
      <c r="C68" s="10" t="s">
        <v>53</v>
      </c>
      <c r="D68" s="21">
        <v>16362.3730295078</v>
      </c>
      <c r="F68" s="10">
        <f t="shared" ref="F68:F72" si="27">D68-D67</f>
        <v>10.8932118614011</v>
      </c>
    </row>
    <row r="69" spans="3:7">
      <c r="C69" s="10" t="s">
        <v>54</v>
      </c>
      <c r="D69" s="21">
        <v>16481.7303166364</v>
      </c>
      <c r="G69" s="10">
        <f t="shared" ref="G69:G73" si="28">D69-D68</f>
        <v>119.3572871286</v>
      </c>
    </row>
    <row r="70" spans="3:7">
      <c r="C70" s="10" t="s">
        <v>56</v>
      </c>
      <c r="D70" s="21">
        <v>16524.3891411183</v>
      </c>
      <c r="F70" s="10">
        <f t="shared" si="27"/>
        <v>42.6588244818995</v>
      </c>
    </row>
    <row r="71" spans="3:7">
      <c r="C71" s="10" t="s">
        <v>57</v>
      </c>
      <c r="D71" s="21">
        <v>17267.0773959616</v>
      </c>
      <c r="G71" s="10">
        <f t="shared" si="28"/>
        <v>742.688254843302</v>
      </c>
    </row>
    <row r="72" spans="3:7">
      <c r="C72" s="10" t="s">
        <v>58</v>
      </c>
      <c r="D72" s="21">
        <v>17281.9944308131</v>
      </c>
      <c r="F72" s="10">
        <f t="shared" si="27"/>
        <v>14.9170348514999</v>
      </c>
    </row>
    <row r="73" spans="3:7">
      <c r="C73" s="10" t="s">
        <v>60</v>
      </c>
      <c r="D73" s="21">
        <v>17352.1933347371</v>
      </c>
      <c r="G73" s="10">
        <f t="shared" si="28"/>
        <v>70.1989039239998</v>
      </c>
    </row>
    <row r="74" spans="3:7">
      <c r="C74" s="10" t="s">
        <v>63</v>
      </c>
      <c r="D74" s="21">
        <v>17478.7651111344</v>
      </c>
      <c r="F74" s="10">
        <f t="shared" ref="F74:F78" si="29">D74-D73</f>
        <v>126.571776397297</v>
      </c>
    </row>
    <row r="75" spans="3:7">
      <c r="C75" s="10" t="s">
        <v>64</v>
      </c>
      <c r="D75" s="21">
        <v>17599.1753775116</v>
      </c>
      <c r="G75" s="10">
        <f t="shared" ref="G75:G79" si="30">D75-D74</f>
        <v>120.410266377203</v>
      </c>
    </row>
    <row r="76" spans="3:7">
      <c r="C76" s="10" t="s">
        <v>67</v>
      </c>
      <c r="D76" s="21">
        <v>17811.3669640305</v>
      </c>
      <c r="F76" s="10">
        <f t="shared" si="29"/>
        <v>212.1915865189</v>
      </c>
    </row>
    <row r="77" spans="3:7">
      <c r="C77" s="10" t="s">
        <v>69</v>
      </c>
      <c r="D77" s="21">
        <v>17928.8769236923</v>
      </c>
      <c r="G77" s="10">
        <f t="shared" si="30"/>
        <v>117.509959661798</v>
      </c>
    </row>
    <row r="78" spans="3:7">
      <c r="C78" s="10" t="s">
        <v>74</v>
      </c>
      <c r="D78" s="21">
        <v>18391.2704623838</v>
      </c>
      <c r="F78" s="10">
        <f t="shared" si="29"/>
        <v>462.3935386915</v>
      </c>
    </row>
    <row r="79" spans="3:7">
      <c r="C79" s="10" t="s">
        <v>75</v>
      </c>
      <c r="D79" s="21">
        <v>18631.9758416227</v>
      </c>
      <c r="G79" s="10">
        <f t="shared" si="30"/>
        <v>240.705379238902</v>
      </c>
    </row>
    <row r="80" spans="3:7">
      <c r="C80" s="10" t="s">
        <v>80</v>
      </c>
      <c r="D80" s="21">
        <v>19058.7392080439</v>
      </c>
      <c r="F80" s="10">
        <f t="shared" ref="F80:F84" si="31">D80-D79</f>
        <v>426.763366421197</v>
      </c>
    </row>
    <row r="81" spans="3:7">
      <c r="C81" s="10" t="s">
        <v>81</v>
      </c>
      <c r="D81" s="21">
        <v>21440.3743912109</v>
      </c>
      <c r="G81" s="10">
        <f t="shared" ref="G81:G85" si="32">D81-D80</f>
        <v>2381.635183167</v>
      </c>
    </row>
    <row r="82" spans="3:7">
      <c r="C82" s="10" t="s">
        <v>85</v>
      </c>
      <c r="D82" s="21">
        <v>21513.4618547789</v>
      </c>
      <c r="F82" s="10">
        <f t="shared" si="31"/>
        <v>73.0874635680011</v>
      </c>
    </row>
    <row r="83" spans="3:7">
      <c r="C83" s="10" t="s">
        <v>94</v>
      </c>
      <c r="D83" s="21">
        <v>24147.7388025797</v>
      </c>
      <c r="G83" s="10">
        <f t="shared" si="32"/>
        <v>2634.2769478008</v>
      </c>
    </row>
    <row r="84" spans="3:7">
      <c r="C84" s="10" t="s">
        <v>99</v>
      </c>
      <c r="D84" s="21">
        <v>24597.4247340725</v>
      </c>
      <c r="F84" s="10">
        <f t="shared" si="31"/>
        <v>449.685931492801</v>
      </c>
    </row>
    <row r="85" spans="3:7">
      <c r="C85" s="10" t="s">
        <v>104</v>
      </c>
      <c r="D85" s="21">
        <v>25326.9979069354</v>
      </c>
      <c r="G85" s="10">
        <f t="shared" si="32"/>
        <v>729.5731728629</v>
      </c>
    </row>
    <row r="86" spans="3:7">
      <c r="C86" s="10" t="s">
        <v>106</v>
      </c>
      <c r="D86" s="21">
        <v>25432.2697097385</v>
      </c>
      <c r="F86" s="10">
        <f t="shared" ref="F86:F90" si="33">D86-D85</f>
        <v>105.271802803098</v>
      </c>
    </row>
    <row r="87" spans="3:7">
      <c r="C87" s="10" t="s">
        <v>109</v>
      </c>
      <c r="D87" s="21">
        <v>25793.7419015632</v>
      </c>
      <c r="G87" s="10">
        <f t="shared" ref="G87:G91" si="34">D87-D86</f>
        <v>361.472191824701</v>
      </c>
    </row>
    <row r="88" spans="3:7">
      <c r="C88" s="10" t="s">
        <v>110</v>
      </c>
      <c r="D88" s="21">
        <v>25937.4591463239</v>
      </c>
      <c r="F88" s="10">
        <f t="shared" si="33"/>
        <v>143.717244760701</v>
      </c>
    </row>
    <row r="89" spans="3:7">
      <c r="C89" s="10" t="s">
        <v>111</v>
      </c>
      <c r="D89" s="21">
        <v>25981.8377325832</v>
      </c>
      <c r="G89" s="10">
        <f t="shared" si="34"/>
        <v>44.3785862592995</v>
      </c>
    </row>
    <row r="90" spans="3:7">
      <c r="C90" s="10" t="s">
        <v>115</v>
      </c>
      <c r="D90" s="21">
        <v>26115.4022072565</v>
      </c>
      <c r="F90" s="10">
        <f t="shared" si="33"/>
        <v>133.564474673298</v>
      </c>
    </row>
    <row r="91" spans="3:7">
      <c r="C91" s="10" t="s">
        <v>118</v>
      </c>
      <c r="D91" s="21">
        <v>27420.7305743188</v>
      </c>
      <c r="G91" s="10">
        <f t="shared" si="34"/>
        <v>1305.3283670623</v>
      </c>
    </row>
    <row r="92" spans="3:7">
      <c r="C92" s="10" t="s">
        <v>121</v>
      </c>
      <c r="D92" s="21">
        <v>27537.9859661997</v>
      </c>
      <c r="F92" s="10">
        <f t="shared" ref="F92:F96" si="35">D92-D91</f>
        <v>117.255391880899</v>
      </c>
    </row>
    <row r="93" spans="3:7">
      <c r="C93" s="10" t="s">
        <v>130</v>
      </c>
      <c r="D93" s="21">
        <v>30927.5359204477</v>
      </c>
      <c r="G93" s="10">
        <f t="shared" ref="G93:G97" si="36">D93-D92</f>
        <v>3389.549954248</v>
      </c>
    </row>
    <row r="94" spans="3:7">
      <c r="C94" s="10" t="s">
        <v>131</v>
      </c>
      <c r="D94" s="21">
        <v>30962.0888776937</v>
      </c>
      <c r="F94" s="10">
        <f t="shared" si="35"/>
        <v>34.552957246</v>
      </c>
    </row>
    <row r="95" spans="3:7">
      <c r="C95" s="10" t="s">
        <v>133</v>
      </c>
      <c r="D95" s="21">
        <v>31251.3838347894</v>
      </c>
      <c r="G95" s="10">
        <f t="shared" si="36"/>
        <v>289.294957095703</v>
      </c>
    </row>
    <row r="96" spans="3:7">
      <c r="C96" s="10" t="s">
        <v>135</v>
      </c>
      <c r="D96" s="21">
        <v>31441.543025609</v>
      </c>
      <c r="F96" s="10">
        <f t="shared" si="35"/>
        <v>190.159190819599</v>
      </c>
    </row>
    <row r="97" spans="3:7">
      <c r="C97" s="10" t="s">
        <v>136</v>
      </c>
      <c r="D97" s="21">
        <v>31553.4652028673</v>
      </c>
      <c r="G97" s="10">
        <f t="shared" si="36"/>
        <v>111.922177258301</v>
      </c>
    </row>
    <row r="98" spans="3:7">
      <c r="C98" s="10" t="s">
        <v>137</v>
      </c>
      <c r="D98" s="21">
        <v>31618.4723098023</v>
      </c>
      <c r="F98" s="10">
        <f t="shared" ref="F98:F102" si="37">D98-D97</f>
        <v>65.0071069349979</v>
      </c>
    </row>
    <row r="99" spans="3:7">
      <c r="C99" s="10" t="s">
        <v>139</v>
      </c>
      <c r="D99" s="21">
        <v>31762.5194212525</v>
      </c>
      <c r="G99" s="10">
        <f t="shared" ref="G99:G103" si="38">D99-D98</f>
        <v>144.0471114502</v>
      </c>
    </row>
    <row r="100" spans="3:7">
      <c r="C100" s="10" t="s">
        <v>146</v>
      </c>
      <c r="D100" s="21">
        <v>32705.9221734846</v>
      </c>
      <c r="F100" s="10">
        <f t="shared" si="37"/>
        <v>943.402752232101</v>
      </c>
    </row>
    <row r="101" spans="3:7">
      <c r="C101" s="10" t="s">
        <v>148</v>
      </c>
      <c r="D101" s="21">
        <v>32940.5587464451</v>
      </c>
      <c r="G101" s="10">
        <f t="shared" si="38"/>
        <v>234.636572960502</v>
      </c>
    </row>
    <row r="102" spans="3:7">
      <c r="C102" s="10" t="s">
        <v>149</v>
      </c>
      <c r="D102" s="21">
        <v>32981.5818011438</v>
      </c>
      <c r="F102" s="10">
        <f t="shared" si="37"/>
        <v>41.0230546987004</v>
      </c>
    </row>
    <row r="103" spans="3:7">
      <c r="C103" s="10" t="s">
        <v>150</v>
      </c>
      <c r="D103" s="21">
        <v>33140.2016746425</v>
      </c>
      <c r="G103" s="10">
        <f t="shared" si="38"/>
        <v>158.619873498697</v>
      </c>
    </row>
    <row r="104" spans="3:7">
      <c r="C104" s="10" t="s">
        <v>152</v>
      </c>
      <c r="D104" s="21">
        <v>33191.5063935905</v>
      </c>
      <c r="F104" s="10">
        <f t="shared" ref="F104:F108" si="39">D104-D103</f>
        <v>51.3047189479985</v>
      </c>
    </row>
    <row r="105" spans="3:7">
      <c r="C105" s="10" t="s">
        <v>153</v>
      </c>
      <c r="D105" s="21">
        <v>33368.09228046</v>
      </c>
      <c r="G105" s="10">
        <f t="shared" ref="G105:G109" si="40">D105-D104</f>
        <v>176.5858868695</v>
      </c>
    </row>
    <row r="106" spans="3:7">
      <c r="C106" s="10" t="s">
        <v>155</v>
      </c>
      <c r="D106" s="21">
        <v>33610.5298962783</v>
      </c>
      <c r="F106" s="10">
        <f t="shared" si="39"/>
        <v>242.4376158183</v>
      </c>
    </row>
    <row r="107" spans="3:7">
      <c r="C107" s="10" t="s">
        <v>156</v>
      </c>
      <c r="D107" s="21">
        <v>33737.8699259455</v>
      </c>
      <c r="G107" s="10">
        <f t="shared" si="40"/>
        <v>127.340029667204</v>
      </c>
    </row>
    <row r="108" spans="3:7">
      <c r="C108" s="10" t="s">
        <v>158</v>
      </c>
      <c r="D108" s="21">
        <v>33855.2946994331</v>
      </c>
      <c r="F108" s="10">
        <f t="shared" si="39"/>
        <v>117.424773487597</v>
      </c>
    </row>
    <row r="109" spans="3:7">
      <c r="C109" s="10" t="s">
        <v>159</v>
      </c>
      <c r="D109" s="21">
        <v>34071.5229203844</v>
      </c>
      <c r="G109" s="10">
        <f t="shared" si="40"/>
        <v>216.2282209513</v>
      </c>
    </row>
    <row r="110" spans="3:7">
      <c r="C110" s="10" t="s">
        <v>161</v>
      </c>
      <c r="D110" s="21">
        <v>34175.5307917985</v>
      </c>
      <c r="F110" s="10">
        <f t="shared" ref="F110:F114" si="41">D110-D109</f>
        <v>104.007871414098</v>
      </c>
    </row>
    <row r="111" spans="3:7">
      <c r="C111" s="10" t="s">
        <v>162</v>
      </c>
      <c r="D111" s="21">
        <v>34222.9027121989</v>
      </c>
      <c r="G111" s="10">
        <f t="shared" ref="G111:G115" si="42">D111-D110</f>
        <v>47.371920400401</v>
      </c>
    </row>
    <row r="112" spans="3:7">
      <c r="C112" s="10" t="s">
        <v>165</v>
      </c>
      <c r="D112" s="21">
        <v>34432.108164334</v>
      </c>
      <c r="F112" s="10">
        <f t="shared" si="41"/>
        <v>209.205452135102</v>
      </c>
    </row>
    <row r="113" spans="3:7">
      <c r="C113" s="10" t="s">
        <v>166</v>
      </c>
      <c r="D113" s="21">
        <v>34500.9521073067</v>
      </c>
      <c r="G113" s="10">
        <f t="shared" si="42"/>
        <v>68.8439429727005</v>
      </c>
    </row>
    <row r="114" spans="3:7">
      <c r="C114" s="10" t="s">
        <v>172</v>
      </c>
      <c r="D114" s="21">
        <v>35602.9925796367</v>
      </c>
      <c r="F114" s="10">
        <f t="shared" si="41"/>
        <v>1102.04047233</v>
      </c>
    </row>
    <row r="115" spans="3:7">
      <c r="C115" s="10" t="s">
        <v>173</v>
      </c>
      <c r="D115" s="21">
        <v>35751.5150451573</v>
      </c>
      <c r="G115" s="10">
        <f t="shared" si="42"/>
        <v>148.522465520597</v>
      </c>
    </row>
    <row r="116" spans="3:7">
      <c r="C116" s="10" t="s">
        <v>175</v>
      </c>
      <c r="D116" s="21">
        <v>35805.9326255937</v>
      </c>
      <c r="F116" s="10">
        <f t="shared" ref="F116:F120" si="43">D116-D115</f>
        <v>54.4175804363986</v>
      </c>
    </row>
    <row r="117" spans="3:7">
      <c r="C117" s="10" t="s">
        <v>176</v>
      </c>
      <c r="D117" s="21">
        <v>36084.153417619</v>
      </c>
      <c r="G117" s="10">
        <f t="shared" ref="G117:G121" si="44">D117-D116</f>
        <v>278.220792025306</v>
      </c>
    </row>
    <row r="118" spans="3:7">
      <c r="C118" s="10" t="s">
        <v>178</v>
      </c>
      <c r="D118" s="21">
        <v>36140.537480719</v>
      </c>
      <c r="F118" s="10">
        <f t="shared" si="43"/>
        <v>56.3840630999985</v>
      </c>
    </row>
    <row r="119" spans="3:7">
      <c r="C119" s="10" t="s">
        <v>179</v>
      </c>
      <c r="D119" s="21">
        <v>36281.0634461153</v>
      </c>
      <c r="G119" s="10">
        <f t="shared" si="44"/>
        <v>140.5259653963</v>
      </c>
    </row>
    <row r="120" spans="3:7">
      <c r="C120" s="10" t="s">
        <v>181</v>
      </c>
      <c r="D120" s="21">
        <v>36390.9174266564</v>
      </c>
      <c r="F120" s="10">
        <f t="shared" si="43"/>
        <v>109.853980541098</v>
      </c>
    </row>
    <row r="121" spans="3:7">
      <c r="C121" s="10" t="s">
        <v>183</v>
      </c>
      <c r="D121" s="21">
        <v>36591.4319321057</v>
      </c>
      <c r="G121" s="10">
        <f t="shared" si="44"/>
        <v>200.514505449297</v>
      </c>
    </row>
    <row r="122" spans="3:7">
      <c r="C122" s="10" t="s">
        <v>184</v>
      </c>
      <c r="D122" s="21">
        <v>36618.789785695</v>
      </c>
      <c r="F122" s="10">
        <f t="shared" ref="F122:F126" si="45">D122-D121</f>
        <v>27.357853589303</v>
      </c>
    </row>
    <row r="123" spans="3:7">
      <c r="C123" s="10" t="s">
        <v>185</v>
      </c>
      <c r="D123" s="21">
        <v>36764.6791036844</v>
      </c>
      <c r="G123" s="10">
        <f t="shared" ref="G123:G127" si="46">D123-D122</f>
        <v>145.8893179894</v>
      </c>
    </row>
    <row r="124" spans="3:7">
      <c r="C124" s="10" t="s">
        <v>186</v>
      </c>
      <c r="D124" s="21">
        <v>36820.8015728542</v>
      </c>
      <c r="F124" s="10">
        <f t="shared" si="45"/>
        <v>56.1224691698008</v>
      </c>
    </row>
    <row r="125" spans="3:7">
      <c r="C125" s="10" t="s">
        <v>188</v>
      </c>
      <c r="D125" s="21">
        <v>36991.2536385325</v>
      </c>
      <c r="G125" s="10">
        <f t="shared" si="46"/>
        <v>170.452065678299</v>
      </c>
    </row>
    <row r="126" spans="3:7">
      <c r="C126" s="10" t="s">
        <v>189</v>
      </c>
      <c r="D126" s="21">
        <v>37036.277805048</v>
      </c>
      <c r="F126" s="10">
        <f t="shared" si="45"/>
        <v>45.0241665154972</v>
      </c>
    </row>
    <row r="127" spans="3:7">
      <c r="C127" s="10" t="s">
        <v>190</v>
      </c>
      <c r="D127" s="21">
        <v>37273.3500416384</v>
      </c>
      <c r="G127" s="10">
        <f t="shared" si="46"/>
        <v>237.0722365904</v>
      </c>
    </row>
    <row r="128" spans="3:7">
      <c r="C128" s="10" t="s">
        <v>192</v>
      </c>
      <c r="D128" s="21">
        <v>37351.6479447677</v>
      </c>
      <c r="F128" s="10">
        <f t="shared" ref="F128:F132" si="47">D128-D127</f>
        <v>78.2979031292998</v>
      </c>
    </row>
    <row r="129" spans="1:15">
      <c r="C129" s="10" t="s">
        <v>193</v>
      </c>
      <c r="D129" s="21">
        <v>37569.0572718722</v>
      </c>
      <c r="G129" s="10">
        <f t="shared" ref="G129:G133" si="48">D129-D128</f>
        <v>217.409327104506</v>
      </c>
    </row>
    <row r="130" spans="1:15">
      <c r="C130" s="10" t="s">
        <v>195</v>
      </c>
      <c r="D130" s="21">
        <v>37713.0851388406</v>
      </c>
      <c r="F130" s="10">
        <f t="shared" si="47"/>
        <v>144.027866968398</v>
      </c>
    </row>
    <row r="131" spans="1:15">
      <c r="C131" s="10" t="s">
        <v>197</v>
      </c>
      <c r="D131" s="21">
        <v>38230.9905745546</v>
      </c>
      <c r="G131" s="10">
        <f t="shared" si="48"/>
        <v>517.905435713998</v>
      </c>
    </row>
    <row r="132" spans="1:15">
      <c r="C132" s="10" t="s">
        <v>198</v>
      </c>
      <c r="D132" s="21">
        <v>38270.568280246</v>
      </c>
      <c r="F132" s="10">
        <f t="shared" si="47"/>
        <v>39.5777056914012</v>
      </c>
    </row>
    <row r="133" spans="1:15">
      <c r="C133" s="10" t="s">
        <v>199</v>
      </c>
      <c r="D133" s="21">
        <v>38381.6245310216</v>
      </c>
      <c r="G133" s="10">
        <f t="shared" si="48"/>
        <v>111.056250775604</v>
      </c>
    </row>
    <row r="134" spans="1:15">
      <c r="C134" s="10" t="s">
        <v>200</v>
      </c>
      <c r="D134" s="21">
        <v>38422.0972885887</v>
      </c>
      <c r="F134" s="10">
        <f t="shared" ref="F134:F137" si="49">D134-D133</f>
        <v>40.4727575670986</v>
      </c>
    </row>
    <row r="135" spans="1:15">
      <c r="C135" s="10" t="s">
        <v>202</v>
      </c>
      <c r="D135" s="21">
        <v>38792.4400104916</v>
      </c>
      <c r="G135" s="10">
        <f t="shared" ref="G135:G140" si="50">D135-D134</f>
        <v>370.342721902896</v>
      </c>
      <c r="M135" s="10" t="s">
        <v>2653</v>
      </c>
    </row>
    <row r="136" s="9" customFormat="1" spans="1:15">
      <c r="A136" s="9" t="s">
        <v>2654</v>
      </c>
      <c r="C136" s="9" t="s">
        <v>891</v>
      </c>
      <c r="D136" s="22">
        <v>38810.2818606998</v>
      </c>
      <c r="F136" s="9">
        <f t="shared" si="49"/>
        <v>17.8418502081986</v>
      </c>
      <c r="H136" s="9">
        <f>D211-D136</f>
        <v>25398.3682600673</v>
      </c>
      <c r="I136" s="9" t="s">
        <v>891</v>
      </c>
      <c r="J136" s="22">
        <v>38810.2818606998</v>
      </c>
      <c r="K136" s="21">
        <v>38960.559160306</v>
      </c>
      <c r="L136" s="9">
        <f>D211-D136</f>
        <v>25398.3682600673</v>
      </c>
      <c r="M136" s="22">
        <v>38810.2818606998</v>
      </c>
      <c r="N136" s="21">
        <v>38960.559160306</v>
      </c>
      <c r="O136">
        <f t="shared" ref="O136:O173" si="51">N136-M136</f>
        <v>150.277299606205</v>
      </c>
    </row>
    <row r="137" spans="1:15">
      <c r="C137" s="10" t="s">
        <v>205</v>
      </c>
      <c r="D137" s="21">
        <v>38960.559160306</v>
      </c>
      <c r="F137" s="10">
        <f t="shared" si="49"/>
        <v>150.277299606205</v>
      </c>
      <c r="I137" s="10" t="s">
        <v>205</v>
      </c>
      <c r="J137" s="21">
        <v>38960.559160306</v>
      </c>
      <c r="K137" s="21">
        <v>39133.1614524898</v>
      </c>
      <c r="M137" s="21">
        <v>39133.1614524898</v>
      </c>
      <c r="N137" s="21">
        <v>39168.8155324876</v>
      </c>
      <c r="O137">
        <f t="shared" si="51"/>
        <v>35.6540799977956</v>
      </c>
    </row>
    <row r="138" spans="1:15">
      <c r="C138" s="10" t="s">
        <v>207</v>
      </c>
      <c r="D138" s="21">
        <v>39133.1614524898</v>
      </c>
      <c r="G138" s="10">
        <f t="shared" si="50"/>
        <v>172.602292183801</v>
      </c>
      <c r="I138" s="10" t="s">
        <v>207</v>
      </c>
      <c r="J138" s="21">
        <v>39133.1614524898</v>
      </c>
      <c r="K138" s="21">
        <v>39168.8155324876</v>
      </c>
      <c r="M138" s="21">
        <v>39286.1998336</v>
      </c>
      <c r="N138" s="21">
        <v>39601.4584102487</v>
      </c>
      <c r="O138">
        <f t="shared" si="51"/>
        <v>315.258576648695</v>
      </c>
    </row>
    <row r="139" spans="1:15">
      <c r="C139" s="10" t="s">
        <v>208</v>
      </c>
      <c r="D139" s="21">
        <v>39168.8155324876</v>
      </c>
      <c r="F139" s="10">
        <f t="shared" ref="F139:F143" si="52">D139-D138</f>
        <v>35.6540799977956</v>
      </c>
      <c r="I139" s="10" t="s">
        <v>208</v>
      </c>
      <c r="J139" s="21">
        <v>39168.8155324876</v>
      </c>
      <c r="K139" s="21">
        <v>39286.1998336</v>
      </c>
      <c r="M139" s="21">
        <v>40173.947895803</v>
      </c>
      <c r="N139" s="21">
        <v>40291.1647356038</v>
      </c>
      <c r="O139">
        <f t="shared" si="51"/>
        <v>117.2168398008</v>
      </c>
    </row>
    <row r="140" spans="1:15">
      <c r="C140" s="10" t="s">
        <v>209</v>
      </c>
      <c r="D140" s="21">
        <v>39286.1998336</v>
      </c>
      <c r="G140" s="23">
        <f t="shared" si="50"/>
        <v>117.384301112405</v>
      </c>
      <c r="I140" s="10" t="s">
        <v>209</v>
      </c>
      <c r="J140" s="21">
        <v>39286.1998336</v>
      </c>
      <c r="K140" s="21">
        <v>39601.4584102487</v>
      </c>
      <c r="M140" s="21">
        <v>40358.4791779068</v>
      </c>
      <c r="N140" s="21">
        <v>40411.2114430273</v>
      </c>
      <c r="O140">
        <f t="shared" si="51"/>
        <v>52.7322651205031</v>
      </c>
    </row>
    <row r="141" spans="1:15">
      <c r="C141" s="10" t="s">
        <v>214</v>
      </c>
      <c r="D141" s="21">
        <v>39601.4584102487</v>
      </c>
      <c r="F141" s="10">
        <f t="shared" si="52"/>
        <v>315.258576648695</v>
      </c>
      <c r="I141" s="10" t="s">
        <v>214</v>
      </c>
      <c r="J141" s="21">
        <v>39601.4584102487</v>
      </c>
      <c r="K141" s="21">
        <v>40173.947895803</v>
      </c>
      <c r="M141" s="21">
        <v>41827.6447084337</v>
      </c>
      <c r="N141" s="21">
        <v>42003.9216276385</v>
      </c>
      <c r="O141">
        <f t="shared" si="51"/>
        <v>176.2769192048</v>
      </c>
    </row>
    <row r="142" spans="1:15">
      <c r="C142" s="10" t="s">
        <v>217</v>
      </c>
      <c r="D142" s="21">
        <v>40173.947895803</v>
      </c>
      <c r="G142" s="10">
        <f t="shared" ref="G142:G146" si="53">D142-D141</f>
        <v>572.489485554303</v>
      </c>
      <c r="I142" s="10" t="s">
        <v>217</v>
      </c>
      <c r="J142" s="21">
        <v>40173.947895803</v>
      </c>
      <c r="K142" s="21">
        <v>40291.1647356038</v>
      </c>
      <c r="M142" s="21">
        <v>42110.401492906</v>
      </c>
      <c r="N142" s="21">
        <v>42344.0063047783</v>
      </c>
      <c r="O142">
        <f t="shared" si="51"/>
        <v>233.604811872297</v>
      </c>
    </row>
    <row r="143" spans="1:15">
      <c r="C143" s="10" t="s">
        <v>219</v>
      </c>
      <c r="D143" s="21">
        <v>40291.1647356038</v>
      </c>
      <c r="F143" s="10">
        <f t="shared" si="52"/>
        <v>117.2168398008</v>
      </c>
      <c r="I143" s="10" t="s">
        <v>219</v>
      </c>
      <c r="J143" s="21">
        <v>40291.1647356038</v>
      </c>
      <c r="K143" s="21">
        <v>40358.4791779068</v>
      </c>
      <c r="M143" s="21">
        <v>42501.1987984869</v>
      </c>
      <c r="N143" s="21">
        <v>42821.2841194914</v>
      </c>
      <c r="O143">
        <f t="shared" si="51"/>
        <v>320.085321004502</v>
      </c>
    </row>
    <row r="144" spans="1:15">
      <c r="C144" s="10" t="s">
        <v>220</v>
      </c>
      <c r="D144" s="21">
        <v>40358.4791779068</v>
      </c>
      <c r="G144" s="24">
        <f t="shared" si="53"/>
        <v>67.3144423029953</v>
      </c>
      <c r="I144" s="10" t="s">
        <v>220</v>
      </c>
      <c r="J144" s="21">
        <v>40358.4791779068</v>
      </c>
      <c r="K144" s="21">
        <v>40411.2114430273</v>
      </c>
      <c r="M144" s="21">
        <v>42950.7819810404</v>
      </c>
      <c r="N144" s="21">
        <v>43210.3818726019</v>
      </c>
      <c r="O144">
        <f t="shared" si="51"/>
        <v>259.599891561498</v>
      </c>
    </row>
    <row r="145" spans="3:15">
      <c r="C145" s="10" t="s">
        <v>221</v>
      </c>
      <c r="D145" s="21">
        <v>40411.2114430273</v>
      </c>
      <c r="F145" s="10">
        <f t="shared" ref="F145:F149" si="54">D145-D144</f>
        <v>52.7322651205031</v>
      </c>
      <c r="I145" s="10" t="s">
        <v>221</v>
      </c>
      <c r="J145" s="21">
        <v>40411.2114430273</v>
      </c>
      <c r="K145" s="21">
        <v>41827.6447084337</v>
      </c>
      <c r="M145" s="21">
        <v>43484.7844677966</v>
      </c>
      <c r="N145" s="21">
        <v>43905.8894834868</v>
      </c>
      <c r="O145">
        <f t="shared" si="51"/>
        <v>421.105015690198</v>
      </c>
    </row>
    <row r="146" spans="3:15">
      <c r="C146" s="10" t="s">
        <v>225</v>
      </c>
      <c r="D146" s="21">
        <v>41827.6447084337</v>
      </c>
      <c r="G146" s="10">
        <f t="shared" si="53"/>
        <v>1416.4332654064</v>
      </c>
      <c r="I146" s="10" t="s">
        <v>225</v>
      </c>
      <c r="J146" s="21">
        <v>41827.6447084337</v>
      </c>
      <c r="K146" s="21">
        <v>42003.9216276385</v>
      </c>
      <c r="M146" s="21">
        <v>44264.5005332329</v>
      </c>
      <c r="N146" s="21">
        <v>44660.392975138</v>
      </c>
      <c r="O146">
        <f t="shared" si="51"/>
        <v>395.892441905096</v>
      </c>
    </row>
    <row r="147" spans="3:15">
      <c r="C147" s="10" t="s">
        <v>228</v>
      </c>
      <c r="D147" s="21">
        <v>42003.9216276385</v>
      </c>
      <c r="F147" s="10">
        <f t="shared" si="54"/>
        <v>176.2769192048</v>
      </c>
      <c r="I147" s="10" t="s">
        <v>228</v>
      </c>
      <c r="J147" s="21">
        <v>42003.9216276385</v>
      </c>
      <c r="K147" s="21">
        <v>42110.401492906</v>
      </c>
      <c r="M147" s="21">
        <v>45054.9505646651</v>
      </c>
      <c r="N147" s="21">
        <v>45237.0678579802</v>
      </c>
      <c r="O147">
        <f t="shared" si="51"/>
        <v>182.117293315096</v>
      </c>
    </row>
    <row r="148" spans="3:15">
      <c r="C148" s="10" t="s">
        <v>229</v>
      </c>
      <c r="D148" s="21">
        <v>42110.401492906</v>
      </c>
      <c r="G148" s="10">
        <f t="shared" ref="G148:G152" si="55">D148-D147</f>
        <v>106.479865267502</v>
      </c>
      <c r="I148" s="10" t="s">
        <v>229</v>
      </c>
      <c r="J148" s="21">
        <v>42110.401492906</v>
      </c>
      <c r="K148" s="21">
        <v>42344.0063047783</v>
      </c>
      <c r="M148" s="21">
        <v>45391.7815726768</v>
      </c>
      <c r="N148" s="21">
        <v>45458.1881110499</v>
      </c>
      <c r="O148">
        <f t="shared" si="51"/>
        <v>66.4065383730995</v>
      </c>
    </row>
    <row r="149" spans="3:15">
      <c r="C149" s="10" t="s">
        <v>233</v>
      </c>
      <c r="D149" s="21">
        <v>42344.0063047783</v>
      </c>
      <c r="F149" s="10">
        <f t="shared" si="54"/>
        <v>233.604811872297</v>
      </c>
      <c r="I149" s="10" t="s">
        <v>233</v>
      </c>
      <c r="J149" s="21">
        <v>42344.0063047783</v>
      </c>
      <c r="K149" s="21">
        <v>42501.1987984869</v>
      </c>
      <c r="M149" s="21">
        <v>45638.4002950327</v>
      </c>
      <c r="N149" s="21">
        <v>45770.5551555459</v>
      </c>
      <c r="O149">
        <f t="shared" si="51"/>
        <v>132.154860513205</v>
      </c>
    </row>
    <row r="150" spans="3:15">
      <c r="C150" s="10" t="s">
        <v>234</v>
      </c>
      <c r="D150" s="21">
        <v>42501.1987984869</v>
      </c>
      <c r="G150" s="10">
        <f t="shared" si="55"/>
        <v>157.192493708601</v>
      </c>
      <c r="I150" s="10" t="s">
        <v>234</v>
      </c>
      <c r="J150" s="21">
        <v>42501.1987984869</v>
      </c>
      <c r="K150" s="21">
        <v>42821.2841194914</v>
      </c>
      <c r="M150" s="21">
        <v>45899.1186463485</v>
      </c>
      <c r="N150" s="21">
        <v>46177.5248344187</v>
      </c>
      <c r="O150">
        <f t="shared" si="51"/>
        <v>278.406188070199</v>
      </c>
    </row>
    <row r="151" spans="3:15">
      <c r="C151" s="10" t="s">
        <v>237</v>
      </c>
      <c r="D151" s="21">
        <v>42821.2841194914</v>
      </c>
      <c r="F151" s="10">
        <f t="shared" ref="F151:F155" si="56">D151-D150</f>
        <v>320.085321004502</v>
      </c>
      <c r="I151" s="10" t="s">
        <v>237</v>
      </c>
      <c r="J151" s="21">
        <v>42821.2841194914</v>
      </c>
      <c r="K151" s="21">
        <v>42950.7819810404</v>
      </c>
      <c r="M151" s="21">
        <v>46276.6784941064</v>
      </c>
      <c r="N151" s="21">
        <v>46380.76626642</v>
      </c>
      <c r="O151">
        <f t="shared" si="51"/>
        <v>104.0877723136</v>
      </c>
    </row>
    <row r="152" spans="3:15">
      <c r="C152" s="10" t="s">
        <v>238</v>
      </c>
      <c r="D152" s="21">
        <v>42950.7819810404</v>
      </c>
      <c r="G152" s="10">
        <f t="shared" si="55"/>
        <v>129.497861549004</v>
      </c>
      <c r="I152" s="10" t="s">
        <v>238</v>
      </c>
      <c r="J152" s="21">
        <v>42950.7819810404</v>
      </c>
      <c r="K152" s="21">
        <v>43210.3818726019</v>
      </c>
      <c r="M152" s="21">
        <v>49861.9801707288</v>
      </c>
      <c r="N152" s="21">
        <v>50376.0309961376</v>
      </c>
      <c r="O152">
        <f t="shared" si="51"/>
        <v>514.050825408798</v>
      </c>
    </row>
    <row r="153" spans="3:15">
      <c r="C153" s="10" t="s">
        <v>241</v>
      </c>
      <c r="D153" s="21">
        <v>43210.3818726019</v>
      </c>
      <c r="F153" s="10">
        <f t="shared" si="56"/>
        <v>259.599891561498</v>
      </c>
      <c r="I153" s="10" t="s">
        <v>241</v>
      </c>
      <c r="J153" s="21">
        <v>43210.3818726019</v>
      </c>
      <c r="K153" s="21">
        <v>43484.7844677966</v>
      </c>
      <c r="M153" s="21">
        <v>51641.4442961683</v>
      </c>
      <c r="N153" s="21">
        <v>51824.1598307367</v>
      </c>
      <c r="O153">
        <f t="shared" si="51"/>
        <v>182.7155345684</v>
      </c>
    </row>
    <row r="154" spans="3:15">
      <c r="C154" s="10" t="s">
        <v>242</v>
      </c>
      <c r="D154" s="21">
        <v>43484.7844677966</v>
      </c>
      <c r="G154" s="10">
        <f t="shared" ref="G154:G158" si="57">D154-D153</f>
        <v>274.402595194697</v>
      </c>
      <c r="I154" s="10" t="s">
        <v>242</v>
      </c>
      <c r="J154" s="21">
        <v>43484.7844677966</v>
      </c>
      <c r="K154" s="21">
        <v>43905.8894834868</v>
      </c>
      <c r="M154" s="21">
        <v>51953.3624797278</v>
      </c>
      <c r="N154" s="21">
        <v>52026.6544926382</v>
      </c>
      <c r="O154">
        <f t="shared" si="51"/>
        <v>73.292012910395</v>
      </c>
    </row>
    <row r="155" spans="3:15">
      <c r="C155" s="10" t="s">
        <v>248</v>
      </c>
      <c r="D155" s="21">
        <v>43905.8894834868</v>
      </c>
      <c r="F155" s="10">
        <f t="shared" si="56"/>
        <v>421.105015690198</v>
      </c>
      <c r="I155" s="10" t="s">
        <v>248</v>
      </c>
      <c r="J155" s="21">
        <v>43905.8894834868</v>
      </c>
      <c r="K155" s="21">
        <v>44264.5005332329</v>
      </c>
      <c r="M155" s="21">
        <v>52247.038337424</v>
      </c>
      <c r="N155" s="21">
        <v>52277.1681468721</v>
      </c>
      <c r="O155">
        <f t="shared" si="51"/>
        <v>30.1298094481026</v>
      </c>
    </row>
    <row r="156" spans="3:15">
      <c r="C156" s="10" t="s">
        <v>250</v>
      </c>
      <c r="D156" s="21">
        <v>44264.5005332329</v>
      </c>
      <c r="G156" s="10">
        <f t="shared" si="57"/>
        <v>358.611049746105</v>
      </c>
      <c r="I156" s="10" t="s">
        <v>250</v>
      </c>
      <c r="J156" s="21">
        <v>44264.5005332329</v>
      </c>
      <c r="K156" s="21">
        <v>44660.392975138</v>
      </c>
      <c r="M156" s="21">
        <v>52427.5830713968</v>
      </c>
      <c r="N156" s="21">
        <v>52524.7458281461</v>
      </c>
      <c r="O156">
        <f t="shared" si="51"/>
        <v>97.1627567492978</v>
      </c>
    </row>
    <row r="157" spans="3:15">
      <c r="C157" s="10" t="s">
        <v>255</v>
      </c>
      <c r="D157" s="21">
        <v>44660.392975138</v>
      </c>
      <c r="F157" s="10">
        <f t="shared" ref="F157:F161" si="58">D157-D156</f>
        <v>395.892441905096</v>
      </c>
      <c r="I157" s="10" t="s">
        <v>255</v>
      </c>
      <c r="J157" s="21">
        <v>44660.392975138</v>
      </c>
      <c r="K157" s="21">
        <v>45054.9505646651</v>
      </c>
      <c r="M157" s="21">
        <v>53487.5275262724</v>
      </c>
      <c r="N157" s="21">
        <v>53523.3196222081</v>
      </c>
      <c r="O157">
        <f t="shared" si="51"/>
        <v>35.7920959356998</v>
      </c>
    </row>
    <row r="158" spans="3:15">
      <c r="C158" s="10" t="s">
        <v>256</v>
      </c>
      <c r="D158" s="21">
        <v>45054.9505646651</v>
      </c>
      <c r="G158" s="24">
        <f t="shared" si="57"/>
        <v>394.557589527103</v>
      </c>
      <c r="I158" s="10" t="s">
        <v>256</v>
      </c>
      <c r="J158" s="21">
        <v>45054.9505646651</v>
      </c>
      <c r="K158" s="21">
        <v>45237.0678579802</v>
      </c>
      <c r="M158" s="21">
        <v>54297.8392589807</v>
      </c>
      <c r="N158" s="21">
        <v>54932.5747622749</v>
      </c>
      <c r="O158">
        <f t="shared" si="51"/>
        <v>634.7355032942</v>
      </c>
    </row>
    <row r="159" spans="3:15">
      <c r="C159" s="10" t="s">
        <v>259</v>
      </c>
      <c r="D159" s="21">
        <v>45237.0678579802</v>
      </c>
      <c r="F159" s="10">
        <f t="shared" si="58"/>
        <v>182.117293315096</v>
      </c>
      <c r="I159" s="10" t="s">
        <v>259</v>
      </c>
      <c r="J159" s="21">
        <v>45237.0678579802</v>
      </c>
      <c r="K159" s="21">
        <v>45391.7815726768</v>
      </c>
      <c r="M159" s="21">
        <v>55451.5863124238</v>
      </c>
      <c r="N159" s="21">
        <v>55762.7834411845</v>
      </c>
      <c r="O159">
        <f t="shared" si="51"/>
        <v>311.197128760701</v>
      </c>
    </row>
    <row r="160" spans="3:15">
      <c r="C160" s="10" t="s">
        <v>260</v>
      </c>
      <c r="D160" s="21">
        <v>45391.7815726768</v>
      </c>
      <c r="G160" s="24">
        <f t="shared" ref="G160:G164" si="59">D160-D159</f>
        <v>154.713714696605</v>
      </c>
      <c r="I160" s="10" t="s">
        <v>260</v>
      </c>
      <c r="J160" s="21">
        <v>45391.7815726768</v>
      </c>
      <c r="K160" s="21">
        <v>45458.1881110499</v>
      </c>
      <c r="M160" s="21">
        <v>56053.0078677678</v>
      </c>
      <c r="N160" s="21">
        <v>56334.9410726017</v>
      </c>
      <c r="O160">
        <f t="shared" si="51"/>
        <v>281.933204833898</v>
      </c>
    </row>
    <row r="161" spans="3:16">
      <c r="C161" s="10" t="s">
        <v>262</v>
      </c>
      <c r="D161" s="21">
        <v>45458.1881110499</v>
      </c>
      <c r="F161" s="10">
        <f t="shared" si="58"/>
        <v>66.4065383730995</v>
      </c>
      <c r="I161" s="10" t="s">
        <v>262</v>
      </c>
      <c r="J161" s="21">
        <v>45458.1881110499</v>
      </c>
      <c r="K161" s="21">
        <v>45638.4002950327</v>
      </c>
      <c r="M161" s="21">
        <v>56693.8061637031</v>
      </c>
      <c r="N161" s="21">
        <v>57107.0970529009</v>
      </c>
      <c r="O161">
        <f t="shared" si="51"/>
        <v>413.2908891978</v>
      </c>
    </row>
    <row r="162" spans="3:16">
      <c r="C162" s="10" t="s">
        <v>263</v>
      </c>
      <c r="D162" s="21">
        <v>45638.4002950327</v>
      </c>
      <c r="G162" s="24">
        <f t="shared" si="59"/>
        <v>180.212183982796</v>
      </c>
      <c r="I162" s="10" t="s">
        <v>263</v>
      </c>
      <c r="J162" s="21">
        <v>45638.4002950327</v>
      </c>
      <c r="K162" s="21">
        <v>45770.5551555459</v>
      </c>
      <c r="M162" s="21">
        <v>57515.0761514587</v>
      </c>
      <c r="N162" s="21">
        <v>57899.7162919468</v>
      </c>
      <c r="O162">
        <f t="shared" si="51"/>
        <v>384.640140488103</v>
      </c>
    </row>
    <row r="163" spans="3:16">
      <c r="C163" s="10" t="s">
        <v>265</v>
      </c>
      <c r="D163" s="21">
        <v>45770.5551555459</v>
      </c>
      <c r="F163" s="10">
        <f t="shared" ref="F163:F167" si="60">D163-D162</f>
        <v>132.154860513205</v>
      </c>
      <c r="I163" s="10" t="s">
        <v>265</v>
      </c>
      <c r="J163" s="21">
        <v>45770.5551555459</v>
      </c>
      <c r="K163" s="21">
        <v>45899.1186463485</v>
      </c>
      <c r="M163" s="21">
        <v>58161.6699122272</v>
      </c>
      <c r="N163" s="21">
        <v>58406.6570284686</v>
      </c>
      <c r="O163">
        <f t="shared" si="51"/>
        <v>244.987116241406</v>
      </c>
    </row>
    <row r="164" spans="3:16">
      <c r="C164" s="10" t="s">
        <v>266</v>
      </c>
      <c r="D164" s="21">
        <v>45899.1186463485</v>
      </c>
      <c r="G164" s="24">
        <f t="shared" si="59"/>
        <v>128.563490802597</v>
      </c>
      <c r="I164" s="10" t="s">
        <v>266</v>
      </c>
      <c r="J164" s="21">
        <v>45899.1186463485</v>
      </c>
      <c r="K164" s="21">
        <v>46177.5248344187</v>
      </c>
      <c r="M164" s="21">
        <v>58835.0967642521</v>
      </c>
      <c r="N164" s="21">
        <v>58867.5000205961</v>
      </c>
      <c r="O164">
        <f t="shared" si="51"/>
        <v>32.4032563439978</v>
      </c>
    </row>
    <row r="165" spans="3:16">
      <c r="C165" s="10" t="s">
        <v>270</v>
      </c>
      <c r="D165" s="21">
        <v>46177.5248344187</v>
      </c>
      <c r="F165" s="10">
        <f t="shared" si="60"/>
        <v>278.406188070199</v>
      </c>
      <c r="I165" s="10" t="s">
        <v>270</v>
      </c>
      <c r="J165" s="21">
        <v>46177.5248344187</v>
      </c>
      <c r="K165" s="21">
        <v>46276.6784941064</v>
      </c>
      <c r="M165" s="21">
        <v>59060.0028662811</v>
      </c>
      <c r="N165" s="21">
        <v>59101.8806274276</v>
      </c>
      <c r="O165">
        <f t="shared" si="51"/>
        <v>41.8777611464975</v>
      </c>
    </row>
    <row r="166" spans="3:16">
      <c r="C166" s="10" t="s">
        <v>271</v>
      </c>
      <c r="D166" s="21">
        <v>46276.6784941064</v>
      </c>
      <c r="G166" s="24">
        <f t="shared" ref="G166:G170" si="61">D166-D165</f>
        <v>99.1536596877049</v>
      </c>
      <c r="I166" s="10" t="s">
        <v>271</v>
      </c>
      <c r="J166" s="21">
        <v>46276.6784941064</v>
      </c>
      <c r="K166" s="21">
        <v>46380.76626642</v>
      </c>
      <c r="M166" s="21">
        <v>59708.5511410438</v>
      </c>
      <c r="N166" s="21">
        <v>59722.9476397694</v>
      </c>
      <c r="O166">
        <f t="shared" si="51"/>
        <v>14.396498725604</v>
      </c>
    </row>
    <row r="167" spans="3:16">
      <c r="C167" s="10" t="s">
        <v>273</v>
      </c>
      <c r="D167" s="21">
        <v>46380.76626642</v>
      </c>
      <c r="F167" s="10">
        <f t="shared" si="60"/>
        <v>104.0877723136</v>
      </c>
      <c r="I167" s="10" t="s">
        <v>273</v>
      </c>
      <c r="J167" s="21">
        <v>46380.76626642</v>
      </c>
      <c r="K167" s="21">
        <v>49861.9801707288</v>
      </c>
      <c r="M167" s="21">
        <v>59993.3754102614</v>
      </c>
      <c r="N167" s="21">
        <v>60018.0474723005</v>
      </c>
      <c r="O167">
        <f t="shared" si="51"/>
        <v>24.6720620391061</v>
      </c>
    </row>
    <row r="168" spans="3:16">
      <c r="C168" s="10" t="s">
        <v>274</v>
      </c>
      <c r="D168" s="21">
        <v>49861.9801707288</v>
      </c>
      <c r="G168" s="10">
        <f t="shared" si="61"/>
        <v>3481.2139043088</v>
      </c>
      <c r="I168" s="10" t="s">
        <v>274</v>
      </c>
      <c r="J168" s="21">
        <v>49861.9801707288</v>
      </c>
      <c r="K168" s="21">
        <v>50376.0309961376</v>
      </c>
      <c r="M168" s="21">
        <v>60556.0363766439</v>
      </c>
      <c r="N168" s="21">
        <v>60664.1337979516</v>
      </c>
      <c r="O168">
        <f t="shared" si="51"/>
        <v>108.097421307706</v>
      </c>
    </row>
    <row r="169" spans="3:16">
      <c r="C169" s="10" t="s">
        <v>278</v>
      </c>
      <c r="D169" s="21">
        <v>50376.0309961376</v>
      </c>
      <c r="F169" s="10">
        <f t="shared" ref="F169:F173" si="62">D169-D168</f>
        <v>514.050825408798</v>
      </c>
      <c r="I169" s="10" t="s">
        <v>278</v>
      </c>
      <c r="J169" s="21">
        <v>50376.0309961376</v>
      </c>
      <c r="K169" s="21">
        <v>51641.4442961683</v>
      </c>
      <c r="M169" s="21">
        <v>60901.3924004132</v>
      </c>
      <c r="N169" s="21">
        <v>60948.8528582256</v>
      </c>
      <c r="O169">
        <f t="shared" si="51"/>
        <v>47.4604578123981</v>
      </c>
    </row>
    <row r="170" spans="3:16">
      <c r="C170" s="10" t="s">
        <v>281</v>
      </c>
      <c r="D170" s="21">
        <v>51641.4442961683</v>
      </c>
      <c r="G170" s="10">
        <f t="shared" si="61"/>
        <v>1265.4133000307</v>
      </c>
      <c r="I170" s="10" t="s">
        <v>281</v>
      </c>
      <c r="J170" s="21">
        <v>51641.4442961683</v>
      </c>
      <c r="K170" s="21">
        <v>51824.1598307367</v>
      </c>
      <c r="M170" s="21">
        <v>61378.4703630365</v>
      </c>
      <c r="N170" s="21">
        <v>61410.6159604102</v>
      </c>
      <c r="O170">
        <f t="shared" si="51"/>
        <v>32.1455973737029</v>
      </c>
    </row>
    <row r="171" spans="3:16">
      <c r="C171" s="10" t="s">
        <v>283</v>
      </c>
      <c r="D171" s="21">
        <v>51824.1598307367</v>
      </c>
      <c r="F171" s="10">
        <f t="shared" si="62"/>
        <v>182.7155345684</v>
      </c>
      <c r="I171" s="10" t="s">
        <v>283</v>
      </c>
      <c r="J171" s="21">
        <v>51824.1598307367</v>
      </c>
      <c r="K171" s="21">
        <v>51953.3624797278</v>
      </c>
      <c r="M171" s="21">
        <v>61541.5987195246</v>
      </c>
      <c r="N171" s="21">
        <v>61550.8717357092</v>
      </c>
      <c r="O171">
        <f t="shared" si="51"/>
        <v>9.27301618460478</v>
      </c>
    </row>
    <row r="172" spans="3:16">
      <c r="C172" s="10" t="s">
        <v>284</v>
      </c>
      <c r="D172" s="21">
        <v>51953.3624797278</v>
      </c>
      <c r="G172" s="10">
        <f t="shared" ref="G172:G176" si="63">D172-D171</f>
        <v>129.2026489911</v>
      </c>
      <c r="I172" s="10" t="s">
        <v>284</v>
      </c>
      <c r="J172" s="21">
        <v>51953.3624797278</v>
      </c>
      <c r="K172" s="21">
        <v>52026.6544926382</v>
      </c>
      <c r="M172" s="21">
        <v>62000.3242313191</v>
      </c>
      <c r="N172" s="21">
        <v>62163.989497528</v>
      </c>
      <c r="O172">
        <f t="shared" si="51"/>
        <v>163.665266208896</v>
      </c>
    </row>
    <row r="173" spans="3:16">
      <c r="C173" s="10" t="s">
        <v>286</v>
      </c>
      <c r="D173" s="21">
        <v>52026.6544926382</v>
      </c>
      <c r="F173" s="10">
        <f t="shared" si="62"/>
        <v>73.292012910395</v>
      </c>
      <c r="I173" s="10" t="s">
        <v>286</v>
      </c>
      <c r="J173" s="21">
        <v>52026.6544926382</v>
      </c>
      <c r="K173" s="21">
        <v>52247.038337424</v>
      </c>
      <c r="M173" s="21">
        <v>64067.6741040669</v>
      </c>
      <c r="N173" s="22">
        <v>64208.6501207671</v>
      </c>
      <c r="O173">
        <f t="shared" si="51"/>
        <v>140.976016700202</v>
      </c>
    </row>
    <row r="174" spans="3:16">
      <c r="C174" s="10" t="s">
        <v>288</v>
      </c>
      <c r="D174" s="21">
        <v>52247.038337424</v>
      </c>
      <c r="G174" s="10">
        <f t="shared" si="63"/>
        <v>220.3838447858</v>
      </c>
      <c r="I174" s="10" t="s">
        <v>288</v>
      </c>
      <c r="J174" s="21">
        <v>52247.038337424</v>
      </c>
      <c r="K174" s="21">
        <v>52277.1681468721</v>
      </c>
    </row>
    <row r="175" spans="3:16">
      <c r="C175" s="10" t="s">
        <v>289</v>
      </c>
      <c r="D175" s="21">
        <v>52277.1681468721</v>
      </c>
      <c r="F175" s="10">
        <f t="shared" ref="F175:F179" si="64">D175-D174</f>
        <v>30.1298094481026</v>
      </c>
      <c r="I175" s="10" t="s">
        <v>289</v>
      </c>
      <c r="J175" s="21">
        <v>52277.1681468721</v>
      </c>
      <c r="K175" s="21">
        <v>52427.5830713968</v>
      </c>
      <c r="M175" s="9" t="s">
        <v>363</v>
      </c>
      <c r="N175" s="22">
        <v>64208.6501207671</v>
      </c>
      <c r="O175" s="21">
        <v>64265.6921800704</v>
      </c>
      <c r="P175" s="10">
        <f t="shared" ref="P175:P184" si="65">O175-N175</f>
        <v>57.0420593032977</v>
      </c>
    </row>
    <row r="176" spans="3:16">
      <c r="C176" s="10" t="s">
        <v>290</v>
      </c>
      <c r="D176" s="21">
        <v>52427.5830713968</v>
      </c>
      <c r="G176" s="24">
        <f t="shared" si="63"/>
        <v>150.414924524703</v>
      </c>
      <c r="I176" s="10" t="s">
        <v>290</v>
      </c>
      <c r="J176" s="21">
        <v>52427.5830713968</v>
      </c>
      <c r="K176" s="21">
        <v>52524.7458281461</v>
      </c>
      <c r="M176" s="10" t="s">
        <v>366</v>
      </c>
      <c r="N176" s="21">
        <v>64623.0757694656</v>
      </c>
      <c r="O176" s="21">
        <v>64727.6126092999</v>
      </c>
      <c r="P176" s="10">
        <f t="shared" si="65"/>
        <v>104.536839834298</v>
      </c>
    </row>
    <row r="177" spans="3:16">
      <c r="C177" s="10" t="s">
        <v>295</v>
      </c>
      <c r="D177" s="21">
        <v>52524.7458281461</v>
      </c>
      <c r="F177" s="10">
        <f t="shared" si="64"/>
        <v>97.1627567492978</v>
      </c>
      <c r="I177" s="10" t="s">
        <v>295</v>
      </c>
      <c r="J177" s="21">
        <v>52524.7458281461</v>
      </c>
      <c r="K177" s="21">
        <v>53487.5275262724</v>
      </c>
      <c r="M177" s="10" t="s">
        <v>369</v>
      </c>
      <c r="N177" s="21">
        <v>65110.1632695476</v>
      </c>
      <c r="O177" s="21">
        <v>65570.7313778228</v>
      </c>
      <c r="P177" s="10">
        <f t="shared" si="65"/>
        <v>460.568108275198</v>
      </c>
    </row>
    <row r="178" spans="3:16">
      <c r="C178" s="10" t="s">
        <v>297</v>
      </c>
      <c r="D178" s="21">
        <v>53487.5275262724</v>
      </c>
      <c r="G178" s="24">
        <f t="shared" ref="G178:G182" si="66">D178-D177</f>
        <v>962.781698126302</v>
      </c>
      <c r="I178" s="10" t="s">
        <v>297</v>
      </c>
      <c r="J178" s="21">
        <v>53487.5275262724</v>
      </c>
      <c r="K178" s="21">
        <v>53523.3196222081</v>
      </c>
      <c r="M178" s="10" t="s">
        <v>376</v>
      </c>
      <c r="N178" s="21">
        <v>66250.0665012525</v>
      </c>
      <c r="O178" s="21">
        <v>66666.8592323578</v>
      </c>
      <c r="P178" s="10">
        <f t="shared" si="65"/>
        <v>416.792731105306</v>
      </c>
    </row>
    <row r="179" spans="3:16">
      <c r="C179" s="10" t="s">
        <v>300</v>
      </c>
      <c r="D179" s="21">
        <v>53523.3196222081</v>
      </c>
      <c r="F179" s="10">
        <f t="shared" si="64"/>
        <v>35.7920959356998</v>
      </c>
      <c r="I179" s="10" t="s">
        <v>300</v>
      </c>
      <c r="J179" s="21">
        <v>53523.3196222081</v>
      </c>
      <c r="K179" s="21">
        <v>54297.8392589807</v>
      </c>
      <c r="M179" s="10" t="s">
        <v>381</v>
      </c>
      <c r="N179" s="21">
        <v>67134.410604023</v>
      </c>
      <c r="O179" s="21">
        <v>68000.5346367002</v>
      </c>
      <c r="P179" s="10">
        <f t="shared" si="65"/>
        <v>866.124032677209</v>
      </c>
    </row>
    <row r="180" spans="3:16">
      <c r="C180" s="10" t="s">
        <v>302</v>
      </c>
      <c r="D180" s="21">
        <v>54297.8392589807</v>
      </c>
      <c r="G180" s="24">
        <f t="shared" si="66"/>
        <v>774.519636772595</v>
      </c>
      <c r="I180" s="10" t="s">
        <v>302</v>
      </c>
      <c r="J180" s="21">
        <v>54297.8392589807</v>
      </c>
      <c r="K180" s="21">
        <v>54932.5747622749</v>
      </c>
      <c r="M180" s="10" t="s">
        <v>392</v>
      </c>
      <c r="N180" s="21">
        <v>69121.9388226835</v>
      </c>
      <c r="O180" s="21">
        <v>69202.1643107948</v>
      </c>
      <c r="P180" s="10">
        <f t="shared" si="65"/>
        <v>80.225488111304</v>
      </c>
    </row>
    <row r="181" spans="3:16">
      <c r="C181" s="10" t="s">
        <v>310</v>
      </c>
      <c r="D181" s="21">
        <v>54932.5747622749</v>
      </c>
      <c r="F181" s="10">
        <f t="shared" ref="F181:F185" si="67">D181-D180</f>
        <v>634.7355032942</v>
      </c>
      <c r="I181" s="10" t="s">
        <v>310</v>
      </c>
      <c r="J181" s="21">
        <v>54932.5747622749</v>
      </c>
      <c r="K181" s="21">
        <v>55451.5863124238</v>
      </c>
      <c r="M181" s="10" t="s">
        <v>395</v>
      </c>
      <c r="N181" s="21">
        <v>69322.9583484228</v>
      </c>
      <c r="O181" s="21">
        <v>69699.9302831009</v>
      </c>
      <c r="P181" s="10">
        <f t="shared" si="65"/>
        <v>376.971934678091</v>
      </c>
    </row>
    <row r="182" spans="3:16">
      <c r="C182" s="10" t="s">
        <v>311</v>
      </c>
      <c r="D182" s="21">
        <v>55451.5863124238</v>
      </c>
      <c r="G182" s="10">
        <f t="shared" si="66"/>
        <v>519.011550148905</v>
      </c>
      <c r="I182" s="10" t="s">
        <v>311</v>
      </c>
      <c r="J182" s="21">
        <v>55451.5863124238</v>
      </c>
      <c r="K182" s="21">
        <v>55762.7834411845</v>
      </c>
      <c r="M182" s="10" t="s">
        <v>402</v>
      </c>
      <c r="N182" s="21">
        <v>70047.6761839845</v>
      </c>
      <c r="O182" s="21">
        <v>70084.5819136896</v>
      </c>
      <c r="P182" s="10">
        <f t="shared" si="65"/>
        <v>36.905729705104</v>
      </c>
    </row>
    <row r="183" spans="3:16">
      <c r="C183" s="10" t="s">
        <v>316</v>
      </c>
      <c r="D183" s="21">
        <v>55762.7834411845</v>
      </c>
      <c r="F183" s="10">
        <f t="shared" si="67"/>
        <v>311.197128760701</v>
      </c>
      <c r="I183" s="10" t="s">
        <v>316</v>
      </c>
      <c r="J183" s="21">
        <v>55762.7834411845</v>
      </c>
      <c r="K183" s="21">
        <v>56053.0078677678</v>
      </c>
      <c r="M183" s="10" t="s">
        <v>405</v>
      </c>
      <c r="N183" s="21">
        <v>70310.3180358818</v>
      </c>
      <c r="O183" s="21">
        <v>70340.7183075067</v>
      </c>
      <c r="P183" s="10">
        <f t="shared" si="65"/>
        <v>30.4002716248942</v>
      </c>
    </row>
    <row r="184" spans="3:16">
      <c r="C184" s="10" t="s">
        <v>317</v>
      </c>
      <c r="D184" s="21">
        <v>56053.0078677678</v>
      </c>
      <c r="G184" s="10">
        <f t="shared" ref="G184:G188" si="68">D184-D183</f>
        <v>290.2244265833</v>
      </c>
      <c r="I184" s="10" t="s">
        <v>317</v>
      </c>
      <c r="J184" s="21">
        <v>56053.0078677678</v>
      </c>
      <c r="K184" s="21">
        <v>56334.9410726017</v>
      </c>
      <c r="M184" s="10" t="s">
        <v>407</v>
      </c>
      <c r="N184" s="21">
        <v>70380.1928916501</v>
      </c>
      <c r="O184" s="21">
        <v>70399.9245158317</v>
      </c>
      <c r="P184" s="10">
        <f t="shared" si="65"/>
        <v>19.7316241816006</v>
      </c>
    </row>
    <row r="185" spans="3:16">
      <c r="C185" s="10" t="s">
        <v>322</v>
      </c>
      <c r="D185" s="21">
        <v>56334.9410726017</v>
      </c>
      <c r="F185" s="10">
        <f t="shared" si="67"/>
        <v>281.933204833898</v>
      </c>
      <c r="I185" s="10" t="s">
        <v>322</v>
      </c>
      <c r="J185" s="21">
        <v>56334.9410726017</v>
      </c>
      <c r="K185" s="21">
        <v>56693.8061637031</v>
      </c>
      <c r="M185" s="9" t="s">
        <v>2655</v>
      </c>
      <c r="N185" s="22">
        <v>74637.511676555</v>
      </c>
      <c r="O185" s="21">
        <v>74961.963032858</v>
      </c>
      <c r="P185" s="10">
        <f t="shared" ref="P185:P198" si="69">O185-N185</f>
        <v>324.45135630299</v>
      </c>
    </row>
    <row r="186" spans="3:16">
      <c r="C186" s="10" t="s">
        <v>324</v>
      </c>
      <c r="D186" s="21">
        <v>56693.8061637031</v>
      </c>
      <c r="G186" s="10">
        <f t="shared" si="68"/>
        <v>358.865091101397</v>
      </c>
      <c r="I186" s="10" t="s">
        <v>324</v>
      </c>
      <c r="J186" s="21">
        <v>56693.8061637031</v>
      </c>
      <c r="K186" s="21">
        <v>57107.0970529009</v>
      </c>
      <c r="M186" s="10" t="s">
        <v>420</v>
      </c>
      <c r="N186" s="21">
        <v>75497.3537306913</v>
      </c>
      <c r="O186" s="21">
        <v>75701.7814833285</v>
      </c>
      <c r="P186" s="10">
        <f t="shared" si="69"/>
        <v>204.427752637188</v>
      </c>
    </row>
    <row r="187" spans="3:16">
      <c r="C187" s="10" t="s">
        <v>329</v>
      </c>
      <c r="D187" s="21">
        <v>57107.0970529009</v>
      </c>
      <c r="F187" s="10">
        <f t="shared" ref="F187:F191" si="70">D187-D186</f>
        <v>413.2908891978</v>
      </c>
      <c r="I187" s="10" t="s">
        <v>329</v>
      </c>
      <c r="J187" s="21">
        <v>57107.0970529009</v>
      </c>
      <c r="K187" s="21">
        <v>57515.0761514587</v>
      </c>
      <c r="M187" s="10" t="s">
        <v>423</v>
      </c>
      <c r="N187" s="21">
        <v>75854.6465011719</v>
      </c>
      <c r="O187" s="21">
        <v>76041.3902377569</v>
      </c>
      <c r="P187" s="10">
        <f t="shared" si="69"/>
        <v>186.743736585006</v>
      </c>
    </row>
    <row r="188" spans="3:16">
      <c r="C188" s="10" t="s">
        <v>330</v>
      </c>
      <c r="D188" s="21">
        <v>57515.0761514587</v>
      </c>
      <c r="G188" s="10">
        <f t="shared" si="68"/>
        <v>407.9790985578</v>
      </c>
      <c r="I188" s="10" t="s">
        <v>330</v>
      </c>
      <c r="J188" s="21">
        <v>57515.0761514587</v>
      </c>
      <c r="K188" s="21">
        <v>57899.7162919468</v>
      </c>
      <c r="M188" s="10" t="s">
        <v>427</v>
      </c>
      <c r="N188" s="21">
        <v>76113.0240434669</v>
      </c>
      <c r="O188" s="21">
        <v>76295.0608265855</v>
      </c>
      <c r="P188" s="10">
        <f t="shared" si="69"/>
        <v>182.036783118601</v>
      </c>
    </row>
    <row r="189" spans="3:16">
      <c r="C189" s="10" t="s">
        <v>333</v>
      </c>
      <c r="D189" s="21">
        <v>57899.7162919468</v>
      </c>
      <c r="F189" s="10">
        <f t="shared" si="70"/>
        <v>384.640140488103</v>
      </c>
      <c r="I189" s="10" t="s">
        <v>333</v>
      </c>
      <c r="J189" s="21">
        <v>57899.7162919468</v>
      </c>
      <c r="K189" s="21">
        <v>58161.6699122272</v>
      </c>
      <c r="M189" s="10" t="s">
        <v>430</v>
      </c>
      <c r="N189" s="21">
        <v>76463.9342708789</v>
      </c>
      <c r="O189" s="21">
        <v>77013.9787974417</v>
      </c>
      <c r="P189" s="10">
        <f t="shared" si="69"/>
        <v>550.044526562793</v>
      </c>
    </row>
    <row r="190" spans="3:16">
      <c r="C190" s="10" t="s">
        <v>334</v>
      </c>
      <c r="D190" s="21">
        <v>58161.6699122272</v>
      </c>
      <c r="G190" s="24">
        <f t="shared" ref="G190:G194" si="71">D190-D189</f>
        <v>261.953620280394</v>
      </c>
      <c r="I190" s="10" t="s">
        <v>334</v>
      </c>
      <c r="J190" s="21">
        <v>58161.6699122272</v>
      </c>
      <c r="K190" s="21">
        <v>58406.6570284686</v>
      </c>
      <c r="M190" s="10" t="s">
        <v>437</v>
      </c>
      <c r="N190" s="21">
        <v>77111.2238995373</v>
      </c>
      <c r="O190" s="21">
        <v>77840.696020479</v>
      </c>
      <c r="P190" s="10">
        <f t="shared" si="69"/>
        <v>729.472120941689</v>
      </c>
    </row>
    <row r="191" spans="3:16">
      <c r="C191" s="10" t="s">
        <v>337</v>
      </c>
      <c r="D191" s="21">
        <v>58406.6570284686</v>
      </c>
      <c r="F191" s="10">
        <f t="shared" si="70"/>
        <v>244.987116241406</v>
      </c>
      <c r="I191" s="10" t="s">
        <v>337</v>
      </c>
      <c r="J191" s="21">
        <v>58406.6570284686</v>
      </c>
      <c r="K191" s="21">
        <v>58835.0967642521</v>
      </c>
      <c r="M191" s="10" t="s">
        <v>449</v>
      </c>
      <c r="N191" s="21">
        <v>78437.686104672</v>
      </c>
      <c r="O191" s="22">
        <v>78697.9071302286</v>
      </c>
      <c r="P191" s="10">
        <f t="shared" si="69"/>
        <v>260.221025556602</v>
      </c>
    </row>
    <row r="192" spans="3:16">
      <c r="C192" s="10" t="s">
        <v>338</v>
      </c>
      <c r="D192" s="21">
        <v>58835.0967642521</v>
      </c>
      <c r="G192" s="10">
        <f t="shared" si="71"/>
        <v>428.439735783497</v>
      </c>
      <c r="I192" s="10" t="s">
        <v>338</v>
      </c>
      <c r="J192" s="21">
        <v>58835.0967642521</v>
      </c>
      <c r="K192" s="21">
        <v>58867.5000205961</v>
      </c>
      <c r="M192" s="10" t="s">
        <v>456</v>
      </c>
      <c r="N192" s="21">
        <v>79094.656411995</v>
      </c>
      <c r="O192" s="21">
        <v>79154.1450804926</v>
      </c>
      <c r="P192" s="10">
        <f t="shared" si="69"/>
        <v>59.4886684975936</v>
      </c>
    </row>
    <row r="193" spans="3:16">
      <c r="C193" s="10" t="s">
        <v>339</v>
      </c>
      <c r="D193" s="21">
        <v>58867.5000205961</v>
      </c>
      <c r="F193" s="10">
        <f t="shared" ref="F193:F197" si="72">D193-D192</f>
        <v>32.4032563439978</v>
      </c>
      <c r="I193" s="10" t="s">
        <v>339</v>
      </c>
      <c r="J193" s="21">
        <v>58867.5000205961</v>
      </c>
      <c r="K193" s="21">
        <v>59060.0028662811</v>
      </c>
      <c r="M193" s="10" t="s">
        <v>459</v>
      </c>
      <c r="N193" s="21">
        <v>79403.2461275148</v>
      </c>
      <c r="O193" s="21">
        <v>79471.9700055115</v>
      </c>
      <c r="P193" s="10">
        <f t="shared" si="69"/>
        <v>68.723877996701</v>
      </c>
    </row>
    <row r="194" spans="3:16">
      <c r="C194" s="10" t="s">
        <v>340</v>
      </c>
      <c r="D194" s="21">
        <v>59060.0028662811</v>
      </c>
      <c r="G194" s="24">
        <f t="shared" si="71"/>
        <v>192.502845685005</v>
      </c>
      <c r="I194" s="10" t="s">
        <v>340</v>
      </c>
      <c r="J194" s="21">
        <v>59060.0028662811</v>
      </c>
      <c r="K194" s="21">
        <v>59101.8806274276</v>
      </c>
      <c r="M194" s="10" t="s">
        <v>464</v>
      </c>
      <c r="N194" s="21">
        <v>80846.5078251235</v>
      </c>
      <c r="O194" s="21">
        <v>80897.8371824556</v>
      </c>
      <c r="P194" s="10">
        <f t="shared" si="69"/>
        <v>51.3293573320989</v>
      </c>
    </row>
    <row r="195" spans="3:16">
      <c r="C195" s="10" t="s">
        <v>341</v>
      </c>
      <c r="D195" s="21">
        <v>59101.8806274276</v>
      </c>
      <c r="F195" s="10">
        <f t="shared" si="72"/>
        <v>41.8777611464975</v>
      </c>
      <c r="I195" s="10" t="s">
        <v>341</v>
      </c>
      <c r="J195" s="21">
        <v>59101.8806274276</v>
      </c>
      <c r="K195" s="21">
        <v>59708.5511410438</v>
      </c>
      <c r="M195" s="10" t="s">
        <v>466</v>
      </c>
      <c r="N195" s="21">
        <v>81027.5310922426</v>
      </c>
      <c r="O195" s="21">
        <v>81051.5961326205</v>
      </c>
      <c r="P195" s="10">
        <f t="shared" si="69"/>
        <v>24.0650403779</v>
      </c>
    </row>
    <row r="196" spans="3:16">
      <c r="C196" s="10" t="s">
        <v>343</v>
      </c>
      <c r="D196" s="21">
        <v>59708.5511410438</v>
      </c>
      <c r="G196" s="10">
        <f t="shared" ref="G196:G200" si="73">D196-D195</f>
        <v>606.670513616198</v>
      </c>
      <c r="I196" s="10" t="s">
        <v>343</v>
      </c>
      <c r="J196" s="21">
        <v>59708.5511410438</v>
      </c>
      <c r="K196" s="21">
        <v>59722.9476397694</v>
      </c>
      <c r="M196" s="10" t="s">
        <v>470</v>
      </c>
      <c r="N196" s="21">
        <v>81907.7644491206</v>
      </c>
      <c r="O196" s="21">
        <v>81980.248830645</v>
      </c>
      <c r="P196" s="10">
        <f t="shared" si="69"/>
        <v>72.4843815243948</v>
      </c>
    </row>
    <row r="197" spans="3:16">
      <c r="C197" s="10" t="s">
        <v>344</v>
      </c>
      <c r="D197" s="21">
        <v>59722.9476397694</v>
      </c>
      <c r="F197" s="10">
        <f t="shared" si="72"/>
        <v>14.396498725604</v>
      </c>
      <c r="I197" s="10" t="s">
        <v>344</v>
      </c>
      <c r="J197" s="21">
        <v>59722.9476397694</v>
      </c>
      <c r="K197" s="21">
        <v>59993.3754102614</v>
      </c>
      <c r="M197" s="10" t="s">
        <v>474</v>
      </c>
      <c r="N197" s="21">
        <v>82229.1159937782</v>
      </c>
      <c r="O197" s="22">
        <v>82269.6839147659</v>
      </c>
      <c r="P197" s="10">
        <f t="shared" si="69"/>
        <v>40.567920987698</v>
      </c>
    </row>
    <row r="198" spans="3:16">
      <c r="C198" s="10" t="s">
        <v>345</v>
      </c>
      <c r="D198" s="21">
        <v>59993.3754102614</v>
      </c>
      <c r="G198" s="24">
        <f t="shared" si="73"/>
        <v>270.427770491995</v>
      </c>
      <c r="I198" s="10" t="s">
        <v>345</v>
      </c>
      <c r="J198" s="21">
        <v>59993.3754102614</v>
      </c>
      <c r="K198" s="21">
        <v>60018.0474723005</v>
      </c>
    </row>
    <row r="199" spans="3:16">
      <c r="C199" s="10" t="s">
        <v>346</v>
      </c>
      <c r="D199" s="21">
        <v>60018.0474723005</v>
      </c>
      <c r="F199" s="10">
        <f t="shared" ref="F199:F203" si="74">D199-D198</f>
        <v>24.6720620391061</v>
      </c>
      <c r="I199" s="10" t="s">
        <v>346</v>
      </c>
      <c r="J199" s="21">
        <v>60018.0474723005</v>
      </c>
      <c r="K199" s="21">
        <v>60556.0363766439</v>
      </c>
    </row>
    <row r="200" spans="3:16">
      <c r="C200" s="10" t="s">
        <v>347</v>
      </c>
      <c r="D200" s="21">
        <v>60556.0363766439</v>
      </c>
      <c r="G200" s="10">
        <f t="shared" si="73"/>
        <v>537.988904343394</v>
      </c>
      <c r="I200" s="10" t="s">
        <v>347</v>
      </c>
      <c r="J200" s="21">
        <v>60556.0363766439</v>
      </c>
      <c r="K200" s="21">
        <v>60664.1337979516</v>
      </c>
    </row>
    <row r="201" spans="3:16">
      <c r="C201" s="10" t="s">
        <v>349</v>
      </c>
      <c r="D201" s="21">
        <v>60664.1337979516</v>
      </c>
      <c r="F201" s="10">
        <f t="shared" si="74"/>
        <v>108.097421307706</v>
      </c>
      <c r="I201" s="10" t="s">
        <v>349</v>
      </c>
      <c r="J201" s="21">
        <v>60664.1337979516</v>
      </c>
      <c r="K201" s="21">
        <v>60901.3924004132</v>
      </c>
    </row>
    <row r="202" spans="3:16">
      <c r="C202" s="10" t="s">
        <v>350</v>
      </c>
      <c r="D202" s="21">
        <v>60901.3924004132</v>
      </c>
      <c r="G202" s="24">
        <f t="shared" ref="G202:G206" si="75">D202-D201</f>
        <v>237.258602461596</v>
      </c>
      <c r="I202" s="10" t="s">
        <v>350</v>
      </c>
      <c r="J202" s="21">
        <v>60901.3924004132</v>
      </c>
      <c r="K202" s="21">
        <v>60948.8528582256</v>
      </c>
    </row>
    <row r="203" spans="3:16">
      <c r="C203" s="10" t="s">
        <v>351</v>
      </c>
      <c r="D203" s="21">
        <v>60948.8528582256</v>
      </c>
      <c r="F203" s="10">
        <f t="shared" si="74"/>
        <v>47.4604578123981</v>
      </c>
      <c r="I203" s="10" t="s">
        <v>351</v>
      </c>
      <c r="J203" s="21">
        <v>60948.8528582256</v>
      </c>
      <c r="K203" s="21">
        <v>61378.4703630365</v>
      </c>
    </row>
    <row r="204" spans="3:16">
      <c r="C204" s="10" t="s">
        <v>352</v>
      </c>
      <c r="D204" s="21">
        <v>61378.4703630365</v>
      </c>
      <c r="G204" s="10">
        <f t="shared" si="75"/>
        <v>429.6175048109</v>
      </c>
      <c r="I204" s="10" t="s">
        <v>352</v>
      </c>
      <c r="J204" s="21">
        <v>61378.4703630365</v>
      </c>
      <c r="K204" s="21">
        <v>61410.6159604102</v>
      </c>
    </row>
    <row r="205" spans="3:16">
      <c r="C205" s="10" t="s">
        <v>353</v>
      </c>
      <c r="D205" s="21">
        <v>61410.6159604102</v>
      </c>
      <c r="F205" s="10">
        <f t="shared" ref="F205:F209" si="76">D205-D204</f>
        <v>32.1455973737029</v>
      </c>
      <c r="I205" s="10" t="s">
        <v>353</v>
      </c>
      <c r="J205" s="21">
        <v>61410.6159604102</v>
      </c>
      <c r="K205" s="21">
        <v>61541.5987195246</v>
      </c>
    </row>
    <row r="206" spans="3:16">
      <c r="C206" s="10" t="s">
        <v>354</v>
      </c>
      <c r="D206" s="21">
        <v>61541.5987195246</v>
      </c>
      <c r="G206" s="24">
        <f t="shared" si="75"/>
        <v>130.982759114399</v>
      </c>
      <c r="I206" s="10" t="s">
        <v>354</v>
      </c>
      <c r="J206" s="21">
        <v>61541.5987195246</v>
      </c>
      <c r="K206" s="21">
        <v>61550.8717357092</v>
      </c>
    </row>
    <row r="207" spans="3:16">
      <c r="C207" s="10" t="s">
        <v>355</v>
      </c>
      <c r="D207" s="21">
        <v>61550.8717357092</v>
      </c>
      <c r="F207" s="10">
        <f t="shared" si="76"/>
        <v>9.27301618460478</v>
      </c>
      <c r="I207" s="10" t="s">
        <v>355</v>
      </c>
      <c r="J207" s="21">
        <v>61550.8717357092</v>
      </c>
      <c r="K207" s="21">
        <v>62000.3242313191</v>
      </c>
    </row>
    <row r="208" spans="3:16">
      <c r="C208" s="10" t="s">
        <v>357</v>
      </c>
      <c r="D208" s="21">
        <v>62000.3242313191</v>
      </c>
      <c r="G208" s="10">
        <f t="shared" ref="G208:G213" si="77">D208-D207</f>
        <v>449.452495609898</v>
      </c>
      <c r="I208" s="10" t="s">
        <v>357</v>
      </c>
      <c r="J208" s="21">
        <v>62000.3242313191</v>
      </c>
      <c r="K208" s="21">
        <v>62163.989497528</v>
      </c>
      <c r="M208" s="9"/>
      <c r="N208" s="9"/>
      <c r="O208" s="9"/>
      <c r="P208" s="9"/>
    </row>
    <row r="209" spans="1:16">
      <c r="C209" s="10" t="s">
        <v>358</v>
      </c>
      <c r="D209" s="21">
        <v>62163.989497528</v>
      </c>
      <c r="F209" s="10">
        <f t="shared" si="76"/>
        <v>163.665266208896</v>
      </c>
      <c r="I209" s="10" t="s">
        <v>358</v>
      </c>
      <c r="J209" s="21">
        <v>62163.989497528</v>
      </c>
      <c r="K209" s="21">
        <v>64067.6741040669</v>
      </c>
    </row>
    <row r="210" spans="1:16">
      <c r="C210" s="10" t="s">
        <v>360</v>
      </c>
      <c r="D210" s="21">
        <v>64067.6741040669</v>
      </c>
      <c r="G210" s="10">
        <f t="shared" si="77"/>
        <v>1903.6846065389</v>
      </c>
      <c r="I210" s="10" t="s">
        <v>360</v>
      </c>
      <c r="J210" s="21">
        <v>64067.6741040669</v>
      </c>
      <c r="K210" s="22">
        <v>64208.6501207671</v>
      </c>
    </row>
    <row r="211" s="9" customFormat="1" spans="1:16">
      <c r="A211" s="9" t="s">
        <v>2656</v>
      </c>
      <c r="C211" s="9" t="s">
        <v>894</v>
      </c>
      <c r="D211" s="22">
        <v>64208.6501207671</v>
      </c>
      <c r="F211" s="9">
        <f t="shared" ref="F211:F214" si="78">D211-D210</f>
        <v>140.976016700202</v>
      </c>
      <c r="H211" s="9">
        <f>D234-D211</f>
        <v>10428.8615557879</v>
      </c>
      <c r="I211" s="9" t="s">
        <v>363</v>
      </c>
      <c r="J211" s="22">
        <v>64208.6501207671</v>
      </c>
      <c r="K211" s="21">
        <v>64265.6921800704</v>
      </c>
      <c r="M211" s="10"/>
      <c r="N211" s="10"/>
      <c r="O211" s="10"/>
      <c r="P211" s="10"/>
    </row>
    <row r="212" spans="1:16">
      <c r="C212" s="10" t="s">
        <v>364</v>
      </c>
      <c r="D212" s="21">
        <v>64265.6921800704</v>
      </c>
      <c r="F212" s="10">
        <f t="shared" si="78"/>
        <v>57.0420593032977</v>
      </c>
      <c r="I212" s="10" t="s">
        <v>364</v>
      </c>
      <c r="J212" s="21">
        <v>64265.6921800704</v>
      </c>
      <c r="K212" s="21">
        <v>64623.0757694656</v>
      </c>
    </row>
    <row r="213" spans="1:16">
      <c r="C213" s="10" t="s">
        <v>366</v>
      </c>
      <c r="D213" s="21">
        <v>64623.0757694656</v>
      </c>
      <c r="G213" s="25">
        <f t="shared" si="77"/>
        <v>357.383589395198</v>
      </c>
      <c r="I213" s="10" t="s">
        <v>366</v>
      </c>
      <c r="J213" s="21">
        <v>64623.0757694656</v>
      </c>
      <c r="K213" s="21">
        <v>64727.6126092999</v>
      </c>
    </row>
    <row r="214" spans="1:16">
      <c r="C214" s="10" t="s">
        <v>367</v>
      </c>
      <c r="D214" s="21">
        <v>64727.6126092999</v>
      </c>
      <c r="F214" s="10">
        <f t="shared" si="78"/>
        <v>104.536839834298</v>
      </c>
      <c r="I214" s="10" t="s">
        <v>367</v>
      </c>
      <c r="J214" s="21">
        <v>64727.6126092999</v>
      </c>
      <c r="K214" s="21">
        <v>65110.1632695476</v>
      </c>
    </row>
    <row r="215" spans="1:16">
      <c r="C215" s="10" t="s">
        <v>369</v>
      </c>
      <c r="D215" s="21">
        <v>65110.1632695476</v>
      </c>
      <c r="G215" s="25">
        <f t="shared" ref="G215:G219" si="79">D215-D214</f>
        <v>382.550660247703</v>
      </c>
      <c r="I215" s="10" t="s">
        <v>369</v>
      </c>
      <c r="J215" s="21">
        <v>65110.1632695476</v>
      </c>
      <c r="K215" s="21">
        <v>65570.7313778228</v>
      </c>
    </row>
    <row r="216" spans="1:16">
      <c r="C216" s="10" t="s">
        <v>375</v>
      </c>
      <c r="D216" s="21">
        <v>65570.7313778228</v>
      </c>
      <c r="F216" s="10">
        <f t="shared" ref="F216:F220" si="80">D216-D215</f>
        <v>460.568108275198</v>
      </c>
      <c r="I216" s="10" t="s">
        <v>375</v>
      </c>
      <c r="J216" s="21">
        <v>65570.7313778228</v>
      </c>
      <c r="K216" s="21">
        <v>66250.0665012525</v>
      </c>
    </row>
    <row r="217" spans="1:16">
      <c r="C217" s="10" t="s">
        <v>376</v>
      </c>
      <c r="D217" s="21">
        <v>66250.0665012525</v>
      </c>
      <c r="G217" s="25">
        <f t="shared" si="79"/>
        <v>679.335123429701</v>
      </c>
      <c r="I217" s="10" t="s">
        <v>376</v>
      </c>
      <c r="J217" s="21">
        <v>66250.0665012525</v>
      </c>
      <c r="K217" s="21">
        <v>66666.8592323578</v>
      </c>
    </row>
    <row r="218" spans="1:16">
      <c r="C218" s="10" t="s">
        <v>380</v>
      </c>
      <c r="D218" s="21">
        <v>66666.8592323578</v>
      </c>
      <c r="F218" s="10">
        <f t="shared" si="80"/>
        <v>416.792731105306</v>
      </c>
      <c r="I218" s="10" t="s">
        <v>380</v>
      </c>
      <c r="J218" s="21">
        <v>66666.8592323578</v>
      </c>
      <c r="K218" s="21">
        <v>67134.410604023</v>
      </c>
    </row>
    <row r="219" spans="1:16">
      <c r="C219" s="10" t="s">
        <v>381</v>
      </c>
      <c r="D219" s="21">
        <v>67134.410604023</v>
      </c>
      <c r="G219" s="25">
        <f t="shared" si="79"/>
        <v>467.551371665191</v>
      </c>
      <c r="I219" s="10" t="s">
        <v>381</v>
      </c>
      <c r="J219" s="21">
        <v>67134.410604023</v>
      </c>
      <c r="K219" s="21">
        <v>68000.5346367002</v>
      </c>
    </row>
    <row r="220" spans="1:16">
      <c r="C220" s="10" t="s">
        <v>390</v>
      </c>
      <c r="D220" s="21">
        <v>68000.5346367002</v>
      </c>
      <c r="F220" s="10">
        <f t="shared" si="80"/>
        <v>866.124032677209</v>
      </c>
      <c r="I220" s="10" t="s">
        <v>390</v>
      </c>
      <c r="J220" s="21">
        <v>68000.5346367002</v>
      </c>
      <c r="K220" s="21">
        <v>69121.9388226835</v>
      </c>
    </row>
    <row r="221" spans="1:16">
      <c r="C221" s="10" t="s">
        <v>392</v>
      </c>
      <c r="D221" s="21">
        <v>69121.9388226835</v>
      </c>
      <c r="G221" s="25">
        <f t="shared" ref="G221:G225" si="81">D221-D220</f>
        <v>1121.40418598329</v>
      </c>
      <c r="I221" s="10" t="s">
        <v>392</v>
      </c>
      <c r="J221" s="21">
        <v>69121.9388226835</v>
      </c>
      <c r="K221" s="21">
        <v>69202.1643107948</v>
      </c>
    </row>
    <row r="222" spans="1:16">
      <c r="C222" s="10" t="s">
        <v>394</v>
      </c>
      <c r="D222" s="21">
        <v>69202.1643107948</v>
      </c>
      <c r="F222" s="10">
        <f t="shared" ref="F222:F226" si="82">D222-D221</f>
        <v>80.225488111304</v>
      </c>
      <c r="I222" s="10" t="s">
        <v>394</v>
      </c>
      <c r="J222" s="21">
        <v>69202.1643107948</v>
      </c>
      <c r="K222" s="21">
        <v>69322.9583484228</v>
      </c>
    </row>
    <row r="223" spans="1:16">
      <c r="C223" s="10" t="s">
        <v>395</v>
      </c>
      <c r="D223" s="21">
        <v>69322.9583484228</v>
      </c>
      <c r="G223" s="10">
        <f t="shared" si="81"/>
        <v>120.794037628002</v>
      </c>
      <c r="I223" s="10" t="s">
        <v>395</v>
      </c>
      <c r="J223" s="21">
        <v>69322.9583484228</v>
      </c>
      <c r="K223" s="21">
        <v>69699.9302831009</v>
      </c>
    </row>
    <row r="224" spans="1:16">
      <c r="C224" s="10" t="s">
        <v>400</v>
      </c>
      <c r="D224" s="21">
        <v>69699.9302831009</v>
      </c>
      <c r="F224" s="10">
        <f t="shared" si="82"/>
        <v>376.971934678091</v>
      </c>
      <c r="I224" s="10" t="s">
        <v>400</v>
      </c>
      <c r="J224" s="21">
        <v>69699.9302831009</v>
      </c>
      <c r="K224" s="21">
        <v>70047.6761839845</v>
      </c>
    </row>
    <row r="225" spans="3:16">
      <c r="C225" s="10" t="s">
        <v>402</v>
      </c>
      <c r="D225" s="21">
        <v>70047.6761839845</v>
      </c>
      <c r="G225" s="25">
        <f t="shared" si="81"/>
        <v>347.745900883601</v>
      </c>
      <c r="I225" s="10" t="s">
        <v>402</v>
      </c>
      <c r="J225" s="21">
        <v>70047.6761839845</v>
      </c>
      <c r="K225" s="21">
        <v>70084.5819136896</v>
      </c>
    </row>
    <row r="226" spans="3:16">
      <c r="C226" s="10" t="s">
        <v>403</v>
      </c>
      <c r="D226" s="21">
        <v>70084.5819136896</v>
      </c>
      <c r="F226" s="10">
        <f t="shared" si="82"/>
        <v>36.905729705104</v>
      </c>
      <c r="I226" s="10" t="s">
        <v>403</v>
      </c>
      <c r="J226" s="21">
        <v>70084.5819136896</v>
      </c>
      <c r="K226" s="21">
        <v>70310.3180358818</v>
      </c>
    </row>
    <row r="227" spans="3:16">
      <c r="C227" s="10" t="s">
        <v>405</v>
      </c>
      <c r="D227" s="21">
        <v>70310.3180358818</v>
      </c>
      <c r="G227" s="25">
        <f t="shared" ref="G227:G231" si="83">D227-D226</f>
        <v>225.736122192204</v>
      </c>
      <c r="I227" s="10" t="s">
        <v>405</v>
      </c>
      <c r="J227" s="21">
        <v>70310.3180358818</v>
      </c>
      <c r="K227" s="21">
        <v>70340.7183075067</v>
      </c>
    </row>
    <row r="228" spans="3:16">
      <c r="C228" s="10" t="s">
        <v>406</v>
      </c>
      <c r="D228" s="21">
        <v>70340.7183075067</v>
      </c>
      <c r="F228" s="10">
        <f t="shared" ref="F228:F232" si="84">D228-D227</f>
        <v>30.4002716248942</v>
      </c>
      <c r="I228" s="10" t="s">
        <v>406</v>
      </c>
      <c r="J228" s="21">
        <v>70340.7183075067</v>
      </c>
      <c r="K228" s="21">
        <v>70380.1928916501</v>
      </c>
    </row>
    <row r="229" spans="3:16">
      <c r="C229" s="10" t="s">
        <v>407</v>
      </c>
      <c r="D229" s="21">
        <v>70380.1928916501</v>
      </c>
      <c r="G229" s="10">
        <f t="shared" si="83"/>
        <v>39.4745841434051</v>
      </c>
      <c r="I229" s="10" t="s">
        <v>407</v>
      </c>
      <c r="J229" s="21">
        <v>70380.1928916501</v>
      </c>
      <c r="K229" s="21">
        <v>70399.9245158317</v>
      </c>
    </row>
    <row r="230" spans="3:16">
      <c r="C230" s="10" t="s">
        <v>408</v>
      </c>
      <c r="D230" s="21">
        <v>70399.9245158317</v>
      </c>
      <c r="F230" s="10">
        <f t="shared" si="84"/>
        <v>19.7316241816006</v>
      </c>
      <c r="I230" s="10" t="s">
        <v>408</v>
      </c>
      <c r="J230" s="21">
        <v>70399.9245158317</v>
      </c>
      <c r="K230" s="21">
        <v>70738.5816884478</v>
      </c>
    </row>
    <row r="231" spans="3:16">
      <c r="C231" s="10" t="s">
        <v>410</v>
      </c>
      <c r="D231" s="21">
        <v>70738.5816884478</v>
      </c>
      <c r="G231" s="25">
        <f t="shared" si="83"/>
        <v>338.657172616091</v>
      </c>
      <c r="I231" s="10" t="s">
        <v>410</v>
      </c>
      <c r="J231" s="21">
        <v>70738.5816884478</v>
      </c>
      <c r="K231" s="21">
        <v>70738.5816884478</v>
      </c>
      <c r="M231" s="9"/>
      <c r="N231" s="9"/>
      <c r="O231" s="9"/>
      <c r="P231" s="9"/>
    </row>
    <row r="232" spans="3:16">
      <c r="C232" s="10" t="s">
        <v>411</v>
      </c>
      <c r="D232" s="21">
        <v>70738.5816884478</v>
      </c>
      <c r="F232" s="10">
        <f t="shared" si="84"/>
        <v>0</v>
      </c>
      <c r="I232" s="10" t="s">
        <v>411</v>
      </c>
      <c r="J232" s="21">
        <v>70738.5816884478</v>
      </c>
      <c r="K232" s="21">
        <v>74637.511676555</v>
      </c>
    </row>
    <row r="233" spans="3:16">
      <c r="C233" s="10" t="s">
        <v>412</v>
      </c>
      <c r="D233" s="21">
        <v>74637.511676555</v>
      </c>
      <c r="G233" s="10">
        <f>D233-D232</f>
        <v>3898.92998810721</v>
      </c>
      <c r="I233" s="10" t="s">
        <v>412</v>
      </c>
      <c r="J233" s="21">
        <v>74637.511676555</v>
      </c>
      <c r="K233" s="22">
        <v>74637.511676555</v>
      </c>
    </row>
    <row r="234" s="9" customFormat="1" spans="3:16">
      <c r="C234" s="26" t="s">
        <v>852</v>
      </c>
      <c r="D234" s="27">
        <v>74637.511676555</v>
      </c>
      <c r="E234" s="26"/>
      <c r="F234" s="26">
        <f>D234-D233</f>
        <v>0</v>
      </c>
      <c r="G234" s="26"/>
      <c r="H234" s="9">
        <f>D247-D234</f>
        <v>4060.3954536736</v>
      </c>
      <c r="J234" s="22">
        <v>74637.511676555</v>
      </c>
      <c r="K234" s="21">
        <v>74961.963032858</v>
      </c>
      <c r="M234" s="10"/>
      <c r="N234" s="10"/>
      <c r="O234" s="10"/>
      <c r="P234" s="10"/>
    </row>
    <row r="235" spans="3:16">
      <c r="C235" s="10" t="s">
        <v>417</v>
      </c>
      <c r="D235" s="21">
        <v>74961.963032858</v>
      </c>
      <c r="F235" s="10">
        <f>D235-D234</f>
        <v>324.451356302947</v>
      </c>
      <c r="I235" s="10" t="s">
        <v>417</v>
      </c>
      <c r="J235" s="21">
        <v>74961.963032858</v>
      </c>
      <c r="K235" s="21">
        <v>75497.3537306913</v>
      </c>
    </row>
    <row r="236" spans="3:16">
      <c r="C236" s="10" t="s">
        <v>420</v>
      </c>
      <c r="D236" s="21">
        <v>75497.3537306913</v>
      </c>
      <c r="G236" s="10">
        <f>D236-D235</f>
        <v>535.390697833311</v>
      </c>
      <c r="I236" s="10" t="s">
        <v>420</v>
      </c>
      <c r="J236" s="21">
        <v>75497.3537306913</v>
      </c>
      <c r="K236" s="21">
        <v>75701.7814833285</v>
      </c>
    </row>
    <row r="237" spans="3:16">
      <c r="C237" s="10" t="s">
        <v>422</v>
      </c>
      <c r="D237" s="21">
        <v>75701.7814833285</v>
      </c>
      <c r="F237" s="10">
        <f>D237-D236</f>
        <v>204.427752637188</v>
      </c>
      <c r="I237" s="10" t="s">
        <v>422</v>
      </c>
      <c r="J237" s="21">
        <v>75701.7814833285</v>
      </c>
      <c r="K237" s="21">
        <v>75854.6465011719</v>
      </c>
    </row>
    <row r="238" spans="3:16">
      <c r="C238" s="10" t="s">
        <v>423</v>
      </c>
      <c r="D238" s="21">
        <v>75854.6465011719</v>
      </c>
      <c r="G238" s="10">
        <f>D238-D237</f>
        <v>152.865017843404</v>
      </c>
      <c r="I238" s="10" t="s">
        <v>423</v>
      </c>
      <c r="J238" s="21">
        <v>75854.6465011719</v>
      </c>
      <c r="K238" s="21">
        <v>76041.3902377569</v>
      </c>
    </row>
    <row r="239" spans="3:16">
      <c r="C239" s="10" t="s">
        <v>426</v>
      </c>
      <c r="D239" s="21">
        <v>76041.3902377569</v>
      </c>
      <c r="F239" s="10">
        <f>D239-D238</f>
        <v>186.743736585006</v>
      </c>
      <c r="I239" s="10" t="s">
        <v>426</v>
      </c>
      <c r="J239" s="21">
        <v>76041.3902377569</v>
      </c>
      <c r="K239" s="21">
        <v>76113.0240434669</v>
      </c>
    </row>
    <row r="240" spans="3:16">
      <c r="C240" s="10" t="s">
        <v>427</v>
      </c>
      <c r="D240" s="21">
        <v>76113.0240434669</v>
      </c>
      <c r="G240" s="10">
        <f t="shared" ref="G240:G244" si="85">D240-D239</f>
        <v>71.6338057099929</v>
      </c>
      <c r="I240" s="10" t="s">
        <v>427</v>
      </c>
      <c r="J240" s="21">
        <v>76113.0240434669</v>
      </c>
      <c r="K240" s="21">
        <v>76295.0608265855</v>
      </c>
    </row>
    <row r="241" spans="1:16">
      <c r="C241" s="10" t="s">
        <v>429</v>
      </c>
      <c r="D241" s="21">
        <v>76295.0608265855</v>
      </c>
      <c r="F241" s="10">
        <f t="shared" ref="F241:F245" si="86">D241-D240</f>
        <v>182.036783118601</v>
      </c>
      <c r="I241" s="10" t="s">
        <v>429</v>
      </c>
      <c r="J241" s="21">
        <v>76295.0608265855</v>
      </c>
      <c r="K241" s="21">
        <v>76463.9342708789</v>
      </c>
    </row>
    <row r="242" spans="1:16">
      <c r="C242" s="10" t="s">
        <v>430</v>
      </c>
      <c r="D242" s="21">
        <v>76463.9342708789</v>
      </c>
      <c r="G242" s="10">
        <f t="shared" si="85"/>
        <v>168.873444293407</v>
      </c>
      <c r="I242" s="10" t="s">
        <v>430</v>
      </c>
      <c r="J242" s="21">
        <v>76463.9342708789</v>
      </c>
      <c r="K242" s="21">
        <v>77013.9787974417</v>
      </c>
    </row>
    <row r="243" spans="1:16">
      <c r="C243" s="10" t="s">
        <v>436</v>
      </c>
      <c r="D243" s="21">
        <v>77013.9787974417</v>
      </c>
      <c r="F243" s="10">
        <f t="shared" si="86"/>
        <v>550.044526562793</v>
      </c>
      <c r="I243" s="10" t="s">
        <v>436</v>
      </c>
      <c r="J243" s="21">
        <v>77013.9787974417</v>
      </c>
      <c r="K243" s="21">
        <v>77111.2238995373</v>
      </c>
    </row>
    <row r="244" spans="1:16">
      <c r="C244" s="10" t="s">
        <v>437</v>
      </c>
      <c r="D244" s="21">
        <v>77111.2238995373</v>
      </c>
      <c r="G244" s="10">
        <f t="shared" si="85"/>
        <v>97.2451020956069</v>
      </c>
      <c r="I244" s="10" t="s">
        <v>437</v>
      </c>
      <c r="J244" s="21">
        <v>77111.2238995373</v>
      </c>
      <c r="K244" s="21">
        <v>77840.696020479</v>
      </c>
      <c r="M244" s="9"/>
      <c r="N244" s="9"/>
      <c r="O244" s="9"/>
      <c r="P244" s="9"/>
    </row>
    <row r="245" spans="1:16">
      <c r="C245" s="10" t="s">
        <v>447</v>
      </c>
      <c r="D245" s="21">
        <v>77840.696020479</v>
      </c>
      <c r="F245" s="10">
        <f t="shared" si="86"/>
        <v>729.472120941689</v>
      </c>
      <c r="I245" s="10" t="s">
        <v>447</v>
      </c>
      <c r="J245" s="21">
        <v>77840.696020479</v>
      </c>
      <c r="K245" s="21">
        <v>78437.686104672</v>
      </c>
    </row>
    <row r="246" spans="1:16">
      <c r="C246" s="10" t="s">
        <v>449</v>
      </c>
      <c r="D246" s="21">
        <v>78437.686104672</v>
      </c>
      <c r="G246" s="25">
        <f>D246-D245</f>
        <v>596.990084193007</v>
      </c>
      <c r="I246" s="10" t="s">
        <v>449</v>
      </c>
      <c r="J246" s="21">
        <v>78437.686104672</v>
      </c>
      <c r="K246" s="22">
        <v>78697.9071302286</v>
      </c>
    </row>
    <row r="247" s="9" customFormat="1" spans="1:16">
      <c r="A247" s="9" t="s">
        <v>2657</v>
      </c>
      <c r="C247" s="9" t="s">
        <v>853</v>
      </c>
      <c r="D247" s="22">
        <v>78697.9071302286</v>
      </c>
      <c r="F247" s="9">
        <f>D247-D246</f>
        <v>260.221025556602</v>
      </c>
      <c r="G247" s="28"/>
      <c r="H247" s="9">
        <f>D260-D247</f>
        <v>3571.7767845373</v>
      </c>
      <c r="I247" s="9" t="s">
        <v>2658</v>
      </c>
      <c r="J247" s="22">
        <v>78697.9071302286</v>
      </c>
      <c r="K247" s="21">
        <v>78697.9071302286</v>
      </c>
      <c r="M247" s="10"/>
      <c r="N247" s="10"/>
      <c r="O247" s="10"/>
      <c r="P247" s="10"/>
    </row>
    <row r="248" spans="1:16">
      <c r="C248" s="10" t="s">
        <v>454</v>
      </c>
      <c r="D248" s="21">
        <v>78697.9071302286</v>
      </c>
      <c r="F248" s="10">
        <f>D248-D247</f>
        <v>0</v>
      </c>
      <c r="I248" s="10" t="s">
        <v>454</v>
      </c>
      <c r="J248" s="21">
        <v>78697.9071302286</v>
      </c>
      <c r="K248" s="21">
        <v>79094.656411995</v>
      </c>
    </row>
    <row r="249" spans="1:16">
      <c r="C249" s="10" t="s">
        <v>456</v>
      </c>
      <c r="D249" s="21">
        <v>79094.656411995</v>
      </c>
      <c r="G249" s="25">
        <f>D249-D248</f>
        <v>396.749281766402</v>
      </c>
      <c r="I249" s="10" t="s">
        <v>456</v>
      </c>
      <c r="J249" s="21">
        <v>79094.656411995</v>
      </c>
      <c r="K249" s="21">
        <v>79154.1450804926</v>
      </c>
    </row>
    <row r="250" spans="1:16">
      <c r="C250" s="10" t="s">
        <v>458</v>
      </c>
      <c r="D250" s="21">
        <v>79154.1450804926</v>
      </c>
      <c r="F250" s="10">
        <f>D250-D249</f>
        <v>59.4886684975936</v>
      </c>
      <c r="I250" s="10" t="s">
        <v>458</v>
      </c>
      <c r="J250" s="21">
        <v>79154.1450804926</v>
      </c>
      <c r="K250" s="21">
        <v>79403.2461275148</v>
      </c>
    </row>
    <row r="251" spans="1:16">
      <c r="C251" s="10" t="s">
        <v>459</v>
      </c>
      <c r="D251" s="21">
        <v>79403.2461275148</v>
      </c>
      <c r="G251" s="10">
        <f>D251-D250</f>
        <v>249.101047022195</v>
      </c>
      <c r="I251" s="10" t="s">
        <v>459</v>
      </c>
      <c r="J251" s="21">
        <v>79403.2461275148</v>
      </c>
      <c r="K251" s="21">
        <v>79471.9700055115</v>
      </c>
    </row>
    <row r="252" spans="1:16">
      <c r="C252" s="10" t="s">
        <v>461</v>
      </c>
      <c r="D252" s="21">
        <v>79471.9700055115</v>
      </c>
      <c r="F252" s="10">
        <f>D252-D251</f>
        <v>68.723877996701</v>
      </c>
      <c r="I252" s="10" t="s">
        <v>461</v>
      </c>
      <c r="J252" s="21">
        <v>79471.9700055115</v>
      </c>
      <c r="K252" s="21">
        <v>80846.5078251235</v>
      </c>
    </row>
    <row r="253" spans="1:16">
      <c r="C253" s="10" t="s">
        <v>464</v>
      </c>
      <c r="D253" s="21">
        <v>80846.5078251235</v>
      </c>
      <c r="G253" s="25">
        <f t="shared" ref="G253:G257" si="87">D253-D252</f>
        <v>1374.537819612</v>
      </c>
      <c r="I253" s="10" t="s">
        <v>464</v>
      </c>
      <c r="J253" s="21">
        <v>80846.5078251235</v>
      </c>
      <c r="K253" s="21">
        <v>80897.8371824556</v>
      </c>
    </row>
    <row r="254" spans="1:16">
      <c r="C254" s="10" t="s">
        <v>465</v>
      </c>
      <c r="D254" s="21">
        <v>80897.8371824556</v>
      </c>
      <c r="F254" s="10">
        <f t="shared" ref="F254:F258" si="88">D254-D253</f>
        <v>51.3293573320989</v>
      </c>
      <c r="I254" s="10" t="s">
        <v>465</v>
      </c>
      <c r="J254" s="21">
        <v>80897.8371824556</v>
      </c>
      <c r="K254" s="21">
        <v>81027.5310922426</v>
      </c>
    </row>
    <row r="255" spans="1:16">
      <c r="C255" s="10" t="s">
        <v>466</v>
      </c>
      <c r="D255" s="21">
        <v>81027.5310922426</v>
      </c>
      <c r="G255" s="10">
        <f t="shared" si="87"/>
        <v>129.693909787005</v>
      </c>
      <c r="I255" s="10" t="s">
        <v>466</v>
      </c>
      <c r="J255" s="21">
        <v>81027.5310922426</v>
      </c>
      <c r="K255" s="21">
        <v>81051.5961326205</v>
      </c>
    </row>
    <row r="256" spans="1:16">
      <c r="C256" s="10" t="s">
        <v>467</v>
      </c>
      <c r="D256" s="21">
        <v>81051.5961326205</v>
      </c>
      <c r="F256" s="10">
        <f t="shared" si="88"/>
        <v>24.0650403779</v>
      </c>
      <c r="I256" s="10" t="s">
        <v>467</v>
      </c>
      <c r="J256" s="21">
        <v>81051.5961326205</v>
      </c>
      <c r="K256" s="21">
        <v>81907.7644491206</v>
      </c>
    </row>
    <row r="257" spans="1:16">
      <c r="C257" s="10" t="s">
        <v>470</v>
      </c>
      <c r="D257" s="21">
        <v>81907.7644491206</v>
      </c>
      <c r="G257" s="25">
        <f t="shared" si="87"/>
        <v>856.168316500101</v>
      </c>
      <c r="I257" s="10" t="s">
        <v>470</v>
      </c>
      <c r="J257" s="21">
        <v>81907.7644491206</v>
      </c>
      <c r="K257" s="21">
        <v>81980.248830645</v>
      </c>
      <c r="M257" s="9"/>
      <c r="N257" s="9"/>
      <c r="O257" s="9"/>
      <c r="P257" s="9"/>
    </row>
    <row r="258" spans="1:16">
      <c r="C258" s="10" t="s">
        <v>473</v>
      </c>
      <c r="D258" s="21">
        <v>81980.248830645</v>
      </c>
      <c r="F258" s="10">
        <f t="shared" si="88"/>
        <v>72.4843815243948</v>
      </c>
      <c r="I258" s="10" t="s">
        <v>473</v>
      </c>
      <c r="J258" s="21">
        <v>81980.248830645</v>
      </c>
      <c r="K258" s="21">
        <v>82229.1159937782</v>
      </c>
    </row>
    <row r="259" spans="1:16">
      <c r="C259" s="10" t="s">
        <v>474</v>
      </c>
      <c r="D259" s="21">
        <v>82229.1159937782</v>
      </c>
      <c r="G259" s="10">
        <f>D259-D258</f>
        <v>248.867163133211</v>
      </c>
      <c r="I259" s="10" t="s">
        <v>474</v>
      </c>
      <c r="J259" s="21">
        <v>82229.1159937782</v>
      </c>
      <c r="K259" s="22">
        <v>82269.6839147659</v>
      </c>
    </row>
    <row r="260" s="9" customFormat="1" spans="1:16">
      <c r="A260" s="9" t="s">
        <v>2659</v>
      </c>
      <c r="C260" s="9" t="s">
        <v>854</v>
      </c>
      <c r="D260" s="22">
        <v>82269.6839147659</v>
      </c>
      <c r="F260" s="9">
        <f>D260-D259</f>
        <v>40.5679209876689</v>
      </c>
      <c r="I260" s="9" t="s">
        <v>854</v>
      </c>
      <c r="J260" s="22">
        <v>82269.6839147659</v>
      </c>
      <c r="M260" s="10"/>
      <c r="N260" s="10"/>
      <c r="O260" s="10"/>
      <c r="P260" s="10"/>
    </row>
    <row r="261" spans="1:16">
      <c r="C261" s="10" t="s">
        <v>476</v>
      </c>
      <c r="D261" s="21">
        <v>82357.6543776629</v>
      </c>
      <c r="F261" s="10">
        <f>D261-D260</f>
        <v>87.9704628970212</v>
      </c>
    </row>
    <row r="262" spans="1:16">
      <c r="C262" s="10" t="s">
        <v>478</v>
      </c>
      <c r="D262" s="21">
        <v>83574.565593783</v>
      </c>
      <c r="G262" s="25">
        <f>D262-D261</f>
        <v>1216.9112161201</v>
      </c>
    </row>
    <row r="263" spans="1:16">
      <c r="C263" s="10" t="s">
        <v>480</v>
      </c>
      <c r="D263" s="21">
        <v>83777.4929900788</v>
      </c>
      <c r="F263" s="10">
        <f>D263-D262</f>
        <v>202.927396295796</v>
      </c>
    </row>
    <row r="264" spans="1:16">
      <c r="C264" s="10" t="s">
        <v>481</v>
      </c>
      <c r="D264" s="21">
        <v>83890.0522981799</v>
      </c>
      <c r="G264" s="25">
        <f>D264-D263</f>
        <v>112.559308101103</v>
      </c>
    </row>
    <row r="265" spans="1:16">
      <c r="C265" s="10" t="s">
        <v>482</v>
      </c>
      <c r="D265" s="21">
        <v>83928.3177050256</v>
      </c>
      <c r="F265" s="10">
        <f>D265-D264</f>
        <v>38.265406845705</v>
      </c>
    </row>
    <row r="266" spans="1:16">
      <c r="C266" s="10" t="s">
        <v>486</v>
      </c>
      <c r="D266" s="21">
        <v>84304.9432045194</v>
      </c>
      <c r="G266" s="10">
        <f t="shared" ref="G266:G270" si="89">D266-D265</f>
        <v>376.625499493792</v>
      </c>
    </row>
    <row r="267" spans="1:16">
      <c r="C267" s="10" t="s">
        <v>489</v>
      </c>
      <c r="D267" s="21">
        <v>84459.6783048312</v>
      </c>
      <c r="F267" s="10">
        <f t="shared" ref="F267:F271" si="90">D267-D266</f>
        <v>154.735100311809</v>
      </c>
    </row>
    <row r="268" spans="1:16">
      <c r="C268" s="10" t="s">
        <v>490</v>
      </c>
      <c r="D268" s="21">
        <v>84927.6783714326</v>
      </c>
      <c r="G268" s="10">
        <f t="shared" si="89"/>
        <v>468.000066601395</v>
      </c>
    </row>
    <row r="269" spans="1:16">
      <c r="C269" s="10" t="s">
        <v>504</v>
      </c>
      <c r="D269" s="21">
        <v>86171.6786409534</v>
      </c>
      <c r="F269" s="10">
        <f t="shared" si="90"/>
        <v>1244.00026952079</v>
      </c>
    </row>
    <row r="270" spans="1:16">
      <c r="C270" s="10" t="s">
        <v>505</v>
      </c>
      <c r="D270" s="21">
        <v>86359.6786602254</v>
      </c>
      <c r="G270" s="25">
        <f t="shared" si="89"/>
        <v>188.000019272004</v>
      </c>
    </row>
    <row r="271" spans="1:16">
      <c r="C271" s="10" t="s">
        <v>508</v>
      </c>
      <c r="D271" s="21">
        <v>86603.6786054014</v>
      </c>
      <c r="F271" s="10">
        <f t="shared" si="90"/>
        <v>243.999945175994</v>
      </c>
    </row>
    <row r="272" spans="1:16">
      <c r="C272" s="10" t="s">
        <v>509</v>
      </c>
      <c r="D272" s="21">
        <v>86730.6786018816</v>
      </c>
      <c r="G272" s="25">
        <f t="shared" ref="G272:G276" si="91">D272-D271</f>
        <v>126.999996480212</v>
      </c>
    </row>
    <row r="273" spans="1:16">
      <c r="C273" s="10" t="s">
        <v>510</v>
      </c>
      <c r="D273" s="21">
        <v>86887.6786258026</v>
      </c>
      <c r="F273" s="10">
        <f t="shared" ref="F273:F277" si="92">D273-D272</f>
        <v>157.000023920991</v>
      </c>
    </row>
    <row r="274" spans="1:16">
      <c r="C274" s="10" t="s">
        <v>511</v>
      </c>
      <c r="D274" s="21">
        <v>86992.6786965573</v>
      </c>
      <c r="G274" s="10">
        <f t="shared" si="91"/>
        <v>105.000070754701</v>
      </c>
    </row>
    <row r="275" spans="1:16">
      <c r="C275" s="10" t="s">
        <v>513</v>
      </c>
      <c r="D275" s="21">
        <v>87063.6786771868</v>
      </c>
      <c r="F275" s="10">
        <f t="shared" si="92"/>
        <v>70.9999806295091</v>
      </c>
    </row>
    <row r="276" spans="1:16">
      <c r="C276" s="10" t="s">
        <v>514</v>
      </c>
      <c r="D276" s="21">
        <v>87185.6786602066</v>
      </c>
      <c r="G276" s="10">
        <f t="shared" si="91"/>
        <v>121.999983019792</v>
      </c>
    </row>
    <row r="277" spans="1:16">
      <c r="C277" s="10" t="s">
        <v>519</v>
      </c>
      <c r="D277" s="21">
        <v>87513.6786738959</v>
      </c>
      <c r="F277" s="10">
        <f t="shared" si="92"/>
        <v>328.000013689307</v>
      </c>
    </row>
    <row r="278" spans="1:16">
      <c r="C278" s="10" t="s">
        <v>520</v>
      </c>
      <c r="D278" s="21">
        <v>88504.1208707537</v>
      </c>
      <c r="G278" s="10">
        <f>D278-D277</f>
        <v>990.442196857795</v>
      </c>
      <c r="M278" s="9"/>
      <c r="N278" s="9"/>
      <c r="O278" s="9"/>
      <c r="P278" s="9"/>
    </row>
    <row r="279" spans="1:16">
      <c r="C279" s="10" t="s">
        <v>522</v>
      </c>
      <c r="D279" s="21">
        <v>88535.1209287363</v>
      </c>
      <c r="F279" s="10">
        <f t="shared" ref="F279:F282" si="93">D279-D278</f>
        <v>31.000057982601</v>
      </c>
    </row>
    <row r="280" spans="1:16">
      <c r="C280" s="10" t="s">
        <v>526</v>
      </c>
      <c r="D280" s="21">
        <v>89585.120945648</v>
      </c>
      <c r="G280" s="10">
        <f>D280-D279</f>
        <v>1050.0000169117</v>
      </c>
    </row>
    <row r="281" s="9" customFormat="1" spans="1:16">
      <c r="A281" s="9" t="s">
        <v>2660</v>
      </c>
      <c r="C281" s="9" t="s">
        <v>2661</v>
      </c>
      <c r="D281" s="22">
        <v>89825.1114623729</v>
      </c>
      <c r="F281" s="9">
        <f t="shared" si="93"/>
        <v>239.990516724909</v>
      </c>
      <c r="M281" s="10"/>
      <c r="N281" s="10"/>
      <c r="O281" s="10"/>
      <c r="P281" s="10"/>
    </row>
    <row r="282" spans="1:16">
      <c r="C282" s="10" t="s">
        <v>530</v>
      </c>
      <c r="D282" s="21">
        <v>89996.1209615888</v>
      </c>
      <c r="F282" s="10">
        <f t="shared" si="93"/>
        <v>171.009499215885</v>
      </c>
    </row>
    <row r="283" spans="1:16">
      <c r="C283" s="10" t="s">
        <v>531</v>
      </c>
      <c r="D283" s="21">
        <v>90257.1209310887</v>
      </c>
      <c r="G283" s="10">
        <f>D283-D282</f>
        <v>260.999969499913</v>
      </c>
    </row>
    <row r="284" spans="1:16">
      <c r="C284" s="10" t="s">
        <v>532</v>
      </c>
      <c r="D284" s="21">
        <v>90297.1209555503</v>
      </c>
      <c r="F284" s="10">
        <f>D284-D283</f>
        <v>40.0000244615949</v>
      </c>
    </row>
    <row r="285" spans="1:16">
      <c r="C285" s="10" t="s">
        <v>533</v>
      </c>
      <c r="D285" s="21">
        <v>90494.1209740365</v>
      </c>
      <c r="G285" s="25">
        <f t="shared" ref="G285:G289" si="94">D285-D284</f>
        <v>197.0000184862</v>
      </c>
    </row>
    <row r="286" spans="1:16">
      <c r="C286" s="10" t="s">
        <v>538</v>
      </c>
      <c r="D286" s="21">
        <v>90953.4509322614</v>
      </c>
      <c r="F286" s="10">
        <f t="shared" ref="F286:F290" si="95">D286-D285</f>
        <v>459.329958224902</v>
      </c>
    </row>
    <row r="287" spans="1:16">
      <c r="C287" s="10" t="s">
        <v>544</v>
      </c>
      <c r="D287" s="21">
        <v>92500.451019139</v>
      </c>
      <c r="G287" s="25">
        <f t="shared" si="94"/>
        <v>1547.0000868776</v>
      </c>
    </row>
    <row r="288" spans="1:16">
      <c r="C288" s="10" t="s">
        <v>547</v>
      </c>
      <c r="D288" s="21">
        <v>92697.4510393568</v>
      </c>
      <c r="F288" s="10">
        <f t="shared" si="95"/>
        <v>197.000020217805</v>
      </c>
    </row>
    <row r="289" spans="3:7">
      <c r="C289" s="10" t="s">
        <v>553</v>
      </c>
      <c r="D289" s="21">
        <v>94860.1010436613</v>
      </c>
      <c r="G289" s="25">
        <f t="shared" si="94"/>
        <v>2162.65000430449</v>
      </c>
    </row>
    <row r="290" spans="3:7">
      <c r="C290" s="10" t="s">
        <v>556</v>
      </c>
      <c r="D290" s="21">
        <v>95036.1009948789</v>
      </c>
      <c r="F290" s="10">
        <f t="shared" si="95"/>
        <v>175.9999512176</v>
      </c>
    </row>
    <row r="291" spans="3:7">
      <c r="C291" s="10" t="s">
        <v>557</v>
      </c>
      <c r="D291" s="21">
        <v>95282.1010463509</v>
      </c>
      <c r="G291" s="10">
        <f t="shared" ref="G291:G295" si="96">D291-D290</f>
        <v>246.000051472001</v>
      </c>
    </row>
    <row r="292" spans="3:7">
      <c r="C292" s="10" t="s">
        <v>865</v>
      </c>
      <c r="D292" s="21">
        <v>95351.0799706018</v>
      </c>
      <c r="F292" s="10">
        <f t="shared" ref="F292:F296" si="97">D292-D291</f>
        <v>68.9789242508996</v>
      </c>
    </row>
    <row r="293" spans="3:7">
      <c r="C293" s="10" t="s">
        <v>866</v>
      </c>
      <c r="D293" s="21">
        <v>95519.0568053202</v>
      </c>
      <c r="G293" s="10">
        <f t="shared" si="96"/>
        <v>167.9768347184</v>
      </c>
    </row>
    <row r="294" spans="3:7">
      <c r="C294" s="10" t="s">
        <v>560</v>
      </c>
      <c r="D294" s="21">
        <v>95547.2312706113</v>
      </c>
      <c r="F294" s="10">
        <f t="shared" si="97"/>
        <v>28.1744652911002</v>
      </c>
    </row>
    <row r="295" spans="3:7">
      <c r="C295" s="10" t="s">
        <v>563</v>
      </c>
      <c r="D295" s="21">
        <v>95701.8147441291</v>
      </c>
      <c r="G295" s="25">
        <f t="shared" si="96"/>
        <v>154.583473517792</v>
      </c>
    </row>
    <row r="296" spans="3:7">
      <c r="C296" s="10" t="s">
        <v>867</v>
      </c>
      <c r="D296" s="21">
        <v>95726.9841319503</v>
      </c>
      <c r="F296" s="10">
        <f t="shared" si="97"/>
        <v>25.16938782121</v>
      </c>
    </row>
    <row r="297" spans="3:7">
      <c r="C297" s="10" t="s">
        <v>868</v>
      </c>
      <c r="D297" s="21">
        <v>95846.9841899853</v>
      </c>
      <c r="G297" s="10">
        <f t="shared" ref="G297:G301" si="98">D297-D296</f>
        <v>120.000058035002</v>
      </c>
    </row>
    <row r="298" spans="3:7">
      <c r="C298" s="10" t="s">
        <v>566</v>
      </c>
      <c r="D298" s="21">
        <v>95923.3683396746</v>
      </c>
      <c r="F298" s="10">
        <f t="shared" ref="F298:F302" si="99">D298-D297</f>
        <v>76.3841496893001</v>
      </c>
    </row>
    <row r="299" spans="3:7">
      <c r="C299" s="10" t="s">
        <v>568</v>
      </c>
      <c r="D299" s="21">
        <v>96362.5131723809</v>
      </c>
      <c r="G299" s="25">
        <f t="shared" si="98"/>
        <v>439.144832706297</v>
      </c>
    </row>
    <row r="300" spans="3:7">
      <c r="C300" s="10" t="s">
        <v>572</v>
      </c>
      <c r="D300" s="21">
        <v>96429.5131789012</v>
      </c>
      <c r="F300" s="10">
        <f t="shared" si="99"/>
        <v>67.0000065202912</v>
      </c>
    </row>
    <row r="301" spans="3:7">
      <c r="C301" s="10" t="s">
        <v>574</v>
      </c>
      <c r="D301" s="21">
        <v>96849.5331116605</v>
      </c>
      <c r="G301" s="25">
        <f t="shared" si="98"/>
        <v>420.0199327593</v>
      </c>
    </row>
    <row r="302" spans="3:7">
      <c r="C302" s="10" t="s">
        <v>578</v>
      </c>
      <c r="D302" s="21">
        <v>96944.2631345156</v>
      </c>
      <c r="F302" s="10">
        <f t="shared" si="99"/>
        <v>94.730022855103</v>
      </c>
    </row>
    <row r="303" spans="3:7">
      <c r="C303" s="10" t="s">
        <v>582</v>
      </c>
      <c r="D303" s="21">
        <v>97503.3431143929</v>
      </c>
      <c r="G303" s="10">
        <f t="shared" ref="G303:G307" si="100">D303-D302</f>
        <v>559.079979877308</v>
      </c>
    </row>
    <row r="304" spans="3:7">
      <c r="C304" s="10" t="s">
        <v>583</v>
      </c>
      <c r="D304" s="21">
        <v>97523.3431423178</v>
      </c>
      <c r="F304" s="10">
        <f t="shared" ref="F304:F308" si="101">D304-D303</f>
        <v>20.0000279248925</v>
      </c>
    </row>
    <row r="305" spans="1:16">
      <c r="C305" s="10" t="s">
        <v>586</v>
      </c>
      <c r="D305" s="21">
        <v>97886.98307924</v>
      </c>
      <c r="G305" s="25">
        <f t="shared" si="100"/>
        <v>363.639936922205</v>
      </c>
    </row>
    <row r="306" spans="1:16">
      <c r="C306" s="10" t="s">
        <v>587</v>
      </c>
      <c r="D306" s="21">
        <v>97923.9830637617</v>
      </c>
      <c r="F306" s="10">
        <f t="shared" si="101"/>
        <v>36.9999845216953</v>
      </c>
    </row>
    <row r="307" spans="1:16">
      <c r="C307" s="10" t="s">
        <v>589</v>
      </c>
      <c r="D307" s="21">
        <v>98256.9830443724</v>
      </c>
      <c r="G307" s="10">
        <f t="shared" si="100"/>
        <v>332.999980610708</v>
      </c>
      <c r="M307" s="9"/>
      <c r="N307" s="9"/>
      <c r="O307" s="9"/>
      <c r="P307" s="9"/>
    </row>
    <row r="308" spans="1:16">
      <c r="C308" s="10" t="s">
        <v>590</v>
      </c>
      <c r="D308" s="21">
        <v>98294.983037508</v>
      </c>
      <c r="F308" s="10">
        <f t="shared" si="101"/>
        <v>37.9999931355997</v>
      </c>
    </row>
    <row r="309" spans="1:16">
      <c r="C309" s="10" t="s">
        <v>598</v>
      </c>
      <c r="D309" s="21">
        <v>101717.891686495</v>
      </c>
      <c r="G309" s="25">
        <f>D309-D308</f>
        <v>3422.908648987</v>
      </c>
    </row>
    <row r="310" s="9" customFormat="1" spans="1:16">
      <c r="A310" s="9" t="s">
        <v>2662</v>
      </c>
      <c r="C310" s="9" t="s">
        <v>2663</v>
      </c>
      <c r="D310" s="22">
        <v>101890.349295115</v>
      </c>
      <c r="F310" s="9">
        <f t="shared" ref="F310:F313" si="102">D310-D309</f>
        <v>172.457608619996</v>
      </c>
      <c r="M310" s="10"/>
      <c r="N310" s="10"/>
      <c r="O310" s="10"/>
      <c r="P310" s="10"/>
    </row>
    <row r="311" spans="1:16">
      <c r="C311" s="10" t="s">
        <v>603</v>
      </c>
      <c r="D311" s="21">
        <v>101949.838073672</v>
      </c>
      <c r="F311" s="10">
        <f t="shared" si="102"/>
        <v>59.4887785570027</v>
      </c>
    </row>
    <row r="312" spans="1:16">
      <c r="C312" s="10" t="s">
        <v>604</v>
      </c>
      <c r="D312" s="21">
        <v>102030.628049468</v>
      </c>
      <c r="G312" s="10">
        <f>D312-D311</f>
        <v>80.7899757959967</v>
      </c>
    </row>
    <row r="313" spans="1:16">
      <c r="C313" s="10" t="s">
        <v>605</v>
      </c>
      <c r="D313" s="21">
        <v>102040.628043693</v>
      </c>
      <c r="F313" s="10">
        <f t="shared" si="102"/>
        <v>9.99999422499968</v>
      </c>
    </row>
    <row r="314" spans="1:16">
      <c r="C314" s="10" t="s">
        <v>606</v>
      </c>
      <c r="D314" s="21">
        <v>102068.782667076</v>
      </c>
      <c r="G314" s="10">
        <f t="shared" ref="G314:G318" si="103">D314-D313</f>
        <v>28.1546233830013</v>
      </c>
    </row>
    <row r="315" spans="1:16">
      <c r="C315" s="10" t="s">
        <v>607</v>
      </c>
      <c r="D315" s="21">
        <v>102068.782667076</v>
      </c>
      <c r="F315" s="10">
        <f t="shared" ref="F315:F319" si="104">D315-D314</f>
        <v>0</v>
      </c>
    </row>
    <row r="316" spans="1:16">
      <c r="C316" s="10" t="s">
        <v>612</v>
      </c>
      <c r="D316" s="21">
        <v>104871.284515773</v>
      </c>
      <c r="G316" s="10">
        <f t="shared" si="103"/>
        <v>2802.50184869701</v>
      </c>
    </row>
    <row r="317" spans="1:16">
      <c r="C317" s="10" t="s">
        <v>613</v>
      </c>
      <c r="D317" s="21">
        <v>104871.284515773</v>
      </c>
      <c r="F317" s="10">
        <f t="shared" si="104"/>
        <v>0</v>
      </c>
    </row>
    <row r="318" spans="1:16">
      <c r="C318" s="10" t="s">
        <v>614</v>
      </c>
      <c r="D318" s="21">
        <v>104917.985014782</v>
      </c>
      <c r="G318" s="10">
        <f t="shared" si="103"/>
        <v>46.7004990089918</v>
      </c>
    </row>
    <row r="319" spans="1:16">
      <c r="C319" s="10" t="s">
        <v>615</v>
      </c>
      <c r="D319" s="21">
        <v>104917.985014782</v>
      </c>
      <c r="F319" s="10">
        <f t="shared" si="104"/>
        <v>0</v>
      </c>
    </row>
    <row r="320" spans="1:16">
      <c r="C320" s="10" t="s">
        <v>618</v>
      </c>
      <c r="D320" s="21">
        <v>105558.400642124</v>
      </c>
      <c r="G320" s="10">
        <f t="shared" ref="G320:G324" si="105">D320-D319</f>
        <v>640.415627342009</v>
      </c>
    </row>
    <row r="321" spans="1:16">
      <c r="C321" s="10" t="s">
        <v>619</v>
      </c>
      <c r="D321" s="21">
        <v>105577.286783192</v>
      </c>
      <c r="F321" s="10">
        <f t="shared" ref="F321:F325" si="106">D321-D320</f>
        <v>18.8861410679965</v>
      </c>
    </row>
    <row r="322" spans="1:16">
      <c r="C322" s="10" t="s">
        <v>620</v>
      </c>
      <c r="D322" s="21">
        <v>105674.453629774</v>
      </c>
      <c r="G322" s="10">
        <f t="shared" si="105"/>
        <v>97.1668465819967</v>
      </c>
    </row>
    <row r="323" spans="1:16">
      <c r="C323" s="10" t="s">
        <v>621</v>
      </c>
      <c r="D323" s="21">
        <v>105686.220576778</v>
      </c>
      <c r="F323" s="10">
        <f t="shared" si="106"/>
        <v>11.7669470039982</v>
      </c>
    </row>
    <row r="324" spans="1:16">
      <c r="C324" s="10" t="s">
        <v>623</v>
      </c>
      <c r="D324" s="21">
        <v>105905.793113943</v>
      </c>
      <c r="G324" s="10">
        <f t="shared" si="105"/>
        <v>219.572537165004</v>
      </c>
    </row>
    <row r="325" spans="1:16">
      <c r="C325" s="10" t="s">
        <v>624</v>
      </c>
      <c r="D325" s="21">
        <v>105921.876379991</v>
      </c>
      <c r="F325" s="10">
        <f t="shared" si="106"/>
        <v>16.0832660479937</v>
      </c>
    </row>
    <row r="326" spans="1:16">
      <c r="C326" s="10" t="s">
        <v>625</v>
      </c>
      <c r="D326" s="21">
        <v>106083.439373083</v>
      </c>
      <c r="G326" s="10">
        <f t="shared" ref="G326:G330" si="107">D326-D325</f>
        <v>161.562993092011</v>
      </c>
    </row>
    <row r="327" spans="1:16">
      <c r="C327" s="10" t="s">
        <v>630</v>
      </c>
      <c r="D327" s="21">
        <v>106318.883997862</v>
      </c>
      <c r="F327" s="10">
        <f t="shared" ref="F327:F331" si="108">D327-D326</f>
        <v>235.444624778989</v>
      </c>
    </row>
    <row r="328" spans="1:16">
      <c r="C328" s="10" t="s">
        <v>632</v>
      </c>
      <c r="D328" s="21">
        <v>106431.94178881</v>
      </c>
      <c r="G328" s="10">
        <f t="shared" si="107"/>
        <v>113.057790948005</v>
      </c>
    </row>
    <row r="329" spans="1:16">
      <c r="C329" s="10" t="s">
        <v>635</v>
      </c>
      <c r="D329" s="21">
        <v>106553.360553805</v>
      </c>
      <c r="F329" s="10">
        <f t="shared" si="108"/>
        <v>121.418764995004</v>
      </c>
    </row>
    <row r="330" spans="1:16">
      <c r="C330" s="10" t="s">
        <v>636</v>
      </c>
      <c r="D330" s="21">
        <v>106614.437365776</v>
      </c>
      <c r="G330" s="10">
        <f t="shared" si="107"/>
        <v>61.0768119709974</v>
      </c>
      <c r="M330" s="9"/>
      <c r="N330" s="9"/>
      <c r="O330" s="9"/>
      <c r="P330" s="9"/>
    </row>
    <row r="331" spans="1:16">
      <c r="C331" s="10" t="s">
        <v>637</v>
      </c>
      <c r="D331" s="21">
        <v>106726.084916991</v>
      </c>
      <c r="F331" s="10">
        <f t="shared" si="108"/>
        <v>111.647551215006</v>
      </c>
    </row>
    <row r="332" spans="1:16">
      <c r="C332" s="10" t="s">
        <v>638</v>
      </c>
      <c r="D332" s="21">
        <v>106981.390088488</v>
      </c>
      <c r="G332" s="10">
        <f>D332-D331</f>
        <v>255.305171496992</v>
      </c>
    </row>
    <row r="333" s="9" customFormat="1" spans="1:16">
      <c r="A333" s="9" t="s">
        <v>2664</v>
      </c>
      <c r="C333" s="9" t="s">
        <v>2665</v>
      </c>
      <c r="D333" s="22">
        <v>107019.850231975</v>
      </c>
      <c r="F333" s="9">
        <f>D333-D332</f>
        <v>38.4601434865181</v>
      </c>
      <c r="M333" s="10"/>
      <c r="N333" s="10"/>
      <c r="O333" s="10"/>
      <c r="P333" s="10"/>
    </row>
    <row r="334" spans="1:16">
      <c r="C334" s="10" t="s">
        <v>639</v>
      </c>
      <c r="D334" s="21">
        <v>107058.309432444</v>
      </c>
      <c r="F334" s="10">
        <f>D334-D333</f>
        <v>38.4592004694859</v>
      </c>
    </row>
    <row r="335" spans="1:16">
      <c r="C335" s="10" t="s">
        <v>641</v>
      </c>
      <c r="D335" s="21">
        <v>107130.908028519</v>
      </c>
      <c r="G335" s="10">
        <f>D335-D334</f>
        <v>72.5985960749967</v>
      </c>
    </row>
    <row r="336" spans="1:16">
      <c r="C336" s="10" t="s">
        <v>644</v>
      </c>
      <c r="D336" s="21">
        <v>107497.409534034</v>
      </c>
      <c r="F336" s="10">
        <f>D336-D335</f>
        <v>366.501505515</v>
      </c>
    </row>
    <row r="337" spans="3:7">
      <c r="C337" s="10" t="s">
        <v>646</v>
      </c>
      <c r="D337" s="21">
        <v>107658.228108806</v>
      </c>
      <c r="G337" s="10">
        <f>D337-D336</f>
        <v>160.818574771998</v>
      </c>
    </row>
    <row r="338" spans="3:7">
      <c r="C338" s="10" t="s">
        <v>649</v>
      </c>
      <c r="D338" s="21">
        <v>107862.253082804</v>
      </c>
      <c r="F338" s="10">
        <f>D338-D337</f>
        <v>204.024973998006</v>
      </c>
    </row>
    <row r="339" spans="3:7">
      <c r="C339" s="10" t="s">
        <v>650</v>
      </c>
      <c r="D339" s="21">
        <v>108508.509751844</v>
      </c>
      <c r="G339" s="10">
        <f t="shared" ref="G339:G343" si="109">D339-D338</f>
        <v>646.256669039998</v>
      </c>
    </row>
    <row r="340" spans="3:7">
      <c r="C340" s="10" t="s">
        <v>651</v>
      </c>
      <c r="D340" s="21">
        <v>108541.100543106</v>
      </c>
      <c r="F340" s="10">
        <f t="shared" ref="F340:F344" si="110">D340-D339</f>
        <v>32.5907912620023</v>
      </c>
    </row>
    <row r="341" spans="3:7">
      <c r="C341" s="10" t="s">
        <v>655</v>
      </c>
      <c r="D341" s="21">
        <v>109105.749982704</v>
      </c>
      <c r="G341" s="10">
        <f t="shared" si="109"/>
        <v>564.649439597997</v>
      </c>
    </row>
    <row r="342" spans="3:7">
      <c r="C342" s="10" t="s">
        <v>659</v>
      </c>
      <c r="D342" s="21">
        <v>109419.361368715</v>
      </c>
      <c r="F342" s="10">
        <f t="shared" si="110"/>
        <v>313.611386011005</v>
      </c>
    </row>
    <row r="343" spans="3:7">
      <c r="C343" s="10" t="s">
        <v>661</v>
      </c>
      <c r="D343" s="21">
        <v>109846.293955331</v>
      </c>
      <c r="G343" s="10">
        <f t="shared" si="109"/>
        <v>426.932586615992</v>
      </c>
    </row>
    <row r="344" spans="3:7">
      <c r="C344" s="10" t="s">
        <v>663</v>
      </c>
      <c r="D344" s="21">
        <v>109938.499197686</v>
      </c>
      <c r="F344" s="10">
        <f t="shared" si="110"/>
        <v>92.2052423550049</v>
      </c>
    </row>
    <row r="345" spans="3:7">
      <c r="C345" s="10" t="s">
        <v>664</v>
      </c>
      <c r="D345" s="21">
        <v>110005.202173474</v>
      </c>
      <c r="G345" s="10">
        <f t="shared" ref="G345:G349" si="111">D345-D344</f>
        <v>66.7029757879936</v>
      </c>
    </row>
    <row r="346" spans="3:7">
      <c r="C346" s="10" t="s">
        <v>665</v>
      </c>
      <c r="D346" s="21">
        <v>110020.427057392</v>
      </c>
      <c r="F346" s="10">
        <f t="shared" ref="F346:F350" si="112">D346-D345</f>
        <v>15.2248839179956</v>
      </c>
    </row>
    <row r="347" spans="3:7">
      <c r="C347" s="10" t="s">
        <v>666</v>
      </c>
      <c r="D347" s="21">
        <v>110115.617983697</v>
      </c>
      <c r="G347" s="10">
        <f t="shared" si="111"/>
        <v>95.1909263050038</v>
      </c>
    </row>
    <row r="348" spans="3:7">
      <c r="C348" s="10" t="s">
        <v>668</v>
      </c>
      <c r="D348" s="21">
        <v>110166.080735027</v>
      </c>
      <c r="F348" s="10">
        <f t="shared" si="112"/>
        <v>50.4627513300074</v>
      </c>
    </row>
    <row r="349" spans="3:7">
      <c r="C349" s="10" t="s">
        <v>670</v>
      </c>
      <c r="D349" s="21">
        <v>110414.35257106</v>
      </c>
      <c r="G349" s="10">
        <f t="shared" si="111"/>
        <v>248.271836032989</v>
      </c>
    </row>
    <row r="350" spans="3:7">
      <c r="C350" s="10" t="s">
        <v>673</v>
      </c>
      <c r="D350" s="21">
        <v>110652.733342166</v>
      </c>
      <c r="F350" s="10">
        <f t="shared" si="112"/>
        <v>238.380771106007</v>
      </c>
    </row>
    <row r="351" spans="3:7">
      <c r="C351" s="10" t="s">
        <v>676</v>
      </c>
      <c r="D351" s="21">
        <v>110980.766543992</v>
      </c>
      <c r="G351" s="10">
        <f t="shared" ref="G351:G355" si="113">D351-D350</f>
        <v>328.033201825994</v>
      </c>
    </row>
    <row r="352" spans="3:7">
      <c r="C352" s="10" t="s">
        <v>677</v>
      </c>
      <c r="D352" s="21">
        <v>111107.129806268</v>
      </c>
      <c r="F352" s="10">
        <f t="shared" ref="F352:F356" si="114">D352-D351</f>
        <v>126.363262276005</v>
      </c>
    </row>
    <row r="353" spans="3:7">
      <c r="C353" s="10" t="s">
        <v>679</v>
      </c>
      <c r="D353" s="21">
        <v>111252.388477076</v>
      </c>
      <c r="G353" s="10">
        <f t="shared" si="113"/>
        <v>145.258670808005</v>
      </c>
    </row>
    <row r="354" spans="3:7">
      <c r="C354" s="10" t="s">
        <v>682</v>
      </c>
      <c r="D354" s="21">
        <v>111393.688843401</v>
      </c>
      <c r="F354" s="10">
        <f t="shared" si="114"/>
        <v>141.300366324998</v>
      </c>
    </row>
    <row r="355" spans="3:7">
      <c r="C355" s="10" t="s">
        <v>683</v>
      </c>
      <c r="D355" s="21">
        <v>111700.983820236</v>
      </c>
      <c r="G355" s="10">
        <f t="shared" si="113"/>
        <v>307.294976834994</v>
      </c>
    </row>
    <row r="356" spans="3:7">
      <c r="C356" s="10" t="s">
        <v>687</v>
      </c>
      <c r="D356" s="21">
        <v>112011.932067353</v>
      </c>
      <c r="F356" s="10">
        <f t="shared" si="114"/>
        <v>310.948247117005</v>
      </c>
    </row>
    <row r="357" spans="3:7">
      <c r="C357" s="10" t="s">
        <v>692</v>
      </c>
      <c r="D357" s="21">
        <v>112782.127660941</v>
      </c>
      <c r="G357" s="10">
        <f t="shared" ref="G357:G361" si="115">D357-D356</f>
        <v>770.195593587996</v>
      </c>
    </row>
    <row r="358" spans="3:7">
      <c r="C358" s="10" t="s">
        <v>693</v>
      </c>
      <c r="D358" s="21">
        <v>112782.127660941</v>
      </c>
      <c r="F358" s="10">
        <f t="shared" ref="F358:F362" si="116">D358-D357</f>
        <v>0</v>
      </c>
    </row>
    <row r="359" spans="3:7">
      <c r="C359" s="10" t="s">
        <v>694</v>
      </c>
      <c r="D359" s="21">
        <v>112791.930813551</v>
      </c>
      <c r="G359" s="10">
        <f t="shared" si="115"/>
        <v>9.80315260999487</v>
      </c>
    </row>
    <row r="360" spans="3:7">
      <c r="C360" s="10" t="s">
        <v>697</v>
      </c>
      <c r="D360" s="21">
        <v>113002.053720094</v>
      </c>
      <c r="F360" s="10">
        <f t="shared" si="116"/>
        <v>210.122906543009</v>
      </c>
    </row>
    <row r="361" spans="3:7">
      <c r="C361" s="10" t="s">
        <v>699</v>
      </c>
      <c r="D361" s="21">
        <v>113285.924940718</v>
      </c>
      <c r="G361" s="10">
        <f t="shared" si="115"/>
        <v>283.871220624002</v>
      </c>
    </row>
    <row r="362" spans="3:7">
      <c r="C362" s="10" t="s">
        <v>700</v>
      </c>
      <c r="D362" s="21">
        <v>113333.508232257</v>
      </c>
      <c r="F362" s="10">
        <f t="shared" si="116"/>
        <v>47.583291538991</v>
      </c>
    </row>
    <row r="363" spans="3:7">
      <c r="C363" s="10" t="s">
        <v>703</v>
      </c>
      <c r="D363" s="21">
        <v>113787.565011834</v>
      </c>
      <c r="G363" s="10">
        <f t="shared" ref="G363:G367" si="117">D363-D362</f>
        <v>454.056779577004</v>
      </c>
    </row>
    <row r="364" spans="3:7">
      <c r="C364" s="10" t="s">
        <v>706</v>
      </c>
      <c r="D364" s="21">
        <v>113975.253707544</v>
      </c>
      <c r="F364" s="10">
        <f t="shared" ref="F364:F368" si="118">D364-D363</f>
        <v>187.688695710007</v>
      </c>
    </row>
    <row r="365" spans="3:7">
      <c r="C365" s="10" t="s">
        <v>708</v>
      </c>
      <c r="D365" s="21">
        <v>114099.729083732</v>
      </c>
      <c r="G365" s="10">
        <f t="shared" si="117"/>
        <v>124.475376187998</v>
      </c>
    </row>
    <row r="366" spans="3:7">
      <c r="C366" s="10" t="s">
        <v>709</v>
      </c>
      <c r="D366" s="21">
        <v>114121.446411693</v>
      </c>
      <c r="F366" s="10">
        <f t="shared" si="118"/>
        <v>21.7173279609997</v>
      </c>
    </row>
    <row r="367" spans="3:7">
      <c r="C367" s="10" t="s">
        <v>711</v>
      </c>
      <c r="D367" s="21">
        <v>114465.338439295</v>
      </c>
      <c r="G367" s="10">
        <f t="shared" si="117"/>
        <v>343.892027601993</v>
      </c>
    </row>
    <row r="368" spans="3:7">
      <c r="C368" s="10" t="s">
        <v>712</v>
      </c>
      <c r="D368" s="21">
        <v>114475.532094229</v>
      </c>
      <c r="F368" s="10">
        <f t="shared" si="118"/>
        <v>10.1936549340026</v>
      </c>
    </row>
    <row r="369" spans="3:7">
      <c r="C369" s="10" t="s">
        <v>713</v>
      </c>
      <c r="D369" s="21">
        <v>114604.942168438</v>
      </c>
      <c r="G369" s="10">
        <f t="shared" ref="G369:G373" si="119">D369-D368</f>
        <v>129.410074209009</v>
      </c>
    </row>
    <row r="370" spans="3:7">
      <c r="C370" s="10" t="s">
        <v>714</v>
      </c>
      <c r="D370" s="21">
        <v>114628.888612721</v>
      </c>
      <c r="F370" s="10">
        <f t="shared" ref="F370:F374" si="120">D370-D369</f>
        <v>23.9464442829922</v>
      </c>
    </row>
    <row r="371" spans="3:7">
      <c r="C371" s="10" t="s">
        <v>718</v>
      </c>
      <c r="D371" s="21">
        <v>118367.97523833</v>
      </c>
      <c r="G371" s="10">
        <f t="shared" si="119"/>
        <v>3739.08662560899</v>
      </c>
    </row>
    <row r="372" spans="3:7">
      <c r="C372" s="10" t="s">
        <v>719</v>
      </c>
      <c r="D372" s="21">
        <v>118449.629936999</v>
      </c>
      <c r="F372" s="10">
        <f t="shared" si="120"/>
        <v>81.6546986690082</v>
      </c>
    </row>
    <row r="373" spans="3:7">
      <c r="C373" s="10" t="s">
        <v>721</v>
      </c>
      <c r="D373" s="21">
        <v>118715.94721279</v>
      </c>
      <c r="G373" s="10">
        <f t="shared" si="119"/>
        <v>266.317275790992</v>
      </c>
    </row>
    <row r="374" spans="3:7">
      <c r="C374" s="10" t="s">
        <v>722</v>
      </c>
      <c r="D374" s="21">
        <v>118770.943324035</v>
      </c>
      <c r="F374" s="10">
        <f t="shared" si="120"/>
        <v>54.996111245011</v>
      </c>
    </row>
    <row r="375" spans="3:7">
      <c r="C375" s="10" t="s">
        <v>724</v>
      </c>
      <c r="D375" s="21">
        <v>118879.790064353</v>
      </c>
      <c r="G375" s="10">
        <f t="shared" ref="G375:G379" si="121">D375-D374</f>
        <v>108.846740317997</v>
      </c>
    </row>
    <row r="376" spans="3:7">
      <c r="C376" s="10" t="s">
        <v>725</v>
      </c>
      <c r="D376" s="21">
        <v>118913.671059319</v>
      </c>
      <c r="F376" s="10">
        <f t="shared" ref="F376:F380" si="122">D376-D375</f>
        <v>33.8809949659917</v>
      </c>
    </row>
    <row r="377" spans="3:7">
      <c r="C377" s="10" t="s">
        <v>727</v>
      </c>
      <c r="D377" s="21">
        <v>119152.454196965</v>
      </c>
      <c r="G377" s="10">
        <f t="shared" si="121"/>
        <v>238.783137646009</v>
      </c>
    </row>
    <row r="378" spans="3:7">
      <c r="C378" s="10" t="s">
        <v>728</v>
      </c>
      <c r="D378" s="21">
        <v>119204.589194385</v>
      </c>
      <c r="F378" s="10">
        <f t="shared" si="122"/>
        <v>52.1349974199984</v>
      </c>
    </row>
    <row r="379" spans="3:7">
      <c r="C379" s="10" t="s">
        <v>729</v>
      </c>
      <c r="D379" s="21">
        <v>119510.805987003</v>
      </c>
      <c r="G379" s="10">
        <f t="shared" si="121"/>
        <v>306.216792617997</v>
      </c>
    </row>
    <row r="380" spans="3:7">
      <c r="C380" s="10" t="s">
        <v>730</v>
      </c>
      <c r="D380" s="21">
        <v>119553.792234986</v>
      </c>
      <c r="F380" s="10">
        <f t="shared" si="122"/>
        <v>42.9862479830044</v>
      </c>
    </row>
    <row r="381" spans="3:7">
      <c r="C381" s="10" t="s">
        <v>731</v>
      </c>
      <c r="D381" s="21">
        <v>119874.937698093</v>
      </c>
      <c r="G381" s="10">
        <f t="shared" ref="G381:G385" si="123">D381-D380</f>
        <v>321.145463106994</v>
      </c>
    </row>
    <row r="382" spans="3:7">
      <c r="C382" s="10" t="s">
        <v>732</v>
      </c>
      <c r="D382" s="21">
        <v>119927.687366628</v>
      </c>
      <c r="F382" s="10">
        <f t="shared" ref="F382:F386" si="124">D382-D381</f>
        <v>52.7496685350052</v>
      </c>
    </row>
    <row r="383" spans="3:7">
      <c r="C383" s="10" t="s">
        <v>734</v>
      </c>
      <c r="D383" s="21">
        <v>120351.72949024</v>
      </c>
      <c r="G383" s="10">
        <f t="shared" si="123"/>
        <v>424.042123612002</v>
      </c>
    </row>
    <row r="384" spans="3:7">
      <c r="C384" s="10" t="s">
        <v>735</v>
      </c>
      <c r="D384" s="21">
        <v>120411.072934271</v>
      </c>
      <c r="F384" s="10">
        <f t="shared" si="124"/>
        <v>59.3434440309939</v>
      </c>
    </row>
    <row r="385" spans="3:7">
      <c r="C385" s="10" t="s">
        <v>737</v>
      </c>
      <c r="D385" s="21">
        <v>120781.971346995</v>
      </c>
      <c r="G385" s="10">
        <f t="shared" si="123"/>
        <v>370.898412723996</v>
      </c>
    </row>
    <row r="386" spans="3:7">
      <c r="C386" s="10" t="s">
        <v>738</v>
      </c>
      <c r="D386" s="21">
        <v>120802.577592507</v>
      </c>
      <c r="F386" s="10">
        <f t="shared" si="124"/>
        <v>20.6062455120118</v>
      </c>
    </row>
    <row r="387" spans="3:7">
      <c r="C387" s="10" t="s">
        <v>739</v>
      </c>
      <c r="D387" s="21">
        <v>120876.992414388</v>
      </c>
      <c r="G387" s="10">
        <f t="shared" ref="G387:G391" si="125">D387-D386</f>
        <v>74.4148218810005</v>
      </c>
    </row>
    <row r="388" spans="3:7">
      <c r="C388" s="10" t="s">
        <v>740</v>
      </c>
      <c r="D388" s="21">
        <v>120888.828230761</v>
      </c>
      <c r="F388" s="10">
        <f t="shared" ref="F388:F392" si="126">D388-D387</f>
        <v>11.8358163730009</v>
      </c>
    </row>
    <row r="389" spans="3:7">
      <c r="C389" s="10" t="s">
        <v>741</v>
      </c>
      <c r="D389" s="21">
        <v>121074.139610097</v>
      </c>
      <c r="G389" s="10">
        <f t="shared" si="125"/>
        <v>185.311379335995</v>
      </c>
    </row>
    <row r="390" spans="3:7">
      <c r="C390" s="10" t="s">
        <v>743</v>
      </c>
      <c r="D390" s="21">
        <v>121127.460724261</v>
      </c>
      <c r="F390" s="10">
        <f t="shared" si="126"/>
        <v>53.3211141640058</v>
      </c>
    </row>
    <row r="391" spans="3:7">
      <c r="C391" s="10" t="s">
        <v>744</v>
      </c>
      <c r="D391" s="21">
        <v>121232.947552222</v>
      </c>
      <c r="G391" s="10">
        <f t="shared" si="125"/>
        <v>105.486827960995</v>
      </c>
    </row>
    <row r="392" spans="3:7">
      <c r="C392" s="10" t="s">
        <v>747</v>
      </c>
      <c r="D392" s="21">
        <v>121404.16306312</v>
      </c>
      <c r="F392" s="10">
        <f t="shared" si="126"/>
        <v>171.215510897993</v>
      </c>
    </row>
    <row r="393" spans="3:7">
      <c r="C393" s="10" t="s">
        <v>748</v>
      </c>
      <c r="D393" s="21">
        <v>121535.75841022</v>
      </c>
      <c r="G393" s="10">
        <f t="shared" ref="G393:G397" si="127">D393-D392</f>
        <v>131.59534710001</v>
      </c>
    </row>
    <row r="394" spans="3:7">
      <c r="C394" s="10" t="s">
        <v>755</v>
      </c>
      <c r="D394" s="21">
        <v>121921.76023687</v>
      </c>
      <c r="F394" s="10">
        <f t="shared" ref="F394:F398" si="128">D394-D393</f>
        <v>386.001826649997</v>
      </c>
    </row>
    <row r="395" spans="3:7">
      <c r="C395" s="10" t="s">
        <v>757</v>
      </c>
      <c r="D395" s="21">
        <v>122235.546373686</v>
      </c>
      <c r="G395" s="10">
        <f t="shared" si="127"/>
        <v>313.786136815994</v>
      </c>
    </row>
    <row r="396" spans="3:7">
      <c r="C396" s="10" t="s">
        <v>758</v>
      </c>
      <c r="D396" s="21">
        <v>122291.222886113</v>
      </c>
      <c r="F396" s="10">
        <f t="shared" si="128"/>
        <v>55.6765124270023</v>
      </c>
    </row>
    <row r="397" spans="3:7">
      <c r="C397" s="10" t="s">
        <v>760</v>
      </c>
      <c r="D397" s="21">
        <v>122437.903897345</v>
      </c>
      <c r="G397" s="10">
        <f t="shared" si="127"/>
        <v>146.681011231994</v>
      </c>
    </row>
    <row r="398" spans="3:7">
      <c r="C398" s="10" t="s">
        <v>766</v>
      </c>
      <c r="D398" s="21">
        <v>122821.281611872</v>
      </c>
      <c r="F398" s="10">
        <f t="shared" si="128"/>
        <v>383.377714527</v>
      </c>
    </row>
    <row r="399" spans="3:7">
      <c r="C399" s="10" t="s">
        <v>767</v>
      </c>
      <c r="D399" s="21">
        <v>123055.285890703</v>
      </c>
      <c r="G399" s="10">
        <f>D399-D398</f>
        <v>234.004278831009</v>
      </c>
    </row>
    <row r="400" spans="3:7">
      <c r="C400" s="10" t="s">
        <v>768</v>
      </c>
      <c r="D400" s="21">
        <v>123102.313400843</v>
      </c>
      <c r="F400" s="10">
        <f>D400-D399</f>
        <v>47.0275101400039</v>
      </c>
    </row>
    <row r="401" spans="3:7">
      <c r="C401" s="10" t="s">
        <v>769</v>
      </c>
      <c r="D401" s="21">
        <v>123305.798116445</v>
      </c>
      <c r="G401" s="10">
        <f>D401-D400</f>
        <v>203.484715601997</v>
      </c>
    </row>
    <row r="402" spans="3:7">
      <c r="D402" s="10">
        <v>123333.05</v>
      </c>
      <c r="F402" s="10">
        <f>D402-D401</f>
        <v>27.2518835549999</v>
      </c>
    </row>
  </sheetData>
  <mergeCells count="20">
    <mergeCell ref="D15:E15"/>
    <mergeCell ref="F15:I15"/>
    <mergeCell ref="K15:M15"/>
    <mergeCell ref="D28:E28"/>
    <mergeCell ref="F28:I28"/>
    <mergeCell ref="J28:K28"/>
    <mergeCell ref="D33:E33"/>
    <mergeCell ref="F33:I33"/>
    <mergeCell ref="J33:K33"/>
    <mergeCell ref="D37:E37"/>
    <mergeCell ref="F37:I37"/>
    <mergeCell ref="J37:K37"/>
    <mergeCell ref="D42:E42"/>
    <mergeCell ref="F42:I42"/>
    <mergeCell ref="J42:K42"/>
    <mergeCell ref="C15:C16"/>
    <mergeCell ref="C28:C29"/>
    <mergeCell ref="C33:C34"/>
    <mergeCell ref="C37:C38"/>
    <mergeCell ref="C42:C43"/>
  </mergeCell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C3:T49"/>
  <sheetViews>
    <sheetView topLeftCell="B8" workbookViewId="0">
      <selection activeCell="J20" sqref="J20"/>
    </sheetView>
  </sheetViews>
  <sheetFormatPr defaultColWidth="8.88888888888889" defaultRowHeight="13.8"/>
  <cols>
    <col min="1" max="2" width="8.88888888888889" style="1"/>
    <col min="3" max="3" width="10.2222222222222" style="1" customWidth="1"/>
    <col min="4" max="4" width="10" style="1" customWidth="1"/>
    <col min="5" max="5" width="21.1111111111111" style="1" customWidth="1"/>
    <col min="6" max="6" width="17.7777777777778" style="1" customWidth="1"/>
    <col min="7" max="7" width="16.6666666666667" style="1" customWidth="1"/>
    <col min="8" max="8" width="16.4444444444444" style="1" customWidth="1"/>
    <col min="9" max="9" width="13.8888888888889" style="1" customWidth="1"/>
    <col min="10" max="13" width="8.88888888888889" style="1"/>
    <col min="14" max="14" width="9.77777777777778" style="1" customWidth="1"/>
    <col min="15" max="15" width="8.88888888888889" style="1"/>
    <col min="16" max="16" width="12.6666666666667" style="1" customWidth="1"/>
    <col min="17" max="17" width="8.88888888888889" style="1"/>
    <col min="18" max="18" width="13.3333333333333" style="1" customWidth="1"/>
    <col min="19" max="19" width="11.5555555555556" style="1" customWidth="1"/>
    <col min="20" max="20" width="12.7777777777778" style="1" customWidth="1"/>
    <col min="21" max="16384" width="8.88888888888889" style="1"/>
  </cols>
  <sheetData>
    <row r="3" ht="19" customHeight="1" spans="3:20">
      <c r="C3" s="2" t="s">
        <v>2666</v>
      </c>
      <c r="D3" s="2" t="s">
        <v>0</v>
      </c>
      <c r="E3" s="2" t="s">
        <v>2667</v>
      </c>
      <c r="F3" s="2" t="s">
        <v>899</v>
      </c>
      <c r="G3" s="2" t="s">
        <v>2668</v>
      </c>
      <c r="H3" s="2" t="s">
        <v>2669</v>
      </c>
      <c r="I3" s="2" t="s">
        <v>2670</v>
      </c>
      <c r="M3" s="1" t="s">
        <v>899</v>
      </c>
      <c r="N3" s="1" t="s">
        <v>903</v>
      </c>
      <c r="O3" s="1" t="s">
        <v>904</v>
      </c>
    </row>
    <row r="4" ht="19" customHeight="1" spans="3:20">
      <c r="C4" s="2" t="s">
        <v>2671</v>
      </c>
      <c r="D4" s="3">
        <v>1</v>
      </c>
      <c r="E4" s="2" t="s">
        <v>2672</v>
      </c>
      <c r="F4" s="2" t="s">
        <v>2673</v>
      </c>
      <c r="G4" s="4">
        <v>5.5</v>
      </c>
      <c r="H4" s="4">
        <v>6.9</v>
      </c>
      <c r="I4" s="4">
        <v>6</v>
      </c>
      <c r="N4" s="1" t="s">
        <v>914</v>
      </c>
      <c r="O4" s="1" t="s">
        <v>914</v>
      </c>
    </row>
    <row r="5" ht="19" customHeight="1" spans="3:20">
      <c r="C5" s="5"/>
      <c r="D5" s="3">
        <v>2</v>
      </c>
      <c r="E5" s="2" t="s">
        <v>2674</v>
      </c>
      <c r="F5" s="5"/>
      <c r="G5" s="4"/>
      <c r="H5" s="4"/>
      <c r="I5" s="4"/>
      <c r="M5" s="1" t="s">
        <v>920</v>
      </c>
      <c r="N5" s="6">
        <v>6.9</v>
      </c>
      <c r="O5" s="6">
        <v>5.5</v>
      </c>
    </row>
    <row r="6" ht="19" customHeight="1" spans="3:20">
      <c r="C6" s="5"/>
      <c r="D6" s="3">
        <v>3</v>
      </c>
      <c r="E6" s="2" t="s">
        <v>2675</v>
      </c>
      <c r="F6" s="5"/>
      <c r="G6" s="4"/>
      <c r="H6" s="4"/>
      <c r="I6" s="4"/>
      <c r="M6" s="1" t="s">
        <v>925</v>
      </c>
      <c r="N6" s="6">
        <v>5.6</v>
      </c>
      <c r="O6" s="6">
        <v>5.95</v>
      </c>
    </row>
    <row r="7" ht="19" customHeight="1" spans="3:20">
      <c r="C7" s="5"/>
      <c r="D7" s="3">
        <v>4</v>
      </c>
      <c r="E7" s="2" t="s">
        <v>2676</v>
      </c>
      <c r="F7" s="5"/>
      <c r="G7" s="4"/>
      <c r="H7" s="4"/>
      <c r="I7" s="4"/>
      <c r="M7" s="1" t="s">
        <v>930</v>
      </c>
      <c r="N7" s="6">
        <v>5.4</v>
      </c>
      <c r="O7" s="6">
        <v>5.6</v>
      </c>
    </row>
    <row r="8" ht="19" customHeight="1" spans="3:20">
      <c r="C8" s="5"/>
      <c r="D8" s="3">
        <v>5</v>
      </c>
      <c r="E8" s="2" t="s">
        <v>2677</v>
      </c>
      <c r="F8" s="5"/>
      <c r="G8" s="4"/>
      <c r="H8" s="4"/>
      <c r="I8" s="4"/>
      <c r="M8" s="1" t="s">
        <v>935</v>
      </c>
      <c r="N8" s="6">
        <v>5.4</v>
      </c>
      <c r="O8" s="6">
        <v>5.45</v>
      </c>
    </row>
    <row r="9" ht="19" customHeight="1" spans="3:20">
      <c r="C9" s="5"/>
      <c r="D9" s="3">
        <v>6</v>
      </c>
      <c r="E9" s="2" t="s">
        <v>2678</v>
      </c>
      <c r="F9" s="5"/>
      <c r="G9" s="4"/>
      <c r="H9" s="4"/>
      <c r="I9" s="4"/>
      <c r="M9" s="1" t="s">
        <v>940</v>
      </c>
      <c r="N9" s="6">
        <v>5.3</v>
      </c>
      <c r="O9" s="6">
        <v>5.45</v>
      </c>
    </row>
    <row r="10" ht="19" customHeight="1" spans="3:20">
      <c r="C10" s="2" t="s">
        <v>2679</v>
      </c>
      <c r="D10" s="3">
        <v>7</v>
      </c>
      <c r="E10" s="2" t="s">
        <v>2680</v>
      </c>
      <c r="F10" s="2" t="s">
        <v>2681</v>
      </c>
      <c r="G10" s="4">
        <v>5.95</v>
      </c>
      <c r="H10" s="4">
        <v>5.6</v>
      </c>
      <c r="I10" s="4"/>
      <c r="M10" s="1" t="s">
        <v>945</v>
      </c>
      <c r="N10" s="6">
        <v>5.1</v>
      </c>
      <c r="O10" s="6">
        <v>5.2</v>
      </c>
    </row>
    <row r="11" ht="19" customHeight="1" spans="3:20">
      <c r="C11" s="5"/>
      <c r="D11" s="3">
        <v>8</v>
      </c>
      <c r="E11" s="2" t="s">
        <v>2682</v>
      </c>
      <c r="F11" s="5"/>
      <c r="G11" s="4"/>
      <c r="H11" s="4"/>
      <c r="I11" s="4"/>
      <c r="M11" s="1" t="s">
        <v>950</v>
      </c>
      <c r="N11" s="6">
        <v>4.8</v>
      </c>
      <c r="O11" s="6">
        <v>4</v>
      </c>
    </row>
    <row r="12" ht="19" customHeight="1" spans="3:20">
      <c r="C12" s="5"/>
      <c r="D12" s="3">
        <v>9</v>
      </c>
      <c r="E12" s="2" t="s">
        <v>2683</v>
      </c>
      <c r="F12" s="5"/>
      <c r="G12" s="4"/>
      <c r="H12" s="4"/>
      <c r="I12" s="4"/>
      <c r="M12" s="1" t="s">
        <v>955</v>
      </c>
      <c r="N12" s="6">
        <v>4.5</v>
      </c>
      <c r="O12" s="6">
        <v>4.85</v>
      </c>
    </row>
    <row r="13" ht="19" customHeight="1" spans="3:20">
      <c r="C13" s="2" t="s">
        <v>2684</v>
      </c>
      <c r="D13" s="3">
        <v>10</v>
      </c>
      <c r="E13" s="2" t="s">
        <v>2685</v>
      </c>
      <c r="F13" s="2" t="s">
        <v>2686</v>
      </c>
      <c r="G13" s="4">
        <v>5.6</v>
      </c>
      <c r="H13" s="4">
        <v>5.4</v>
      </c>
      <c r="I13" s="4"/>
    </row>
    <row r="14" ht="19" customHeight="1" spans="3:20">
      <c r="C14" s="2"/>
      <c r="D14" s="3">
        <v>11</v>
      </c>
      <c r="E14" s="2" t="s">
        <v>2687</v>
      </c>
      <c r="F14" s="2"/>
      <c r="G14" s="4"/>
      <c r="H14" s="4"/>
      <c r="I14" s="4"/>
    </row>
    <row r="15" ht="19" customHeight="1" spans="3:20">
      <c r="C15" s="2" t="s">
        <v>2688</v>
      </c>
      <c r="D15" s="3">
        <v>12</v>
      </c>
      <c r="E15" s="2" t="s">
        <v>2689</v>
      </c>
      <c r="F15" s="2" t="s">
        <v>2690</v>
      </c>
      <c r="G15" s="4">
        <v>5.45</v>
      </c>
      <c r="H15" s="4">
        <v>5.4</v>
      </c>
      <c r="I15" s="4"/>
      <c r="M15" s="1" t="s">
        <v>899</v>
      </c>
      <c r="N15" s="1" t="s">
        <v>2691</v>
      </c>
      <c r="O15" s="1" t="s">
        <v>2692</v>
      </c>
      <c r="P15" s="1" t="s">
        <v>2693</v>
      </c>
      <c r="Q15" s="1" t="s">
        <v>2694</v>
      </c>
      <c r="R15" s="1" t="s">
        <v>2695</v>
      </c>
      <c r="S15" s="1" t="s">
        <v>2696</v>
      </c>
      <c r="T15" s="1" t="s">
        <v>2697</v>
      </c>
    </row>
    <row r="16" ht="19" customHeight="1" spans="3:20">
      <c r="C16" s="2"/>
      <c r="D16" s="3">
        <v>13</v>
      </c>
      <c r="E16" s="2" t="s">
        <v>2698</v>
      </c>
      <c r="F16" s="2"/>
      <c r="G16" s="4"/>
      <c r="H16" s="4"/>
      <c r="I16" s="4"/>
      <c r="N16" s="1" t="s">
        <v>914</v>
      </c>
      <c r="O16" s="1" t="s">
        <v>914</v>
      </c>
      <c r="P16" s="1" t="s">
        <v>914</v>
      </c>
      <c r="Q16" s="1" t="s">
        <v>914</v>
      </c>
      <c r="R16" s="1" t="s">
        <v>914</v>
      </c>
      <c r="S16" s="1" t="s">
        <v>914</v>
      </c>
      <c r="T16" s="1" t="s">
        <v>914</v>
      </c>
    </row>
    <row r="17" ht="19" customHeight="1" spans="3:20">
      <c r="C17" s="2" t="s">
        <v>2699</v>
      </c>
      <c r="D17" s="3">
        <v>14</v>
      </c>
      <c r="E17" s="2" t="s">
        <v>2700</v>
      </c>
      <c r="F17" s="2" t="s">
        <v>2701</v>
      </c>
      <c r="G17" s="4">
        <v>5.45</v>
      </c>
      <c r="H17" s="4">
        <v>5.3</v>
      </c>
      <c r="I17" s="4"/>
      <c r="M17" s="1" t="s">
        <v>920</v>
      </c>
      <c r="N17" s="6">
        <v>5.2</v>
      </c>
      <c r="O17" s="6">
        <v>4.4</v>
      </c>
      <c r="P17" s="6">
        <v>3.63623032197962</v>
      </c>
      <c r="Q17" s="6">
        <v>0.3</v>
      </c>
      <c r="R17" s="6">
        <v>0.5</v>
      </c>
      <c r="S17" s="6">
        <v>0.5</v>
      </c>
      <c r="T17" s="6">
        <v>5.5</v>
      </c>
    </row>
    <row r="18" ht="19" customHeight="1" spans="3:20">
      <c r="C18" s="2" t="s">
        <v>2702</v>
      </c>
      <c r="D18" s="3">
        <v>15</v>
      </c>
      <c r="E18" s="2" t="s">
        <v>2703</v>
      </c>
      <c r="F18" s="7" t="s">
        <v>2704</v>
      </c>
      <c r="G18" s="4">
        <v>5.2</v>
      </c>
      <c r="H18" s="4">
        <v>5.1</v>
      </c>
      <c r="I18" s="4"/>
      <c r="M18" s="1" t="s">
        <v>925</v>
      </c>
      <c r="N18" s="6">
        <v>5.1</v>
      </c>
      <c r="O18" s="6">
        <v>4.4</v>
      </c>
      <c r="P18" s="6">
        <v>3.65659212742213</v>
      </c>
      <c r="Q18" s="6">
        <v>0.3</v>
      </c>
      <c r="R18" s="6">
        <v>0.5</v>
      </c>
      <c r="S18" s="6">
        <v>0.5</v>
      </c>
      <c r="T18" s="6">
        <v>5.4</v>
      </c>
    </row>
    <row r="19" ht="19" customHeight="1" spans="3:20">
      <c r="C19" s="2"/>
      <c r="D19" s="3">
        <v>16</v>
      </c>
      <c r="E19" s="2" t="s">
        <v>2705</v>
      </c>
      <c r="F19" s="7"/>
      <c r="G19" s="4"/>
      <c r="H19" s="4"/>
      <c r="I19" s="4"/>
      <c r="M19" s="1" t="s">
        <v>930</v>
      </c>
      <c r="N19" s="6">
        <v>5</v>
      </c>
      <c r="O19" s="6">
        <v>4.3</v>
      </c>
      <c r="P19" s="6">
        <v>3.54322554671912</v>
      </c>
      <c r="Q19" s="6">
        <v>0.3</v>
      </c>
      <c r="R19" s="6">
        <v>0.5</v>
      </c>
      <c r="S19" s="6">
        <v>0.5</v>
      </c>
      <c r="T19" s="6">
        <v>5.3</v>
      </c>
    </row>
    <row r="20" spans="3:20">
      <c r="C20" s="1" t="s">
        <v>2706</v>
      </c>
      <c r="D20" s="3">
        <v>17</v>
      </c>
      <c r="E20" s="1" t="s">
        <v>2707</v>
      </c>
      <c r="F20" s="1" t="s">
        <v>2708</v>
      </c>
      <c r="G20" s="4">
        <v>4</v>
      </c>
      <c r="H20" s="4">
        <v>4.8</v>
      </c>
      <c r="I20" s="4"/>
      <c r="M20" s="1" t="s">
        <v>935</v>
      </c>
      <c r="N20" s="6">
        <v>4.9</v>
      </c>
      <c r="O20" s="6">
        <v>4.3</v>
      </c>
      <c r="P20" s="6">
        <v>3.53958533809906</v>
      </c>
      <c r="Q20" s="6">
        <v>0.3</v>
      </c>
      <c r="R20" s="6">
        <v>0.5</v>
      </c>
      <c r="S20" s="6">
        <v>0.5</v>
      </c>
      <c r="T20" s="6">
        <v>5.2</v>
      </c>
    </row>
    <row r="21" spans="3:20">
      <c r="M21" s="1" t="s">
        <v>940</v>
      </c>
      <c r="N21" s="6">
        <v>4.9</v>
      </c>
      <c r="O21" s="6">
        <v>4.2</v>
      </c>
      <c r="P21" s="6">
        <v>3.46690867316071</v>
      </c>
      <c r="Q21" s="6">
        <v>0.3</v>
      </c>
      <c r="R21" s="6">
        <v>0.5</v>
      </c>
      <c r="S21" s="6">
        <v>0.5</v>
      </c>
      <c r="T21" s="6">
        <v>5.2</v>
      </c>
    </row>
    <row r="22" spans="3:20">
      <c r="M22" s="1" t="s">
        <v>945</v>
      </c>
      <c r="N22" s="6">
        <v>4.7</v>
      </c>
      <c r="O22" s="6">
        <v>4</v>
      </c>
      <c r="P22" s="6">
        <v>3.31927534353832</v>
      </c>
      <c r="Q22" s="6">
        <v>0.3</v>
      </c>
      <c r="R22" s="6">
        <v>0.5</v>
      </c>
      <c r="S22" s="6">
        <v>0.5</v>
      </c>
      <c r="T22" s="6">
        <v>5</v>
      </c>
    </row>
    <row r="25" spans="3:20">
      <c r="M25" s="1" t="s">
        <v>899</v>
      </c>
      <c r="N25" s="1" t="s">
        <v>2691</v>
      </c>
      <c r="O25" s="1" t="s">
        <v>2692</v>
      </c>
      <c r="P25" s="1" t="s">
        <v>2693</v>
      </c>
      <c r="Q25" s="1" t="s">
        <v>2709</v>
      </c>
      <c r="R25" s="1" t="s">
        <v>2695</v>
      </c>
      <c r="S25" s="1" t="s">
        <v>2696</v>
      </c>
      <c r="T25" s="1" t="s">
        <v>2697</v>
      </c>
    </row>
    <row r="26" spans="3:20">
      <c r="C26" s="2" t="s">
        <v>2666</v>
      </c>
      <c r="D26" s="2" t="s">
        <v>0</v>
      </c>
      <c r="E26" s="2" t="s">
        <v>2667</v>
      </c>
      <c r="F26" s="2" t="s">
        <v>899</v>
      </c>
      <c r="G26" s="2" t="s">
        <v>2668</v>
      </c>
      <c r="H26" s="2" t="s">
        <v>2669</v>
      </c>
      <c r="I26" s="2" t="s">
        <v>2670</v>
      </c>
      <c r="N26" s="1" t="s">
        <v>914</v>
      </c>
      <c r="O26" s="1" t="s">
        <v>914</v>
      </c>
      <c r="P26" s="1" t="s">
        <v>914</v>
      </c>
      <c r="Q26" s="1" t="s">
        <v>914</v>
      </c>
      <c r="R26" s="1" t="s">
        <v>914</v>
      </c>
      <c r="S26" s="1" t="s">
        <v>914</v>
      </c>
      <c r="T26" s="1" t="s">
        <v>914</v>
      </c>
    </row>
    <row r="27" spans="3:20">
      <c r="C27" s="2" t="s">
        <v>2671</v>
      </c>
      <c r="D27" s="3">
        <v>1</v>
      </c>
      <c r="E27" s="2" t="s">
        <v>883</v>
      </c>
      <c r="F27" s="2" t="s">
        <v>2673</v>
      </c>
      <c r="G27" s="4">
        <v>5.5</v>
      </c>
      <c r="H27" s="4">
        <v>3</v>
      </c>
      <c r="I27" s="4">
        <v>6</v>
      </c>
      <c r="M27" s="1" t="s">
        <v>920</v>
      </c>
      <c r="N27" s="6">
        <v>5.2</v>
      </c>
      <c r="O27" s="6">
        <v>4.4</v>
      </c>
      <c r="P27" s="6">
        <v>3.63623032197962</v>
      </c>
      <c r="Q27" s="6">
        <v>0.35</v>
      </c>
      <c r="R27" s="6">
        <v>0.4</v>
      </c>
      <c r="S27" s="6">
        <v>0.45</v>
      </c>
      <c r="T27" s="6">
        <v>5.5</v>
      </c>
    </row>
    <row r="28" spans="3:20">
      <c r="C28" s="5"/>
      <c r="D28" s="3">
        <v>2</v>
      </c>
      <c r="E28" s="2" t="s">
        <v>887</v>
      </c>
      <c r="F28" s="5"/>
      <c r="G28" s="4"/>
      <c r="H28" s="4"/>
      <c r="I28" s="4"/>
      <c r="M28" s="1" t="s">
        <v>925</v>
      </c>
      <c r="N28" s="6">
        <v>5.1</v>
      </c>
      <c r="O28" s="6">
        <v>4.4</v>
      </c>
      <c r="P28" s="6">
        <v>3.65659212742213</v>
      </c>
      <c r="Q28" s="6">
        <v>0.35</v>
      </c>
      <c r="R28" s="6">
        <v>0.4</v>
      </c>
      <c r="S28" s="6">
        <v>0.45</v>
      </c>
      <c r="T28" s="6">
        <v>5.4</v>
      </c>
    </row>
    <row r="29" spans="3:20">
      <c r="C29" s="5"/>
      <c r="D29" s="3">
        <v>3</v>
      </c>
      <c r="E29" s="2" t="s">
        <v>888</v>
      </c>
      <c r="F29" s="5"/>
      <c r="G29" s="4"/>
      <c r="H29" s="4"/>
      <c r="I29" s="4"/>
      <c r="M29" s="1" t="s">
        <v>930</v>
      </c>
      <c r="N29" s="6">
        <v>5</v>
      </c>
      <c r="O29" s="6">
        <v>4.3</v>
      </c>
      <c r="P29" s="6">
        <v>3.54322554671912</v>
      </c>
      <c r="Q29" s="6">
        <v>0.35</v>
      </c>
      <c r="R29" s="6">
        <v>0.4</v>
      </c>
      <c r="S29" s="6">
        <v>0.45</v>
      </c>
      <c r="T29" s="6">
        <v>5.3</v>
      </c>
    </row>
    <row r="30" spans="3:20">
      <c r="C30" s="5"/>
      <c r="D30" s="3">
        <v>4</v>
      </c>
      <c r="E30" s="2" t="s">
        <v>889</v>
      </c>
      <c r="F30" s="5"/>
      <c r="G30" s="4"/>
      <c r="H30" s="4"/>
      <c r="I30" s="4"/>
      <c r="M30" s="1" t="s">
        <v>935</v>
      </c>
      <c r="N30" s="6">
        <v>4.9</v>
      </c>
      <c r="O30" s="6">
        <v>4.3</v>
      </c>
      <c r="P30" s="6">
        <v>3.53958533809906</v>
      </c>
      <c r="Q30" s="6">
        <v>0.35</v>
      </c>
      <c r="R30" s="6">
        <v>0.4</v>
      </c>
      <c r="S30" s="6">
        <v>0.45</v>
      </c>
      <c r="T30" s="6">
        <v>5.2</v>
      </c>
    </row>
    <row r="31" spans="3:20">
      <c r="C31" s="5"/>
      <c r="D31" s="3">
        <v>5</v>
      </c>
      <c r="E31" s="2" t="s">
        <v>890</v>
      </c>
      <c r="F31" s="5"/>
      <c r="G31" s="4"/>
      <c r="H31" s="4"/>
      <c r="I31" s="4"/>
      <c r="M31" s="1" t="s">
        <v>940</v>
      </c>
      <c r="N31" s="6">
        <v>4.9</v>
      </c>
      <c r="O31" s="6">
        <v>4.2</v>
      </c>
      <c r="P31" s="6">
        <v>3.46690867316071</v>
      </c>
      <c r="Q31" s="6">
        <v>0.35</v>
      </c>
      <c r="R31" s="6">
        <v>0.4</v>
      </c>
      <c r="S31" s="6">
        <v>0.45</v>
      </c>
      <c r="T31" s="6">
        <v>5.2</v>
      </c>
    </row>
    <row r="32" spans="3:20">
      <c r="C32" s="2" t="s">
        <v>2679</v>
      </c>
      <c r="D32" s="3">
        <v>6</v>
      </c>
      <c r="E32" s="2" t="s">
        <v>892</v>
      </c>
      <c r="F32" s="2" t="s">
        <v>2681</v>
      </c>
      <c r="G32" s="4">
        <v>5.8</v>
      </c>
      <c r="H32" s="4">
        <v>3</v>
      </c>
      <c r="I32" s="4"/>
      <c r="M32" s="1" t="s">
        <v>945</v>
      </c>
      <c r="N32" s="6">
        <v>4.7</v>
      </c>
      <c r="O32" s="6">
        <v>4</v>
      </c>
      <c r="P32" s="6">
        <v>3.31927534353832</v>
      </c>
      <c r="Q32" s="6">
        <v>0.35</v>
      </c>
      <c r="R32" s="6">
        <v>0.4</v>
      </c>
      <c r="S32" s="6">
        <v>0.45</v>
      </c>
      <c r="T32" s="6">
        <v>5</v>
      </c>
    </row>
    <row r="33" spans="3:9">
      <c r="C33" s="2" t="s">
        <v>2684</v>
      </c>
      <c r="D33" s="3">
        <v>7</v>
      </c>
      <c r="E33" s="2" t="s">
        <v>893</v>
      </c>
      <c r="F33" s="2" t="s">
        <v>2681</v>
      </c>
      <c r="G33" s="4">
        <v>5.8</v>
      </c>
      <c r="H33" s="4">
        <v>2</v>
      </c>
      <c r="I33" s="4"/>
    </row>
    <row r="34" spans="3:9">
      <c r="C34" s="2" t="s">
        <v>2688</v>
      </c>
      <c r="D34" s="3">
        <v>8</v>
      </c>
      <c r="E34" s="2" t="s">
        <v>2710</v>
      </c>
      <c r="F34" s="2" t="s">
        <v>2686</v>
      </c>
      <c r="G34" s="4">
        <v>5.6</v>
      </c>
      <c r="H34" s="4">
        <v>2</v>
      </c>
      <c r="I34" s="4"/>
    </row>
    <row r="35" spans="3:9">
      <c r="C35" s="5"/>
      <c r="D35" s="3">
        <v>9</v>
      </c>
      <c r="E35" s="2" t="s">
        <v>2711</v>
      </c>
      <c r="F35" s="2" t="s">
        <v>2690</v>
      </c>
      <c r="G35" s="4">
        <v>5.45</v>
      </c>
      <c r="H35" s="4">
        <v>2</v>
      </c>
      <c r="I35" s="4"/>
    </row>
    <row r="36" spans="3:9">
      <c r="C36" s="5"/>
      <c r="D36" s="3">
        <v>10</v>
      </c>
      <c r="E36" s="2" t="s">
        <v>2712</v>
      </c>
      <c r="F36" s="2" t="s">
        <v>2704</v>
      </c>
      <c r="G36" s="4">
        <v>5.2</v>
      </c>
      <c r="H36" s="4">
        <v>2</v>
      </c>
      <c r="I36" s="4"/>
    </row>
    <row r="39" spans="3:9">
      <c r="C39" s="2" t="s">
        <v>2666</v>
      </c>
      <c r="D39" s="2" t="s">
        <v>0</v>
      </c>
      <c r="E39" s="2" t="s">
        <v>2667</v>
      </c>
      <c r="F39" s="2" t="s">
        <v>899</v>
      </c>
      <c r="G39" s="2" t="s">
        <v>2668</v>
      </c>
      <c r="H39" s="2" t="s">
        <v>2669</v>
      </c>
      <c r="I39" s="2" t="s">
        <v>2670</v>
      </c>
    </row>
    <row r="40" spans="3:9">
      <c r="C40" s="2" t="s">
        <v>2671</v>
      </c>
      <c r="D40" s="3">
        <v>1</v>
      </c>
      <c r="E40" s="2" t="s">
        <v>2713</v>
      </c>
      <c r="F40" s="2" t="s">
        <v>2673</v>
      </c>
      <c r="G40" s="4">
        <v>5.5</v>
      </c>
      <c r="H40" s="4">
        <v>6.9</v>
      </c>
      <c r="I40" s="4">
        <v>6</v>
      </c>
    </row>
    <row r="41" spans="3:9">
      <c r="C41" s="2" t="s">
        <v>2679</v>
      </c>
      <c r="D41" s="3">
        <v>2</v>
      </c>
      <c r="E41" s="2" t="s">
        <v>894</v>
      </c>
      <c r="F41" s="2" t="s">
        <v>2681</v>
      </c>
      <c r="G41" s="4">
        <v>5.95</v>
      </c>
      <c r="H41" s="4">
        <v>5.6</v>
      </c>
      <c r="I41" s="4"/>
    </row>
    <row r="42" spans="3:9">
      <c r="C42" s="2" t="s">
        <v>2688</v>
      </c>
      <c r="D42" s="3">
        <v>3</v>
      </c>
      <c r="E42" s="2" t="s">
        <v>2714</v>
      </c>
      <c r="F42" s="2" t="s">
        <v>2686</v>
      </c>
      <c r="G42" s="4">
        <v>5.6</v>
      </c>
      <c r="H42" s="4">
        <v>5.4</v>
      </c>
      <c r="I42" s="4"/>
    </row>
    <row r="43" spans="3:9">
      <c r="C43" s="2" t="s">
        <v>2699</v>
      </c>
      <c r="D43" s="3">
        <v>4</v>
      </c>
      <c r="E43" s="2" t="s">
        <v>2715</v>
      </c>
      <c r="F43" s="2" t="s">
        <v>2690</v>
      </c>
      <c r="G43" s="4">
        <v>5.45</v>
      </c>
      <c r="H43" s="4">
        <v>5.4</v>
      </c>
      <c r="I43" s="4"/>
    </row>
    <row r="44" spans="3:9">
      <c r="C44" s="2" t="s">
        <v>2702</v>
      </c>
      <c r="D44" s="3">
        <v>5</v>
      </c>
      <c r="E44" s="2" t="s">
        <v>2716</v>
      </c>
      <c r="F44" s="2" t="s">
        <v>2701</v>
      </c>
      <c r="G44" s="4">
        <v>5.45</v>
      </c>
      <c r="H44" s="4">
        <v>5.3</v>
      </c>
      <c r="I44" s="4"/>
    </row>
    <row r="45" spans="3:9">
      <c r="C45" s="2" t="s">
        <v>2706</v>
      </c>
      <c r="D45" s="3">
        <v>6</v>
      </c>
      <c r="E45" s="2" t="s">
        <v>2717</v>
      </c>
      <c r="F45" s="2" t="s">
        <v>2704</v>
      </c>
      <c r="G45" s="4">
        <v>5.2</v>
      </c>
      <c r="H45" s="4">
        <v>5.1</v>
      </c>
      <c r="I45" s="4"/>
    </row>
    <row r="46" spans="3:9">
      <c r="C46" s="2" t="s">
        <v>2718</v>
      </c>
      <c r="D46" s="3">
        <v>7</v>
      </c>
      <c r="E46" s="2" t="s">
        <v>2719</v>
      </c>
      <c r="F46" s="2" t="s">
        <v>2708</v>
      </c>
      <c r="G46" s="4">
        <v>4</v>
      </c>
      <c r="H46" s="4">
        <v>4.8</v>
      </c>
      <c r="I46" s="4"/>
    </row>
    <row r="47" spans="3:9">
      <c r="C47" s="2"/>
      <c r="D47" s="3"/>
      <c r="E47" s="2"/>
      <c r="F47" s="2"/>
      <c r="G47" s="4"/>
      <c r="H47" s="4"/>
      <c r="I47" s="8"/>
    </row>
    <row r="48" spans="3:9">
      <c r="C48" s="5"/>
      <c r="D48" s="3"/>
      <c r="E48" s="2"/>
      <c r="F48" s="2"/>
      <c r="G48" s="4"/>
      <c r="H48" s="4"/>
      <c r="I48" s="8"/>
    </row>
    <row r="49" spans="3:9">
      <c r="C49" s="5"/>
      <c r="D49" s="3"/>
      <c r="E49" s="2"/>
      <c r="F49" s="2"/>
      <c r="G49" s="4"/>
      <c r="H49" s="4"/>
      <c r="I49" s="8"/>
    </row>
  </sheetData>
  <mergeCells count="32">
    <mergeCell ref="C4:C9"/>
    <mergeCell ref="C10:C12"/>
    <mergeCell ref="C13:C14"/>
    <mergeCell ref="C15:C16"/>
    <mergeCell ref="C18:C19"/>
    <mergeCell ref="C27:C31"/>
    <mergeCell ref="C34:C36"/>
    <mergeCell ref="C47:C49"/>
    <mergeCell ref="F4:F9"/>
    <mergeCell ref="F10:F12"/>
    <mergeCell ref="F13:F14"/>
    <mergeCell ref="F15:F16"/>
    <mergeCell ref="F18:F19"/>
    <mergeCell ref="F27:F31"/>
    <mergeCell ref="G4:G9"/>
    <mergeCell ref="G10:G12"/>
    <mergeCell ref="G13:G14"/>
    <mergeCell ref="G15:G16"/>
    <mergeCell ref="G18:G19"/>
    <mergeCell ref="G27:G31"/>
    <mergeCell ref="H4:H9"/>
    <mergeCell ref="H10:H12"/>
    <mergeCell ref="H13:H14"/>
    <mergeCell ref="H15:H16"/>
    <mergeCell ref="H18:H19"/>
    <mergeCell ref="H27:H31"/>
    <mergeCell ref="I4:I20"/>
    <mergeCell ref="I27:I36"/>
    <mergeCell ref="I40:I46"/>
    <mergeCell ref="M3:M4"/>
    <mergeCell ref="M15:M16"/>
    <mergeCell ref="M25:M26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桩号</vt:lpstr>
      <vt:lpstr>Sheet2</vt:lpstr>
      <vt:lpstr>Sheet4</vt:lpstr>
      <vt:lpstr>Sheet5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 Dai</dc:creator>
  <cp:lastModifiedBy>慕景</cp:lastModifiedBy>
  <dcterms:created xsi:type="dcterms:W3CDTF">2015-06-05T18:19:00Z</dcterms:created>
  <dcterms:modified xsi:type="dcterms:W3CDTF">2026-01-30T12:10:36Z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0B3A1EBF6D73438FA9886C397E4AA7AB_13</vt:lpwstr>
  </property>
  <property fmtid="{D5CDD505-2E9C-101B-9397-08002B2CF9AE}" pid="3" name="KSOProductBuildVer">
    <vt:lpwstr>2052-12.1.0.24657</vt:lpwstr>
  </property>
  <property fmtid="{D5CDD505-2E9C-101B-9397-08002B2CF9AE}" pid="4" name="CalculationRule">
    <vt:i4>0</vt:i4>
  </property>
</Properties>
</file>