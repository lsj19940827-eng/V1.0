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metadata.xml" ContentType="application/vnd.openxmlformats-officedocument.spreadsheetml.sheetMetadata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9868" windowHeight="13860"/>
  </bookViews>
  <sheets>
    <sheet name="毗河二期总干渠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<sst xmlns="http://schemas.openxmlformats.org/spreadsheetml/2006/main" count="3946" uniqueCount="1015">
  <si>
    <t>渠道名称</t>
  </si>
  <si>
    <t>总</t>
  </si>
  <si>
    <t>渠道级别</t>
  </si>
  <si>
    <t>干渠</t>
  </si>
  <si>
    <t>渠道起始水位高程(m)</t>
  </si>
  <si>
    <t>起始桩号</t>
  </si>
  <si>
    <t>序号</t>
  </si>
  <si>
    <t>流量段</t>
  </si>
  <si>
    <t>建筑物名称</t>
  </si>
  <si>
    <t>结构形式</t>
  </si>
  <si>
    <t>X</t>
  </si>
  <si>
    <t>Y</t>
  </si>
  <si>
    <t>Q(m³/s)</t>
  </si>
  <si>
    <t>糙率n</t>
  </si>
  <si>
    <t>比降(1/)</t>
  </si>
  <si>
    <t>边坡系数m</t>
  </si>
  <si>
    <t>底宽B(m)</t>
  </si>
  <si>
    <t>明渠宽深比</t>
  </si>
  <si>
    <t>半径R(m)</t>
  </si>
  <si>
    <t>直径D(m)</t>
  </si>
  <si>
    <t>矩形渡槽深宽比</t>
  </si>
  <si>
    <t>倒角角度(°)</t>
  </si>
  <si>
    <t>倒角底边(m)</t>
  </si>
  <si>
    <t>圆心角(°)</t>
  </si>
  <si>
    <t>不淤流速</t>
  </si>
  <si>
    <t>不冲流速</t>
  </si>
  <si>
    <t>1</t>
  </si>
  <si>
    <t>-</t>
  </si>
  <si>
    <t>明渠-矩形</t>
  </si>
  <si>
    <t>0.014</t>
  </si>
  <si>
    <t/>
  </si>
  <si>
    <t>0.1</t>
  </si>
  <si>
    <t>100</t>
  </si>
  <si>
    <t>2</t>
  </si>
  <si>
    <t>龙泉山</t>
  </si>
  <si>
    <t>隧洞-圆拱直墙型</t>
  </si>
  <si>
    <t>3</t>
  </si>
  <si>
    <t>4</t>
  </si>
  <si>
    <t>5</t>
  </si>
  <si>
    <t>6</t>
  </si>
  <si>
    <t>7</t>
  </si>
  <si>
    <t>8</t>
  </si>
  <si>
    <t>9</t>
  </si>
  <si>
    <t>狗跳地</t>
  </si>
  <si>
    <t>泄水闸</t>
  </si>
  <si>
    <t>10</t>
  </si>
  <si>
    <t>11</t>
  </si>
  <si>
    <t>渡槽-矩形</t>
  </si>
  <si>
    <t>12</t>
  </si>
  <si>
    <t>13</t>
  </si>
  <si>
    <t>两河口</t>
  </si>
  <si>
    <t>14</t>
  </si>
  <si>
    <t>15</t>
  </si>
  <si>
    <t>16</t>
  </si>
  <si>
    <t>17</t>
  </si>
  <si>
    <t>段家1#</t>
  </si>
  <si>
    <t>18</t>
  </si>
  <si>
    <t>19</t>
  </si>
  <si>
    <t>段家</t>
  </si>
  <si>
    <t>20</t>
  </si>
  <si>
    <t>21</t>
  </si>
  <si>
    <t>22</t>
  </si>
  <si>
    <t>段家2#</t>
  </si>
  <si>
    <t>23</t>
  </si>
  <si>
    <t>24</t>
  </si>
  <si>
    <t>大脑壳</t>
  </si>
  <si>
    <t>25</t>
  </si>
  <si>
    <t>26</t>
  </si>
  <si>
    <t>27</t>
  </si>
  <si>
    <t>新塘坊</t>
  </si>
  <si>
    <t>28</t>
  </si>
  <si>
    <t>29</t>
  </si>
  <si>
    <t>火烧梁</t>
  </si>
  <si>
    <t>30</t>
  </si>
  <si>
    <t>31</t>
  </si>
  <si>
    <t>32</t>
  </si>
  <si>
    <t>龙门垭</t>
  </si>
  <si>
    <t>33</t>
  </si>
  <si>
    <t>34</t>
  </si>
  <si>
    <t>35</t>
  </si>
  <si>
    <t>雷家湾</t>
  </si>
  <si>
    <t>倒虹吸</t>
  </si>
  <si>
    <t>36</t>
  </si>
  <si>
    <t>37</t>
  </si>
  <si>
    <t>38</t>
  </si>
  <si>
    <t>39</t>
  </si>
  <si>
    <t>40</t>
  </si>
  <si>
    <t>41</t>
  </si>
  <si>
    <t>42</t>
  </si>
  <si>
    <t>43</t>
  </si>
  <si>
    <t>鹞子林</t>
  </si>
  <si>
    <t>44</t>
  </si>
  <si>
    <t>45</t>
  </si>
  <si>
    <t>46</t>
  </si>
  <si>
    <t>47</t>
  </si>
  <si>
    <t>48</t>
  </si>
  <si>
    <t>鱼尾湾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</si>
  <si>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</si>
  <si>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</si>
  <si>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</si>
  <si>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</si>
  <si>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</si>
  <si>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</si>
  <si>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</si>
  <si>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</si>
  <si>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</si>
  <si>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</si>
  <si>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</si>
  <si>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堰塘湾</t>
  </si>
  <si>
    <t>60</t>
  </si>
  <si>
    <t>61</t>
  </si>
  <si>
    <t>62</t>
  </si>
  <si>
    <t>63</t>
  </si>
  <si>
    <t>64</t>
  </si>
  <si>
    <t>65</t>
  </si>
  <si>
    <t>付家坝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</si>
  <si>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</si>
  <si>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</si>
  <si>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</si>
  <si>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</si>
  <si>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</si>
  <si>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</si>
  <si>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</si>
  <si>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</si>
  <si>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</si>
  <si>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杨溪河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</si>
  <si>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</si>
  <si>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</si>
  <si>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</si>
  <si>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</si>
  <si>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</si>
  <si>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</si>
  <si>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</si>
  <si>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</si>
  <si>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</si>
  <si>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</si>
  <si>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</si>
  <si>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</si>
  <si>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</si>
  <si>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</si>
  <si>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菱角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</si>
  <si>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</si>
  <si>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</si>
  <si>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</si>
  <si>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</si>
  <si>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</si>
  <si>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</si>
  <si>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</si>
  <si>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</si>
  <si>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</si>
  <si>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晋家湾</t>
  </si>
  <si>
    <t>98</t>
  </si>
  <si>
    <t>99</t>
  </si>
  <si>
    <t>101</t>
  </si>
  <si>
    <t>玉皇观</t>
  </si>
  <si>
    <t>102</t>
  </si>
  <si>
    <t>103</t>
  </si>
  <si>
    <t>104</t>
  </si>
  <si>
    <t>驼子桥</t>
  </si>
  <si>
    <t>105</t>
  </si>
  <si>
    <t>106</t>
  </si>
  <si>
    <t>107</t>
  </si>
  <si>
    <t>108</t>
  </si>
  <si>
    <t>109</t>
  </si>
  <si>
    <t>110</t>
  </si>
  <si>
    <t>小湾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</si>
  <si>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</si>
  <si>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</si>
  <si>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</si>
  <si>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</si>
  <si>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</si>
  <si>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</si>
  <si>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</si>
  <si>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</si>
  <si>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</si>
  <si>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</si>
  <si>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</si>
  <si>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</si>
  <si>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瓜飘寨</t>
  </si>
  <si>
    <t>123</t>
  </si>
  <si>
    <t>124</t>
  </si>
  <si>
    <t>125</t>
  </si>
  <si>
    <t>126</t>
  </si>
  <si>
    <t>蔡家</t>
  </si>
  <si>
    <t>127</t>
  </si>
  <si>
    <t>128</t>
  </si>
  <si>
    <t>杨家湾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</si>
  <si>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</si>
  <si>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</si>
  <si>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</si>
  <si>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</si>
  <si>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</si>
  <si>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</si>
  <si>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</si>
  <si>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</si>
  <si>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</si>
  <si>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宽沟</t>
  </si>
  <si>
    <t>138</t>
  </si>
  <si>
    <t>139</t>
  </si>
  <si>
    <t>140</t>
  </si>
  <si>
    <t>三湾堰</t>
  </si>
  <si>
    <t>141</t>
  </si>
  <si>
    <t>142</t>
  </si>
  <si>
    <t>143</t>
  </si>
  <si>
    <t>大堰塘湾1#</t>
  </si>
  <si>
    <t>144</t>
  </si>
  <si>
    <t>145</t>
  </si>
  <si>
    <t>146</t>
  </si>
  <si>
    <t>大堰塘湾2#</t>
  </si>
  <si>
    <t>147</t>
  </si>
  <si>
    <t>148</t>
  </si>
  <si>
    <t>149</t>
  </si>
  <si>
    <t>麻风梁子</t>
  </si>
  <si>
    <t>150</t>
  </si>
  <si>
    <t>151</t>
  </si>
  <si>
    <t>152</t>
  </si>
  <si>
    <t>唐家湾1#</t>
  </si>
  <si>
    <t>153</t>
  </si>
  <si>
    <t>154</t>
  </si>
  <si>
    <t>155</t>
  </si>
  <si>
    <t>156</t>
  </si>
  <si>
    <t>唐家湾2#</t>
  </si>
  <si>
    <t>157</t>
  </si>
  <si>
    <t>158</t>
  </si>
  <si>
    <t>159</t>
  </si>
  <si>
    <t>160</t>
  </si>
  <si>
    <t>161</t>
  </si>
  <si>
    <t>162</t>
  </si>
  <si>
    <t>163</t>
  </si>
  <si>
    <t>干湾</t>
  </si>
  <si>
    <t>164</t>
  </si>
  <si>
    <t>165</t>
  </si>
  <si>
    <t>166</t>
  </si>
  <si>
    <t>松树坪</t>
  </si>
  <si>
    <t>167</t>
  </si>
  <si>
    <t>168</t>
  </si>
  <si>
    <t>169</t>
  </si>
  <si>
    <t>胡家</t>
  </si>
  <si>
    <t>170</t>
  </si>
  <si>
    <t>171</t>
  </si>
  <si>
    <t>172</t>
  </si>
  <si>
    <t>蔡家坟</t>
  </si>
  <si>
    <t>173</t>
  </si>
  <si>
    <t>174</t>
  </si>
  <si>
    <t>175</t>
  </si>
  <si>
    <t>狮子山</t>
  </si>
  <si>
    <t>176</t>
  </si>
  <si>
    <t>177</t>
  </si>
  <si>
    <t>178</t>
  </si>
  <si>
    <t>179</t>
  </si>
  <si>
    <t>180</t>
  </si>
  <si>
    <t>小沟</t>
  </si>
  <si>
    <t>181</t>
  </si>
  <si>
    <t>182</t>
  </si>
  <si>
    <t>183</t>
  </si>
  <si>
    <t>大梁子</t>
  </si>
  <si>
    <t>184</t>
  </si>
  <si>
    <t>185</t>
  </si>
  <si>
    <t>186</t>
  </si>
  <si>
    <t>长梁子</t>
  </si>
  <si>
    <t>187</t>
  </si>
  <si>
    <t>188</t>
  </si>
  <si>
    <t>189</t>
  </si>
  <si>
    <t>大井湾</t>
  </si>
  <si>
    <t>190</t>
  </si>
  <si>
    <t>191</t>
  </si>
  <si>
    <t>高垭口</t>
  </si>
  <si>
    <t>192</t>
  </si>
  <si>
    <t>193</t>
  </si>
  <si>
    <t>194</t>
  </si>
  <si>
    <t>踏水水库</t>
  </si>
  <si>
    <t>分水闸</t>
  </si>
  <si>
    <t>195</t>
  </si>
  <si>
    <t>196</t>
  </si>
  <si>
    <t>马桑梁子</t>
  </si>
  <si>
    <t>197</t>
  </si>
  <si>
    <t>198</t>
  </si>
  <si>
    <t>199</t>
  </si>
  <si>
    <t>双岔沟</t>
  </si>
  <si>
    <t>200</t>
  </si>
  <si>
    <t>201</t>
  </si>
  <si>
    <t>202</t>
  </si>
  <si>
    <t>203</t>
  </si>
  <si>
    <t>204</t>
  </si>
  <si>
    <t>205</t>
  </si>
  <si>
    <t>高梁子</t>
  </si>
  <si>
    <t>206</t>
  </si>
  <si>
    <t>207</t>
  </si>
  <si>
    <t>208</t>
  </si>
  <si>
    <t>209</t>
  </si>
  <si>
    <t>210</t>
  </si>
  <si>
    <t>大湾</t>
  </si>
  <si>
    <t>211</t>
  </si>
  <si>
    <t>212</t>
  </si>
  <si>
    <t>庙梁子</t>
  </si>
  <si>
    <t>213</t>
  </si>
  <si>
    <t>214</t>
  </si>
  <si>
    <t>215</t>
  </si>
  <si>
    <t>216</t>
  </si>
  <si>
    <t>217</t>
  </si>
  <si>
    <t>218</t>
  </si>
  <si>
    <t>219</t>
  </si>
  <si>
    <t>小梁子</t>
  </si>
  <si>
    <t>220</t>
  </si>
  <si>
    <t>221</t>
  </si>
  <si>
    <t>222</t>
  </si>
  <si>
    <t>223</t>
  </si>
  <si>
    <t>224</t>
  </si>
  <si>
    <t>求雨寨</t>
  </si>
  <si>
    <t>225</t>
  </si>
  <si>
    <t>226</t>
  </si>
  <si>
    <t>227</t>
  </si>
  <si>
    <t>228</t>
  </si>
  <si>
    <t>笔架山</t>
  </si>
  <si>
    <t>229</t>
  </si>
  <si>
    <t>230</t>
  </si>
  <si>
    <t>231</t>
  </si>
  <si>
    <t>232</t>
  </si>
  <si>
    <t>凤型湾</t>
  </si>
  <si>
    <t>233</t>
  </si>
  <si>
    <t>234</t>
  </si>
  <si>
    <t>235</t>
  </si>
  <si>
    <t>236</t>
  </si>
  <si>
    <t>237</t>
  </si>
  <si>
    <t>238</t>
  </si>
  <si>
    <t>239</t>
  </si>
  <si>
    <t>花果山</t>
  </si>
  <si>
    <t>240</t>
  </si>
  <si>
    <t>241</t>
  </si>
  <si>
    <t>242</t>
  </si>
  <si>
    <t>243</t>
  </si>
  <si>
    <t>244</t>
  </si>
  <si>
    <t>245</t>
  </si>
  <si>
    <t>246</t>
  </si>
  <si>
    <t>黄鹤</t>
  </si>
  <si>
    <t>247</t>
  </si>
  <si>
    <t>248</t>
  </si>
  <si>
    <t>249</t>
  </si>
  <si>
    <t>250</t>
  </si>
  <si>
    <t>廖家湾1#</t>
  </si>
  <si>
    <t>251</t>
  </si>
  <si>
    <t>252</t>
  </si>
  <si>
    <t>253</t>
  </si>
  <si>
    <t>廖家湾2#</t>
  </si>
  <si>
    <t>254</t>
  </si>
  <si>
    <t>255</t>
  </si>
  <si>
    <t>256</t>
  </si>
  <si>
    <t>石湾</t>
  </si>
  <si>
    <t>257</t>
  </si>
  <si>
    <t>258</t>
  </si>
  <si>
    <t>259</t>
  </si>
  <si>
    <t>260</t>
  </si>
  <si>
    <t>261</t>
  </si>
  <si>
    <t>蟆怪梁子</t>
  </si>
  <si>
    <t>262</t>
  </si>
  <si>
    <t>263</t>
  </si>
  <si>
    <t>264</t>
  </si>
  <si>
    <t>资水河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</si>
  <si>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</si>
  <si>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</si>
  <si>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</si>
  <si>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</si>
  <si>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</si>
  <si>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</si>
  <si>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</si>
  <si>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</si>
  <si>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</si>
  <si>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</si>
  <si>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</si>
  <si>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</si>
  <si>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</si>
  <si>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</si>
  <si>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</si>
  <si>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</si>
  <si>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</si>
  <si>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</si>
  <si>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</si>
  <si>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</si>
  <si>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金鸡山</t>
  </si>
  <si>
    <t>285</t>
  </si>
  <si>
    <t>286</t>
  </si>
  <si>
    <t>287</t>
  </si>
  <si>
    <t>288</t>
  </si>
  <si>
    <t>289</t>
  </si>
  <si>
    <t>大梁子1#</t>
  </si>
  <si>
    <t>290</t>
  </si>
  <si>
    <t>291</t>
  </si>
  <si>
    <t>292</t>
  </si>
  <si>
    <t>大梁子2#</t>
  </si>
  <si>
    <t>293</t>
  </si>
  <si>
    <t>294</t>
  </si>
  <si>
    <t>295</t>
  </si>
  <si>
    <t>大梁子渡槽进</t>
  </si>
  <si>
    <t>296</t>
  </si>
  <si>
    <t>大梁子渡槽出</t>
  </si>
  <si>
    <t>297</t>
  </si>
  <si>
    <t>298</t>
  </si>
  <si>
    <t>299</t>
  </si>
  <si>
    <t>麻柳湾</t>
  </si>
  <si>
    <t>300</t>
  </si>
  <si>
    <t>301</t>
  </si>
  <si>
    <t>302</t>
  </si>
  <si>
    <t>303</t>
  </si>
  <si>
    <t>304</t>
  </si>
  <si>
    <t>长一沟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</si>
  <si>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</si>
  <si>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</si>
  <si>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</si>
  <si>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</si>
  <si>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</si>
  <si>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</si>
  <si>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</si>
  <si>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</si>
  <si>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</si>
  <si>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</si>
  <si>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</si>
  <si>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</si>
  <si>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中山坡</t>
  </si>
  <si>
    <t>317</t>
  </si>
  <si>
    <t>318</t>
  </si>
  <si>
    <t>319</t>
  </si>
  <si>
    <t>320</t>
  </si>
  <si>
    <t>321</t>
  </si>
  <si>
    <t>322</t>
  </si>
  <si>
    <t>金堂坳</t>
  </si>
  <si>
    <t>323</t>
  </si>
  <si>
    <t>324</t>
  </si>
  <si>
    <t>325</t>
  </si>
  <si>
    <t>326</t>
  </si>
  <si>
    <t>327</t>
  </si>
  <si>
    <t>328</t>
  </si>
  <si>
    <t>堡镇湾</t>
  </si>
  <si>
    <t>329</t>
  </si>
  <si>
    <t>330</t>
  </si>
  <si>
    <t>331</t>
  </si>
  <si>
    <t>332</t>
  </si>
  <si>
    <t>333</t>
  </si>
  <si>
    <t>334</t>
  </si>
  <si>
    <t>335</t>
  </si>
  <si>
    <t>东岳</t>
  </si>
  <si>
    <t>336</t>
  </si>
  <si>
    <t>337</t>
  </si>
  <si>
    <t>338</t>
  </si>
  <si>
    <t>339</t>
  </si>
  <si>
    <t>刘家沟</t>
  </si>
  <si>
    <t>340</t>
  </si>
  <si>
    <t>341</t>
  </si>
  <si>
    <t>342</t>
  </si>
  <si>
    <t>343</t>
  </si>
  <si>
    <t>祠堂湾</t>
  </si>
  <si>
    <t>344</t>
  </si>
  <si>
    <t>345</t>
  </si>
  <si>
    <t>叶家沟</t>
  </si>
  <si>
    <t>346</t>
  </si>
  <si>
    <t>347</t>
  </si>
  <si>
    <t>鞍子湾</t>
  </si>
  <si>
    <t>348</t>
  </si>
  <si>
    <t>349</t>
  </si>
  <si>
    <t>350</t>
  </si>
  <si>
    <t>徐家沟</t>
  </si>
  <si>
    <t>351</t>
  </si>
  <si>
    <t>352</t>
  </si>
  <si>
    <t>大石堡</t>
  </si>
  <si>
    <t>353</t>
  </si>
  <si>
    <t>354</t>
  </si>
  <si>
    <t>355</t>
  </si>
  <si>
    <t>棕房沟</t>
  </si>
  <si>
    <t>356</t>
  </si>
  <si>
    <t>357</t>
  </si>
  <si>
    <t>邓家坡</t>
  </si>
  <si>
    <t>358</t>
  </si>
  <si>
    <t>359</t>
  </si>
  <si>
    <t>韩家沟</t>
  </si>
  <si>
    <t>360</t>
  </si>
  <si>
    <t>361</t>
  </si>
  <si>
    <t>会上坡</t>
  </si>
  <si>
    <t>362</t>
  </si>
  <si>
    <t>363</t>
  </si>
  <si>
    <t>364</t>
  </si>
  <si>
    <t>尖坡长</t>
  </si>
  <si>
    <t>365</t>
  </si>
  <si>
    <t>366</t>
  </si>
  <si>
    <t>367</t>
  </si>
  <si>
    <t>368</t>
  </si>
  <si>
    <t>赵家沟</t>
  </si>
  <si>
    <t>369</t>
  </si>
  <si>
    <t>370</t>
  </si>
  <si>
    <t>大白山</t>
  </si>
  <si>
    <t>371</t>
  </si>
  <si>
    <t>372</t>
  </si>
  <si>
    <t>373</t>
  </si>
  <si>
    <t>火闪庙</t>
  </si>
  <si>
    <t>374</t>
  </si>
  <si>
    <t>375</t>
  </si>
  <si>
    <t>376</t>
  </si>
  <si>
    <t>377</t>
  </si>
  <si>
    <t>378</t>
  </si>
  <si>
    <t>379</t>
  </si>
  <si>
    <t>380</t>
  </si>
  <si>
    <t>381</t>
  </si>
  <si>
    <t>仁和寨</t>
  </si>
  <si>
    <t>382</t>
  </si>
  <si>
    <t>383</t>
  </si>
  <si>
    <t>384</t>
  </si>
  <si>
    <t>385</t>
  </si>
  <si>
    <t>386</t>
  </si>
  <si>
    <t>庙子坡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</si>
  <si>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</si>
  <si>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</si>
  <si>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</si>
  <si>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</si>
  <si>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</si>
  <si>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</si>
  <si>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</si>
  <si>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</si>
  <si>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</si>
  <si>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</si>
  <si>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轿顶坡</t>
  </si>
  <si>
    <t>397</t>
  </si>
  <si>
    <t>398</t>
  </si>
  <si>
    <t>399</t>
  </si>
  <si>
    <t>400</t>
  </si>
  <si>
    <t>老院子</t>
  </si>
  <si>
    <t>401</t>
  </si>
  <si>
    <t>402</t>
  </si>
  <si>
    <t>403</t>
  </si>
  <si>
    <t>404</t>
  </si>
  <si>
    <t>405</t>
  </si>
  <si>
    <t>406</t>
  </si>
  <si>
    <t>倒中庙</t>
  </si>
  <si>
    <t>407</t>
  </si>
  <si>
    <t>408</t>
  </si>
  <si>
    <t>409</t>
  </si>
  <si>
    <t>马家院子</t>
  </si>
  <si>
    <t>410</t>
  </si>
  <si>
    <t>411</t>
  </si>
  <si>
    <t>412</t>
  </si>
  <si>
    <t>黄龙湾</t>
  </si>
  <si>
    <t>413</t>
  </si>
  <si>
    <t>414</t>
  </si>
  <si>
    <t>三元寨</t>
  </si>
  <si>
    <t>415</t>
  </si>
  <si>
    <t>416</t>
  </si>
  <si>
    <t>417</t>
  </si>
  <si>
    <t>宋家沟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</si>
  <si>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</si>
  <si>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</si>
  <si>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</si>
  <si>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</si>
  <si>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</si>
  <si>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</si>
  <si>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</si>
  <si>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</si>
  <si>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</si>
  <si>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</si>
  <si>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</si>
  <si>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</si>
  <si>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</si>
  <si>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</si>
  <si>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</si>
  <si>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</si>
  <si>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</si>
  <si>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</si>
  <si>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石佛湾</t>
  </si>
  <si>
    <t>436</t>
  </si>
  <si>
    <t>437</t>
  </si>
  <si>
    <t>438</t>
  </si>
  <si>
    <t>439</t>
  </si>
  <si>
    <t>440</t>
  </si>
  <si>
    <t>441</t>
  </si>
  <si>
    <t>442</t>
  </si>
  <si>
    <t>全家沟1#</t>
  </si>
  <si>
    <t>443</t>
  </si>
  <si>
    <t>444</t>
  </si>
  <si>
    <t>445</t>
  </si>
  <si>
    <t>446</t>
  </si>
  <si>
    <t>全家沟2#</t>
  </si>
  <si>
    <t>447</t>
  </si>
  <si>
    <t>448</t>
  </si>
  <si>
    <t>449</t>
  </si>
  <si>
    <t>丁家湾</t>
  </si>
  <si>
    <t>450</t>
  </si>
  <si>
    <t>451</t>
  </si>
  <si>
    <t>452</t>
  </si>
  <si>
    <t>453</t>
  </si>
  <si>
    <t>454</t>
  </si>
  <si>
    <t>455</t>
  </si>
  <si>
    <t>456</t>
  </si>
  <si>
    <t>白土地</t>
  </si>
  <si>
    <t>457</t>
  </si>
  <si>
    <t>458</t>
  </si>
  <si>
    <t>459</t>
  </si>
  <si>
    <t>460</t>
  </si>
  <si>
    <t>461</t>
  </si>
  <si>
    <t>462</t>
  </si>
  <si>
    <t>463</t>
  </si>
  <si>
    <t>464</t>
  </si>
  <si>
    <t>465</t>
  </si>
  <si>
    <t>466</t>
  </si>
  <si>
    <t>467</t>
  </si>
  <si>
    <t>凤凰山</t>
  </si>
  <si>
    <t>468</t>
  </si>
  <si>
    <t>469</t>
  </si>
  <si>
    <t>470</t>
  </si>
  <si>
    <t>471</t>
  </si>
  <si>
    <t>472</t>
  </si>
  <si>
    <t>473</t>
  </si>
  <si>
    <t>474</t>
  </si>
  <si>
    <t>大龙沟</t>
  </si>
  <si>
    <t>475</t>
  </si>
  <si>
    <t>书房湾</t>
  </si>
  <si>
    <t>476</t>
  </si>
  <si>
    <t>477</t>
  </si>
  <si>
    <t>478</t>
  </si>
  <si>
    <t>479</t>
  </si>
  <si>
    <t>480</t>
  </si>
  <si>
    <t>481</t>
  </si>
  <si>
    <t>482</t>
  </si>
  <si>
    <t>苏家湾</t>
  </si>
  <si>
    <t>483</t>
  </si>
  <si>
    <t>484</t>
  </si>
  <si>
    <t>485</t>
  </si>
  <si>
    <t>486</t>
  </si>
  <si>
    <t>袁家沟</t>
  </si>
  <si>
    <t>487</t>
  </si>
  <si>
    <t>488</t>
  </si>
  <si>
    <t>坐牛堂</t>
  </si>
  <si>
    <t>489</t>
  </si>
  <si>
    <t>490</t>
  </si>
  <si>
    <t>491</t>
  </si>
  <si>
    <t>492</t>
  </si>
  <si>
    <t>邓家湾</t>
  </si>
  <si>
    <t>493</t>
  </si>
  <si>
    <t>494</t>
  </si>
  <si>
    <t>495</t>
  </si>
  <si>
    <t>496</t>
  </si>
  <si>
    <t>邓家</t>
  </si>
  <si>
    <t>497</t>
  </si>
  <si>
    <t>498</t>
  </si>
  <si>
    <t>姚家大坡</t>
  </si>
  <si>
    <t>499</t>
  </si>
  <si>
    <t>500</t>
  </si>
  <si>
    <t>501</t>
  </si>
  <si>
    <t>502</t>
  </si>
  <si>
    <t>龚家湾</t>
  </si>
  <si>
    <t>503</t>
  </si>
  <si>
    <t>504</t>
  </si>
  <si>
    <t>龚家湾1#</t>
  </si>
  <si>
    <t>505</t>
  </si>
  <si>
    <t>506</t>
  </si>
  <si>
    <t>507</t>
  </si>
  <si>
    <t>508</t>
  </si>
  <si>
    <t>509</t>
  </si>
  <si>
    <t>510</t>
  </si>
  <si>
    <t>511</t>
  </si>
  <si>
    <t>龙家湾</t>
  </si>
  <si>
    <t>512</t>
  </si>
  <si>
    <t>513</t>
  </si>
  <si>
    <t>514</t>
  </si>
  <si>
    <t>515</t>
  </si>
  <si>
    <t>516</t>
  </si>
  <si>
    <t>517</t>
  </si>
  <si>
    <t>518</t>
  </si>
  <si>
    <t>519</t>
  </si>
  <si>
    <t>520</t>
  </si>
  <si>
    <t>521</t>
  </si>
  <si>
    <t>522</t>
  </si>
  <si>
    <t>523</t>
  </si>
  <si>
    <t>524</t>
  </si>
  <si>
    <t>525</t>
  </si>
  <si>
    <t>526</t>
  </si>
  <si>
    <t>天台山</t>
  </si>
  <si>
    <t>527</t>
  </si>
  <si>
    <t>528</t>
  </si>
  <si>
    <t>529</t>
  </si>
  <si>
    <t>530</t>
  </si>
  <si>
    <t>牯牛坡隧进</t>
  </si>
  <si>
    <t>531</t>
  </si>
  <si>
    <t>牯牛坡隧出</t>
  </si>
  <si>
    <t>532</t>
  </si>
  <si>
    <t>李家湾</t>
  </si>
  <si>
    <t>533</t>
  </si>
  <si>
    <t>534</t>
  </si>
  <si>
    <t>535</t>
  </si>
  <si>
    <t>罗家桥</t>
  </si>
  <si>
    <t>536</t>
  </si>
  <si>
    <t>537</t>
  </si>
  <si>
    <t>538</t>
  </si>
  <si>
    <t>539</t>
  </si>
  <si>
    <t>540</t>
  </si>
  <si>
    <t>541</t>
  </si>
  <si>
    <t>渝蓉高速</t>
  </si>
  <si>
    <t>542</t>
  </si>
  <si>
    <t>543</t>
  </si>
  <si>
    <t>544</t>
  </si>
  <si>
    <t>545</t>
  </si>
  <si>
    <t>546</t>
  </si>
  <si>
    <t>547</t>
  </si>
  <si>
    <t>548</t>
  </si>
  <si>
    <t>549</t>
  </si>
  <si>
    <t>550</t>
  </si>
  <si>
    <t>551</t>
  </si>
  <si>
    <t>552</t>
  </si>
  <si>
    <t>553</t>
  </si>
  <si>
    <t>梁家湾</t>
  </si>
  <si>
    <t>554</t>
  </si>
  <si>
    <t>555</t>
  </si>
  <si>
    <t>556</t>
  </si>
  <si>
    <t>557</t>
  </si>
  <si>
    <t>558</t>
  </si>
  <si>
    <t>559</t>
  </si>
  <si>
    <t>560</t>
  </si>
  <si>
    <t>桂林</t>
  </si>
  <si>
    <t>561</t>
  </si>
  <si>
    <t>562</t>
  </si>
  <si>
    <t>谭家沟</t>
  </si>
  <si>
    <t>563</t>
  </si>
  <si>
    <t>564</t>
  </si>
  <si>
    <t>棕树湾</t>
  </si>
  <si>
    <t>565</t>
  </si>
  <si>
    <t>566</t>
  </si>
  <si>
    <t>567</t>
  </si>
  <si>
    <t>568</t>
  </si>
  <si>
    <t>569</t>
  </si>
  <si>
    <t>570</t>
  </si>
  <si>
    <t>芋荷沟</t>
  </si>
  <si>
    <t>571</t>
  </si>
  <si>
    <t>572</t>
  </si>
  <si>
    <t>573</t>
  </si>
  <si>
    <t>574</t>
  </si>
  <si>
    <t>575</t>
  </si>
  <si>
    <t>576</t>
  </si>
  <si>
    <t>577</t>
  </si>
  <si>
    <t>578</t>
  </si>
  <si>
    <t>579</t>
  </si>
  <si>
    <t>龙泉寺</t>
  </si>
  <si>
    <t>580</t>
  </si>
  <si>
    <t>581</t>
  </si>
  <si>
    <t>582</t>
  </si>
  <si>
    <t>583</t>
  </si>
  <si>
    <t>584</t>
  </si>
  <si>
    <t>585</t>
  </si>
  <si>
    <t>586</t>
  </si>
  <si>
    <t>587</t>
  </si>
  <si>
    <t>588</t>
  </si>
  <si>
    <t>陈家湾</t>
  </si>
  <si>
    <t>589</t>
  </si>
  <si>
    <t>590</t>
  </si>
  <si>
    <t>591</t>
  </si>
  <si>
    <t>黄家湾1#</t>
  </si>
  <si>
    <t>592</t>
  </si>
  <si>
    <t>593</t>
  </si>
  <si>
    <t>黄家湾</t>
  </si>
  <si>
    <t>594</t>
  </si>
  <si>
    <t>595</t>
  </si>
  <si>
    <t>596</t>
  </si>
  <si>
    <t>黄家湾2#</t>
  </si>
  <si>
    <t>597</t>
  </si>
  <si>
    <t>598</t>
  </si>
  <si>
    <t>599</t>
  </si>
  <si>
    <t>垭口</t>
  </si>
  <si>
    <t>600</t>
  </si>
  <si>
    <t>601</t>
  </si>
  <si>
    <t>602</t>
  </si>
  <si>
    <t>603</t>
  </si>
  <si>
    <t>龙口村</t>
  </si>
  <si>
    <t>604</t>
  </si>
  <si>
    <t>605</t>
  </si>
  <si>
    <t>606</t>
  </si>
  <si>
    <t>607</t>
  </si>
  <si>
    <t>608</t>
  </si>
  <si>
    <t>609</t>
  </si>
  <si>
    <t>610</t>
  </si>
  <si>
    <t>611</t>
  </si>
  <si>
    <t>612</t>
  </si>
  <si>
    <t>613</t>
  </si>
  <si>
    <t>614</t>
  </si>
  <si>
    <t>王家湾</t>
  </si>
  <si>
    <t>615</t>
  </si>
  <si>
    <t>616</t>
  </si>
  <si>
    <t>617</t>
  </si>
  <si>
    <t>618</t>
  </si>
  <si>
    <t>青山湾</t>
  </si>
  <si>
    <t>619</t>
  </si>
  <si>
    <t>620</t>
  </si>
  <si>
    <t>621</t>
  </si>
  <si>
    <t>四方坡</t>
  </si>
  <si>
    <t>622</t>
  </si>
  <si>
    <t>623</t>
  </si>
  <si>
    <t>624</t>
  </si>
  <si>
    <t>625</t>
  </si>
  <si>
    <t>626</t>
  </si>
  <si>
    <t>627</t>
  </si>
  <si>
    <t>628</t>
  </si>
  <si>
    <t>629</t>
  </si>
  <si>
    <t>630</t>
  </si>
  <si>
    <t>631</t>
  </si>
  <si>
    <t>丹山水库</t>
  </si>
  <si>
    <t>632</t>
  </si>
  <si>
    <t>633</t>
  </si>
  <si>
    <t>634</t>
  </si>
  <si>
    <t>菩萨湾</t>
  </si>
  <si>
    <t>渡槽-U形</t>
  </si>
  <si>
    <t>635</t>
  </si>
  <si>
    <t>636</t>
  </si>
  <si>
    <t>矩形暗涵</t>
  </si>
  <si>
    <t>637</t>
  </si>
  <si>
    <t>638</t>
  </si>
  <si>
    <t>高坡</t>
  </si>
  <si>
    <t>639</t>
  </si>
  <si>
    <t>640</t>
  </si>
  <si>
    <t>641</t>
  </si>
  <si>
    <t>642</t>
  </si>
  <si>
    <t>643</t>
  </si>
  <si>
    <t>644</t>
  </si>
  <si>
    <t>645</t>
  </si>
  <si>
    <t>646</t>
  </si>
  <si>
    <t>谢家坝</t>
  </si>
  <si>
    <t>647</t>
  </si>
  <si>
    <t>648</t>
  </si>
  <si>
    <t>649</t>
  </si>
  <si>
    <t>650</t>
  </si>
  <si>
    <t>罗家沟</t>
  </si>
  <si>
    <t>651</t>
  </si>
  <si>
    <t>652</t>
  </si>
  <si>
    <t>古镜寺</t>
  </si>
  <si>
    <t>653</t>
  </si>
  <si>
    <t>654</t>
  </si>
  <si>
    <t>655</t>
  </si>
  <si>
    <t>朝阳观</t>
  </si>
  <si>
    <t>656</t>
  </si>
  <si>
    <t>657</t>
  </si>
  <si>
    <t>658</t>
  </si>
  <si>
    <t>659</t>
  </si>
  <si>
    <t>660</t>
  </si>
  <si>
    <t>661</t>
  </si>
  <si>
    <t>炭窑沟1#</t>
  </si>
  <si>
    <t>662</t>
  </si>
  <si>
    <t>663</t>
  </si>
  <si>
    <t>664</t>
  </si>
  <si>
    <t>665</t>
  </si>
  <si>
    <t>666</t>
  </si>
  <si>
    <t>炭窑沟2#</t>
  </si>
  <si>
    <t>667</t>
  </si>
  <si>
    <t>668</t>
  </si>
  <si>
    <t>吴家院子</t>
  </si>
  <si>
    <t>669</t>
  </si>
  <si>
    <t>670</t>
  </si>
  <si>
    <t>石湍</t>
  </si>
  <si>
    <t>671</t>
  </si>
  <si>
    <t>牛草堰</t>
  </si>
  <si>
    <t>672</t>
  </si>
  <si>
    <t>673</t>
  </si>
  <si>
    <t>674</t>
  </si>
  <si>
    <t>675</t>
  </si>
  <si>
    <t>676</t>
  </si>
  <si>
    <t>花生基</t>
  </si>
  <si>
    <t>677</t>
  </si>
  <si>
    <t>678</t>
  </si>
  <si>
    <t>679</t>
  </si>
  <si>
    <t>680</t>
  </si>
  <si>
    <t>681</t>
  </si>
  <si>
    <t>吴家大院子</t>
  </si>
  <si>
    <t>682</t>
  </si>
  <si>
    <t>683</t>
  </si>
  <si>
    <t>684</t>
  </si>
  <si>
    <t>685</t>
  </si>
  <si>
    <t>686</t>
  </si>
  <si>
    <t>687</t>
  </si>
  <si>
    <t>688</t>
  </si>
  <si>
    <t>689</t>
  </si>
  <si>
    <t>690</t>
  </si>
  <si>
    <t>691</t>
  </si>
  <si>
    <t>692</t>
  </si>
  <si>
    <t>693</t>
  </si>
  <si>
    <t>桂花厅</t>
  </si>
  <si>
    <t>694</t>
  </si>
  <si>
    <t>695</t>
  </si>
  <si>
    <t>696</t>
  </si>
  <si>
    <t>697</t>
  </si>
  <si>
    <t>仁义坝</t>
  </si>
  <si>
    <t>698</t>
  </si>
  <si>
    <t>699</t>
  </si>
  <si>
    <t>700</t>
  </si>
  <si>
    <t>701</t>
  </si>
  <si>
    <t>702</t>
  </si>
  <si>
    <t>长坡</t>
  </si>
  <si>
    <t>703</t>
  </si>
  <si>
    <t>704</t>
  </si>
  <si>
    <t>705</t>
  </si>
  <si>
    <t>706</t>
  </si>
  <si>
    <t>707</t>
  </si>
  <si>
    <t>秦家湾</t>
  </si>
  <si>
    <t>708</t>
  </si>
  <si>
    <t>709</t>
  </si>
  <si>
    <t>710</t>
  </si>
  <si>
    <t>711</t>
  </si>
  <si>
    <t>小沟湾</t>
  </si>
  <si>
    <t>712</t>
  </si>
  <si>
    <t>713</t>
  </si>
  <si>
    <t>714</t>
  </si>
  <si>
    <t>715</t>
  </si>
  <si>
    <t>716</t>
  </si>
  <si>
    <t>宝堂寺</t>
  </si>
  <si>
    <t>717</t>
  </si>
  <si>
    <t>718</t>
  </si>
  <si>
    <t>719</t>
  </si>
  <si>
    <t>720</t>
  </si>
  <si>
    <t>721</t>
  </si>
  <si>
    <t>窑厂湾</t>
  </si>
  <si>
    <t>722</t>
  </si>
  <si>
    <t>723</t>
  </si>
  <si>
    <t>724</t>
  </si>
  <si>
    <t>725</t>
  </si>
  <si>
    <t>726</t>
  </si>
  <si>
    <t>727</t>
  </si>
  <si>
    <t>小袁家沟</t>
  </si>
  <si>
    <t>728</t>
  </si>
  <si>
    <t>729</t>
  </si>
  <si>
    <t>730</t>
  </si>
  <si>
    <t>731</t>
  </si>
  <si>
    <t>732</t>
  </si>
  <si>
    <t>733</t>
  </si>
  <si>
    <t>734</t>
  </si>
  <si>
    <t>七星桥</t>
  </si>
  <si>
    <t>735</t>
  </si>
  <si>
    <t>736</t>
  </si>
  <si>
    <t>737</t>
  </si>
  <si>
    <t>738</t>
  </si>
  <si>
    <t>739</t>
  </si>
  <si>
    <t>740</t>
  </si>
  <si>
    <t>店子沟</t>
  </si>
  <si>
    <t>741</t>
  </si>
  <si>
    <t>742</t>
  </si>
  <si>
    <t>743</t>
  </si>
  <si>
    <t>瓦厂湾</t>
  </si>
  <si>
    <t>744</t>
  </si>
  <si>
    <t>745</t>
  </si>
  <si>
    <t>746</t>
  </si>
  <si>
    <t>桐油湾</t>
  </si>
  <si>
    <t>747</t>
  </si>
  <si>
    <t>748</t>
  </si>
  <si>
    <t>灵泉洞</t>
  </si>
  <si>
    <t>749</t>
  </si>
  <si>
    <t>750</t>
  </si>
  <si>
    <t>751</t>
  </si>
  <si>
    <t>752</t>
  </si>
  <si>
    <t>753</t>
  </si>
  <si>
    <t>古柏树</t>
  </si>
  <si>
    <t>754</t>
  </si>
  <si>
    <t>755</t>
  </si>
  <si>
    <t>756</t>
  </si>
  <si>
    <t>复兴沟</t>
  </si>
  <si>
    <t>757</t>
  </si>
  <si>
    <t>758</t>
  </si>
  <si>
    <t>759</t>
  </si>
  <si>
    <t>林家沟</t>
  </si>
  <si>
    <t>760</t>
  </si>
  <si>
    <t>761</t>
  </si>
  <si>
    <t>762</t>
  </si>
  <si>
    <t>复兴寺</t>
  </si>
  <si>
    <t>763</t>
  </si>
  <si>
    <t>764</t>
  </si>
  <si>
    <t>双碑沟</t>
  </si>
  <si>
    <t>765</t>
  </si>
  <si>
    <t>766</t>
  </si>
  <si>
    <t>何家大院</t>
  </si>
  <si>
    <t>767</t>
  </si>
  <si>
    <t>768</t>
  </si>
  <si>
    <t>769</t>
  </si>
  <si>
    <t>吕家沟</t>
  </si>
  <si>
    <t>770</t>
  </si>
  <si>
    <t>771</t>
  </si>
  <si>
    <t>772</t>
  </si>
  <si>
    <t>773</t>
  </si>
  <si>
    <t>774</t>
  </si>
  <si>
    <t>杉木湾1#</t>
  </si>
  <si>
    <t>775</t>
  </si>
  <si>
    <t>776</t>
  </si>
  <si>
    <t>777</t>
  </si>
  <si>
    <t>杉木湾2#隧进</t>
  </si>
  <si>
    <t>778</t>
  </si>
  <si>
    <t>杉木湾2#隧出</t>
  </si>
  <si>
    <t>779</t>
  </si>
  <si>
    <t>780</t>
  </si>
  <si>
    <t>781</t>
  </si>
  <si>
    <t>吴家坝</t>
  </si>
  <si>
    <t>782</t>
  </si>
  <si>
    <t>783</t>
  </si>
  <si>
    <t>784</t>
  </si>
  <si>
    <t>785</t>
  </si>
  <si>
    <t>786</t>
  </si>
  <si>
    <t>787</t>
  </si>
  <si>
    <t>788</t>
  </si>
  <si>
    <t>789</t>
  </si>
  <si>
    <t>乌木厅1#</t>
  </si>
  <si>
    <t>790</t>
  </si>
  <si>
    <t>791</t>
  </si>
  <si>
    <t>792</t>
  </si>
  <si>
    <t>乌木厅2#</t>
  </si>
  <si>
    <t>793</t>
  </si>
  <si>
    <t>794</t>
  </si>
  <si>
    <t>795</t>
  </si>
  <si>
    <t>796</t>
  </si>
  <si>
    <t>797</t>
  </si>
  <si>
    <t>798</t>
  </si>
  <si>
    <t>799</t>
  </si>
  <si>
    <t>800</t>
  </si>
  <si>
    <t>马尾坡渡槽进</t>
  </si>
  <si>
    <t>801</t>
  </si>
  <si>
    <t>马尾坡渡槽出</t>
  </si>
  <si>
    <t>802</t>
  </si>
  <si>
    <t>蒋家湾</t>
  </si>
  <si>
    <t>803</t>
  </si>
  <si>
    <t>804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</si>
</sst>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5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\+000.000"/>
  </numFmts>
  <fonts count="24">
    <font>
      <sz val="11"/>
      <color theme="1"/>
      <name val="宋体"/>
      <charset val="134"/>
      <scheme val="minor"/>
    </font>
    <font>
      <b/>
      <sz val="11"/>
      <name val="宋体"/>
      <charset val="134"/>
      <scheme val="minor"/>
    </font>
    <font>
      <sz val="11"/>
      <name val="宋体"/>
      <charset val="134"/>
      <scheme val="minor"/>
    </font>
    <font>
      <b/>
      <sz val="10"/>
      <color rgb="FFFFFFFF"/>
      <name val="宋体"/>
      <charset val="134"/>
      <scheme val="minor"/>
    </font>
    <font>
      <sz val="10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8"/>
        <bgColor indexed="64"/>
      </patternFill>
    </fill>
    <fill>
      <patternFill patternType="solid">
        <fgColor rgb="FFD9E1F2"/>
        <bgColor rgb="FFD9E1F2"/>
      </patternFill>
    </fill>
    <fill>
      <patternFill patternType="solid">
        <fgColor rgb="FF4472C4"/>
        <bgColor rgb="FF4472C4"/>
      </patternFill>
    </fill>
    <fill>
      <patternFill patternType="solid">
        <fgColor rgb="FFF2F7FB"/>
        <bgColor rgb="FFF2F7FB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0" fillId="7" borderId="2" applyNumberFormat="0" applyFont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3" applyNumberFormat="0" applyFill="0" applyAlignment="0" applyProtection="0">
      <alignment vertical="center"/>
    </xf>
    <xf numFmtId="0" fontId="11" fillId="0" borderId="3" applyNumberFormat="0" applyFill="0" applyAlignment="0" applyProtection="0">
      <alignment vertical="center"/>
    </xf>
    <xf numFmtId="0" fontId="12" fillId="0" borderId="4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8" borderId="5" applyNumberFormat="0" applyAlignment="0" applyProtection="0">
      <alignment vertical="center"/>
    </xf>
    <xf numFmtId="0" fontId="14" fillId="9" borderId="6" applyNumberFormat="0" applyAlignment="0" applyProtection="0">
      <alignment vertical="center"/>
    </xf>
    <xf numFmtId="0" fontId="15" fillId="9" borderId="5" applyNumberFormat="0" applyAlignment="0" applyProtection="0">
      <alignment vertical="center"/>
    </xf>
    <xf numFmtId="0" fontId="16" fillId="10" borderId="7" applyNumberFormat="0" applyAlignment="0" applyProtection="0">
      <alignment vertical="center"/>
    </xf>
    <xf numFmtId="0" fontId="17" fillId="0" borderId="8" applyNumberFormat="0" applyFill="0" applyAlignment="0" applyProtection="0">
      <alignment vertical="center"/>
    </xf>
    <xf numFmtId="0" fontId="18" fillId="0" borderId="9" applyNumberFormat="0" applyFill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22" fillId="14" borderId="0" applyNumberFormat="0" applyBorder="0" applyAlignment="0" applyProtection="0">
      <alignment vertical="center"/>
    </xf>
    <xf numFmtId="0" fontId="23" fillId="15" borderId="0" applyNumberFormat="0" applyBorder="0" applyAlignment="0" applyProtection="0">
      <alignment vertical="center"/>
    </xf>
    <xf numFmtId="0" fontId="23" fillId="16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22" fillId="18" borderId="0" applyNumberFormat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23" fillId="20" borderId="0" applyNumberFormat="0" applyBorder="0" applyAlignment="0" applyProtection="0">
      <alignment vertical="center"/>
    </xf>
    <xf numFmtId="0" fontId="22" fillId="21" borderId="0" applyNumberFormat="0" applyBorder="0" applyAlignment="0" applyProtection="0">
      <alignment vertical="center"/>
    </xf>
    <xf numFmtId="0" fontId="22" fillId="22" borderId="0" applyNumberFormat="0" applyBorder="0" applyAlignment="0" applyProtection="0">
      <alignment vertical="center"/>
    </xf>
    <xf numFmtId="0" fontId="23" fillId="23" borderId="0" applyNumberFormat="0" applyBorder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22" fillId="25" borderId="0" applyNumberFormat="0" applyBorder="0" applyAlignment="0" applyProtection="0">
      <alignment vertical="center"/>
    </xf>
    <xf numFmtId="0" fontId="22" fillId="26" borderId="0" applyNumberFormat="0" applyBorder="0" applyAlignment="0" applyProtection="0">
      <alignment vertical="center"/>
    </xf>
    <xf numFmtId="0" fontId="23" fillId="27" borderId="0" applyNumberFormat="0" applyBorder="0" applyAlignment="0" applyProtection="0">
      <alignment vertical="center"/>
    </xf>
    <xf numFmtId="0" fontId="23" fillId="28" borderId="0" applyNumberFormat="0" applyBorder="0" applyAlignment="0" applyProtection="0">
      <alignment vertical="center"/>
    </xf>
    <xf numFmtId="0" fontId="22" fillId="29" borderId="0" applyNumberFormat="0" applyBorder="0" applyAlignment="0" applyProtection="0">
      <alignment vertical="center"/>
    </xf>
    <xf numFmtId="0" fontId="22" fillId="30" borderId="0" applyNumberFormat="0" applyBorder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23" fillId="32" borderId="0" applyNumberFormat="0" applyBorder="0" applyAlignment="0" applyProtection="0">
      <alignment vertical="center"/>
    </xf>
    <xf numFmtId="0" fontId="22" fillId="33" borderId="0" applyNumberFormat="0" applyBorder="0" applyAlignment="0" applyProtection="0">
      <alignment vertical="center"/>
    </xf>
    <xf numFmtId="0" fontId="22" fillId="34" borderId="0" applyNumberFormat="0" applyBorder="0" applyAlignment="0" applyProtection="0">
      <alignment vertical="center"/>
    </xf>
    <xf numFmtId="0" fontId="23" fillId="35" borderId="0" applyNumberFormat="0" applyBorder="0" applyAlignment="0" applyProtection="0">
      <alignment vertical="center"/>
    </xf>
    <xf numFmtId="0" fontId="23" fillId="36" borderId="0" applyNumberFormat="0" applyBorder="0" applyAlignment="0" applyProtection="0">
      <alignment vertical="center"/>
    </xf>
    <xf numFmtId="0" fontId="22" fillId="37" borderId="0" applyNumberFormat="0" applyBorder="0" applyAlignment="0" applyProtection="0">
      <alignment vertical="center"/>
    </xf>
  </cellStyleXfs>
  <cellXfs count="22">
    <xf numFmtId="0" fontId="0" fillId="0" borderId="0" xfId="0">
      <alignment vertical="center"/>
    </xf>
    <xf numFmtId="0" fontId="0" fillId="2" borderId="0" xfId="0" applyFill="1" applyAlignment="1"/>
    <xf numFmtId="0" fontId="0" fillId="0" borderId="0" xfId="0" applyFill="1" applyAlignment="1"/>
    <xf numFmtId="0" fontId="0" fillId="3" borderId="0" xfId="0" applyFill="1" applyAlignment="1"/>
    <xf numFmtId="0" fontId="0" fillId="0" borderId="0" xfId="0" applyFill="1" applyAlignment="1">
      <alignment horizontal="left"/>
    </xf>
    <xf numFmtId="0" fontId="1" fillId="4" borderId="0" xfId="0" applyFont="1" applyFill="1" applyAlignment="1"/>
    <xf numFmtId="0" fontId="2" fillId="0" borderId="0" xfId="0" applyFont="1" applyFill="1" applyAlignment="1"/>
    <xf numFmtId="0" fontId="1" fillId="4" borderId="0" xfId="0" applyFont="1" applyFill="1" applyAlignment="1">
      <alignment horizontal="left"/>
    </xf>
    <xf numFmtId="0" fontId="2" fillId="0" borderId="0" xfId="0" applyFont="1" applyFill="1" applyAlignment="1">
      <alignment horizontal="left"/>
    </xf>
    <xf numFmtId="176" fontId="2" fillId="0" borderId="0" xfId="0" applyNumberFormat="1" applyFont="1" applyFill="1" applyAlignment="1"/>
    <xf numFmtId="0" fontId="3" fillId="5" borderId="1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left" vertical="center" wrapText="1"/>
    </xf>
    <xf numFmtId="0" fontId="4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left" vertical="center"/>
    </xf>
    <xf numFmtId="0" fontId="4" fillId="0" borderId="1" xfId="0" applyFont="1" applyFill="1" applyBorder="1" applyAlignment="1">
      <alignment horizontal="left" vertical="center" wrapText="1"/>
    </xf>
    <xf numFmtId="0" fontId="4" fillId="6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left"/>
    </xf>
    <xf numFmtId="0" fontId="4" fillId="2" borderId="1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0" fillId="3" borderId="0" xfId="0" applyFill="1" applyAlignment="1">
      <alignment horizontal="left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7"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  <tableStyle name="PivotStylePreset2_Accent1" table="0" count="10" xr9:uid="{267968C8-6FFD-4C36-ACC1-9EA1FD1885CA}">
      <tableStyleElement type="headerRow" dxfId="16"/>
      <tableStyleElement type="totalRow" dxfId="15"/>
      <tableStyleElement type="firstRowStripe" dxfId="14"/>
      <tableStyleElement type="firstColumnStripe" dxfId="13"/>
      <tableStyleElement type="firstSubtotalRow" dxfId="12"/>
      <tableStyleElement type="secondSubtotalRow" dxfId="11"/>
      <tableStyleElement type="firstRowSubheading" dxfId="10"/>
      <tableStyleElement type="secondRowSubheading" dxfId="9"/>
      <tableStyleElement type="pageFieldLabels" dxfId="8"/>
      <tableStyleElement type="pageFieldValues" dxfId="7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tyles" Target="styles.xml"/><Relationship Id="rId5" Type="http://schemas.microsoft.com/office/2006/relationships/vbaProject" Target="vbaProject.bin"/><Relationship Id="rId4" Type="http://schemas.openxmlformats.org/officeDocument/2006/relationships/sheetMetadata" Target="metadata.xml"/><Relationship Id="rId3" Type="http://schemas.openxmlformats.org/officeDocument/2006/relationships/sharedStrings" Target="sharedString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T806"/>
  <sheetViews>
    <sheetView tabSelected="1" workbookViewId="0">
      <pane xSplit="4" ySplit="2" topLeftCell="E513" activePane="bottomRight" state="frozen"/>
      <selection/>
      <selection pane="topRight"/>
      <selection pane="bottomLeft"/>
      <selection pane="bottomRight" activeCell="S553" sqref="S553"/>
    </sheetView>
  </sheetViews>
  <sheetFormatPr defaultColWidth="9" defaultRowHeight="14.4"/>
  <cols>
    <col min="1" max="1" width="9.37962962962963" style="2" customWidth="1"/>
    <col min="2" max="2" width="7.66666666666667" style="2" customWidth="1"/>
    <col min="3" max="3" width="20.8888888888889" style="2" customWidth="1"/>
    <col min="4" max="4" width="16.6666666666667" style="2" customWidth="1"/>
    <col min="5" max="5" width="23.4444444444444" style="4" customWidth="1"/>
    <col min="6" max="6" width="16.4444444444444" style="4" customWidth="1"/>
    <col min="7" max="7" width="10.1111111111111" style="2" customWidth="1"/>
    <col min="8" max="8" width="10.7777777777778" style="2" customWidth="1"/>
    <col min="9" max="9" width="5.66666666666667" style="2" customWidth="1"/>
    <col min="10" max="10" width="6.77777777777778" style="2" customWidth="1"/>
    <col min="11" max="11" width="5.22222222222222" style="2" customWidth="1"/>
    <col min="12" max="12" width="8.77777777777778" style="2" customWidth="1"/>
    <col min="13" max="14" width="5.22222222222222" style="2" customWidth="1"/>
    <col min="15" max="15" width="12.7777777777778" style="2" customWidth="1"/>
    <col min="16" max="17" width="8.77777777777778" style="2" customWidth="1"/>
    <col min="18" max="20" width="6.77777777777778" style="2" customWidth="1"/>
    <col min="21" max="16384" width="9" style="2"/>
  </cols>
  <sheetData>
    <row r="1" ht="22" customHeight="1" spans="1:20">
      <c r="A1" s="5" t="s">
        <v>0</v>
      </c>
      <c r="B1" s="6" t="s">
        <v>1</v>
      </c>
      <c r="C1" s="5" t="s">
        <v>2</v>
      </c>
      <c r="D1" s="6" t="s">
        <v>3</v>
      </c>
      <c r="E1" s="7" t="s">
        <v>4</v>
      </c>
      <c r="F1" s="8">
        <v>477.69</v>
      </c>
      <c r="G1" s="5" t="s">
        <v>5</v>
      </c>
      <c r="H1" s="9">
        <v>0</v>
      </c>
    </row>
    <row r="2" ht="30" customHeight="1" spans="1:20">
      <c r="A2" s="10" t="s">
        <v>6</v>
      </c>
      <c r="B2" s="10" t="s">
        <v>7</v>
      </c>
      <c r="C2" s="10" t="s">
        <v>8</v>
      </c>
      <c r="D2" s="10" t="s">
        <v>9</v>
      </c>
      <c r="E2" s="11" t="s">
        <v>10</v>
      </c>
      <c r="F2" s="11" t="s">
        <v>11</v>
      </c>
      <c r="G2" s="10" t="s">
        <v>12</v>
      </c>
      <c r="H2" s="10" t="s">
        <v>13</v>
      </c>
      <c r="I2" s="10" t="s">
        <v>14</v>
      </c>
      <c r="J2" s="10" t="s">
        <v>15</v>
      </c>
      <c r="K2" s="10" t="s">
        <v>16</v>
      </c>
      <c r="L2" s="10" t="s">
        <v>17</v>
      </c>
      <c r="M2" s="10" t="s">
        <v>18</v>
      </c>
      <c r="N2" s="10" t="s">
        <v>19</v>
      </c>
      <c r="O2" s="10" t="s">
        <v>20</v>
      </c>
      <c r="P2" s="10" t="s">
        <v>21</v>
      </c>
      <c r="Q2" s="10" t="s">
        <v>22</v>
      </c>
      <c r="R2" s="10" t="s">
        <v>23</v>
      </c>
      <c r="S2" s="10" t="s">
        <v>24</v>
      </c>
      <c r="T2" s="10" t="s">
        <v>25</v>
      </c>
    </row>
    <row r="3" spans="1:20">
      <c r="A3" s="12" t="s">
        <v>26</v>
      </c>
      <c r="B3" s="12" t="s">
        <v>26</v>
      </c>
      <c r="C3" s="13" t="s">
        <v>27</v>
      </c>
      <c r="D3" s="13" t="s">
        <v>28</v>
      </c>
      <c r="E3" s="13">
        <v>437990.2047</v>
      </c>
      <c r="F3" s="13">
        <v>3399778.1403</v>
      </c>
      <c r="G3" s="13">
        <v>38</v>
      </c>
      <c r="H3" s="13" t="s">
        <v>29</v>
      </c>
      <c r="I3" s="13" cm="1">
        <f t="array" ref="I3">各流量段建筑物坡比(B3,D3)</f>
        <v>6000</v>
      </c>
      <c r="J3" s="14">
        <f>IF(C3="-",IF(ISNUMBER(SEARCH("矩形",D3)),0,IF(ISNUMBER(SEARCH("梯形",D3)),1.5,"")),"")</f>
        <v>0</v>
      </c>
      <c r="K3" s="13">
        <v>6.9</v>
      </c>
      <c r="L3" s="13" t="s">
        <v>30</v>
      </c>
      <c r="M3" s="13" t="s">
        <v>30</v>
      </c>
      <c r="N3" s="13" t="s">
        <v>30</v>
      </c>
      <c r="O3" s="13" t="s">
        <v>30</v>
      </c>
      <c r="P3" s="13" t="s">
        <v>30</v>
      </c>
      <c r="Q3" s="13" t="s">
        <v>30</v>
      </c>
      <c r="R3" s="13" t="s">
        <v>30</v>
      </c>
      <c r="S3" s="13" t="s">
        <v>31</v>
      </c>
      <c r="T3" s="13" t="s">
        <v>32</v>
      </c>
    </row>
    <row r="4" spans="1:20">
      <c r="A4" s="15" t="s">
        <v>33</v>
      </c>
      <c r="B4" s="15" t="s">
        <v>26</v>
      </c>
      <c r="C4" s="16" t="s">
        <v>34</v>
      </c>
      <c r="D4" s="13" t="s">
        <v>35</v>
      </c>
      <c r="E4" s="16">
        <v>438004.2888</v>
      </c>
      <c r="F4" s="16">
        <v>3399744.8331</v>
      </c>
      <c r="G4" s="13">
        <v>38</v>
      </c>
      <c r="H4" s="16" t="s">
        <v>29</v>
      </c>
      <c r="I4" s="13" cm="1">
        <f t="array" ref="I4">各流量段建筑物坡比(B4,D4)</f>
        <v>2500</v>
      </c>
      <c r="J4" s="14" t="str">
        <f t="shared" ref="J4:J67" si="0">IF(C4="-",IF(ISNUMBER(SEARCH("矩形",D4)),0,IF(ISNUMBER(SEARCH("梯形",D4)),1.5,"")),"")</f>
        <v/>
      </c>
      <c r="K4" s="16">
        <v>5.2</v>
      </c>
      <c r="L4" s="16" t="s">
        <v>30</v>
      </c>
      <c r="M4" s="16" t="s">
        <v>30</v>
      </c>
      <c r="N4" s="16" t="s">
        <v>30</v>
      </c>
      <c r="O4" s="16" t="s">
        <v>30</v>
      </c>
      <c r="P4" s="16" t="s">
        <v>30</v>
      </c>
      <c r="Q4" s="16" t="s">
        <v>30</v>
      </c>
      <c r="R4" s="16">
        <v>180</v>
      </c>
      <c r="S4" s="16" t="s">
        <v>31</v>
      </c>
      <c r="T4" s="16" t="s">
        <v>32</v>
      </c>
    </row>
    <row r="5" spans="1:20">
      <c r="A5" s="12" t="s">
        <v>36</v>
      </c>
      <c r="B5" s="12" t="s">
        <v>26</v>
      </c>
      <c r="C5" s="16" t="s">
        <v>34</v>
      </c>
      <c r="D5" s="13" t="s">
        <v>35</v>
      </c>
      <c r="E5" s="13">
        <v>438016.9796</v>
      </c>
      <c r="F5" s="13">
        <v>3399714.8206</v>
      </c>
      <c r="G5" s="13">
        <v>38</v>
      </c>
      <c r="H5" s="13" t="s">
        <v>29</v>
      </c>
      <c r="I5" s="13" cm="1">
        <f t="array" ref="I5">各流量段建筑物坡比(B5,D5)</f>
        <v>2500</v>
      </c>
      <c r="J5" s="14" t="str">
        <f t="shared" si="0"/>
        <v/>
      </c>
      <c r="K5" s="16">
        <v>5.2</v>
      </c>
      <c r="L5" s="16" t="s">
        <v>30</v>
      </c>
      <c r="M5" s="16" t="s">
        <v>30</v>
      </c>
      <c r="N5" s="16" t="s">
        <v>30</v>
      </c>
      <c r="O5" s="16" t="s">
        <v>30</v>
      </c>
      <c r="P5" s="16" t="s">
        <v>30</v>
      </c>
      <c r="Q5" s="16" t="s">
        <v>30</v>
      </c>
      <c r="R5" s="16">
        <v>180</v>
      </c>
      <c r="S5" s="13" t="s">
        <v>31</v>
      </c>
      <c r="T5" s="13" t="s">
        <v>32</v>
      </c>
    </row>
    <row r="6" spans="1:20">
      <c r="A6" s="15" t="s">
        <v>37</v>
      </c>
      <c r="B6" s="15" t="s">
        <v>26</v>
      </c>
      <c r="C6" s="16" t="s">
        <v>34</v>
      </c>
      <c r="D6" s="13" t="s">
        <v>35</v>
      </c>
      <c r="E6" s="16">
        <v>438870.4108</v>
      </c>
      <c r="F6" s="16">
        <v>3399511.727</v>
      </c>
      <c r="G6" s="13">
        <v>38</v>
      </c>
      <c r="H6" s="16" t="s">
        <v>29</v>
      </c>
      <c r="I6" s="13" cm="1">
        <f t="array" ref="I6">各流量段建筑物坡比(B6,D6)</f>
        <v>2500</v>
      </c>
      <c r="J6" s="14" t="str">
        <f t="shared" si="0"/>
        <v/>
      </c>
      <c r="K6" s="16">
        <v>5.2</v>
      </c>
      <c r="L6" s="16" t="s">
        <v>30</v>
      </c>
      <c r="M6" s="16" t="s">
        <v>30</v>
      </c>
      <c r="N6" s="16" t="s">
        <v>30</v>
      </c>
      <c r="O6" s="16" t="s">
        <v>30</v>
      </c>
      <c r="P6" s="16" t="s">
        <v>30</v>
      </c>
      <c r="Q6" s="16" t="s">
        <v>30</v>
      </c>
      <c r="R6" s="16">
        <v>180</v>
      </c>
      <c r="S6" s="16" t="s">
        <v>31</v>
      </c>
      <c r="T6" s="16" t="s">
        <v>32</v>
      </c>
    </row>
    <row r="7" spans="1:20">
      <c r="A7" s="12" t="s">
        <v>38</v>
      </c>
      <c r="B7" s="12" t="s">
        <v>26</v>
      </c>
      <c r="C7" s="16" t="s">
        <v>34</v>
      </c>
      <c r="D7" s="13" t="s">
        <v>35</v>
      </c>
      <c r="E7" s="13">
        <v>439771.8093</v>
      </c>
      <c r="F7" s="13">
        <v>3399241.8116</v>
      </c>
      <c r="G7" s="13">
        <v>38</v>
      </c>
      <c r="H7" s="13" t="s">
        <v>29</v>
      </c>
      <c r="I7" s="13" cm="1">
        <f t="array" ref="I7">各流量段建筑物坡比(B7,D7)</f>
        <v>2500</v>
      </c>
      <c r="J7" s="14" t="str">
        <f t="shared" si="0"/>
        <v/>
      </c>
      <c r="K7" s="16">
        <v>5.2</v>
      </c>
      <c r="L7" s="16" t="s">
        <v>30</v>
      </c>
      <c r="M7" s="16" t="s">
        <v>30</v>
      </c>
      <c r="N7" s="16" t="s">
        <v>30</v>
      </c>
      <c r="O7" s="16" t="s">
        <v>30</v>
      </c>
      <c r="P7" s="16" t="s">
        <v>30</v>
      </c>
      <c r="Q7" s="16" t="s">
        <v>30</v>
      </c>
      <c r="R7" s="16">
        <v>180</v>
      </c>
      <c r="S7" s="13" t="s">
        <v>31</v>
      </c>
      <c r="T7" s="13" t="s">
        <v>32</v>
      </c>
    </row>
    <row r="8" spans="1:20">
      <c r="A8" s="15" t="s">
        <v>39</v>
      </c>
      <c r="B8" s="15" t="s">
        <v>26</v>
      </c>
      <c r="C8" s="16" t="s">
        <v>34</v>
      </c>
      <c r="D8" s="13" t="s">
        <v>35</v>
      </c>
      <c r="E8" s="16">
        <v>446605.0642</v>
      </c>
      <c r="F8" s="16">
        <v>3398474.8603</v>
      </c>
      <c r="G8" s="13">
        <v>38</v>
      </c>
      <c r="H8" s="16" t="s">
        <v>29</v>
      </c>
      <c r="I8" s="13" cm="1">
        <f t="array" ref="I8">各流量段建筑物坡比(B8,D8)</f>
        <v>2500</v>
      </c>
      <c r="J8" s="14" t="str">
        <f t="shared" si="0"/>
        <v/>
      </c>
      <c r="K8" s="16">
        <v>5.2</v>
      </c>
      <c r="L8" s="16" t="s">
        <v>30</v>
      </c>
      <c r="M8" s="16" t="s">
        <v>30</v>
      </c>
      <c r="N8" s="16" t="s">
        <v>30</v>
      </c>
      <c r="O8" s="16" t="s">
        <v>30</v>
      </c>
      <c r="P8" s="16" t="s">
        <v>30</v>
      </c>
      <c r="Q8" s="16" t="s">
        <v>30</v>
      </c>
      <c r="R8" s="16">
        <v>180</v>
      </c>
      <c r="S8" s="16" t="s">
        <v>31</v>
      </c>
      <c r="T8" s="16" t="s">
        <v>32</v>
      </c>
    </row>
    <row r="9" spans="1:20">
      <c r="A9" s="12" t="s">
        <v>40</v>
      </c>
      <c r="B9" s="12" t="s">
        <v>26</v>
      </c>
      <c r="C9" s="16" t="s">
        <v>34</v>
      </c>
      <c r="D9" s="13" t="s">
        <v>35</v>
      </c>
      <c r="E9" s="13">
        <v>448883.2453</v>
      </c>
      <c r="F9" s="13">
        <v>3397089.3703</v>
      </c>
      <c r="G9" s="13">
        <v>38</v>
      </c>
      <c r="H9" s="13" t="s">
        <v>29</v>
      </c>
      <c r="I9" s="13" cm="1">
        <f t="array" ref="I9">各流量段建筑物坡比(B9,D9)</f>
        <v>2500</v>
      </c>
      <c r="J9" s="14" t="str">
        <f t="shared" si="0"/>
        <v/>
      </c>
      <c r="K9" s="16">
        <v>5.2</v>
      </c>
      <c r="L9" s="16" t="s">
        <v>30</v>
      </c>
      <c r="M9" s="16" t="s">
        <v>30</v>
      </c>
      <c r="N9" s="16" t="s">
        <v>30</v>
      </c>
      <c r="O9" s="16" t="s">
        <v>30</v>
      </c>
      <c r="P9" s="16" t="s">
        <v>30</v>
      </c>
      <c r="Q9" s="16" t="s">
        <v>30</v>
      </c>
      <c r="R9" s="16">
        <v>180</v>
      </c>
      <c r="S9" s="13" t="s">
        <v>31</v>
      </c>
      <c r="T9" s="13" t="s">
        <v>32</v>
      </c>
    </row>
    <row r="10" spans="1:20">
      <c r="A10" s="15" t="s">
        <v>41</v>
      </c>
      <c r="B10" s="15" t="s">
        <v>26</v>
      </c>
      <c r="C10" s="16" t="s">
        <v>34</v>
      </c>
      <c r="D10" s="13" t="s">
        <v>35</v>
      </c>
      <c r="E10" s="16">
        <v>448941.969</v>
      </c>
      <c r="F10" s="16">
        <v>3396964.6625</v>
      </c>
      <c r="G10" s="13">
        <v>38</v>
      </c>
      <c r="H10" s="16" t="s">
        <v>29</v>
      </c>
      <c r="I10" s="13" cm="1">
        <f t="array" ref="I10">各流量段建筑物坡比(B10,D10)</f>
        <v>2500</v>
      </c>
      <c r="J10" s="14" t="str">
        <f t="shared" si="0"/>
        <v/>
      </c>
      <c r="K10" s="16">
        <v>5.2</v>
      </c>
      <c r="L10" s="16" t="s">
        <v>30</v>
      </c>
      <c r="M10" s="16" t="s">
        <v>30</v>
      </c>
      <c r="N10" s="16" t="s">
        <v>30</v>
      </c>
      <c r="O10" s="16" t="s">
        <v>30</v>
      </c>
      <c r="P10" s="16" t="s">
        <v>30</v>
      </c>
      <c r="Q10" s="16" t="s">
        <v>30</v>
      </c>
      <c r="R10" s="16">
        <v>180</v>
      </c>
      <c r="S10" s="16" t="s">
        <v>31</v>
      </c>
      <c r="T10" s="16" t="s">
        <v>32</v>
      </c>
    </row>
    <row r="11" spans="1:20">
      <c r="A11" s="12" t="s">
        <v>42</v>
      </c>
      <c r="B11" s="12" t="s">
        <v>26</v>
      </c>
      <c r="C11" s="13" t="s">
        <v>43</v>
      </c>
      <c r="D11" s="13" t="s">
        <v>44</v>
      </c>
      <c r="E11" s="13">
        <v>448952.1282</v>
      </c>
      <c r="F11" s="13">
        <v>3396943.088</v>
      </c>
      <c r="G11" s="13">
        <v>38</v>
      </c>
      <c r="H11" s="13" t="s">
        <v>29</v>
      </c>
      <c r="I11" s="13" t="str" cm="1">
        <f t="array" ref="I11">各流量段建筑物坡比(B11,D11)</f>
        <v/>
      </c>
      <c r="J11" s="14" t="str">
        <f t="shared" si="0"/>
        <v/>
      </c>
      <c r="K11" s="13"/>
      <c r="L11" s="13" t="s">
        <v>30</v>
      </c>
      <c r="M11" s="13"/>
      <c r="N11" s="13"/>
      <c r="O11" s="13" t="s">
        <v>30</v>
      </c>
      <c r="P11" s="13" t="s">
        <v>30</v>
      </c>
      <c r="Q11" s="13" t="s">
        <v>30</v>
      </c>
      <c r="R11" s="13" t="s">
        <v>30</v>
      </c>
      <c r="S11" s="13" t="s">
        <v>31</v>
      </c>
      <c r="T11" s="13" t="s">
        <v>32</v>
      </c>
    </row>
    <row r="12" spans="1:20">
      <c r="A12" s="15" t="s">
        <v>45</v>
      </c>
      <c r="B12" s="12" t="s">
        <v>26</v>
      </c>
      <c r="C12" s="16" t="s">
        <v>43</v>
      </c>
      <c r="D12" s="13" t="s">
        <v>44</v>
      </c>
      <c r="E12" s="16">
        <v>448952.1282</v>
      </c>
      <c r="F12" s="16">
        <v>3396943.088</v>
      </c>
      <c r="G12" s="13">
        <v>38</v>
      </c>
      <c r="H12" s="16" t="s">
        <v>29</v>
      </c>
      <c r="I12" s="13" t="str" cm="1">
        <f t="array" ref="I12">各流量段建筑物坡比(B12,D12)</f>
        <v/>
      </c>
      <c r="J12" s="14" t="str">
        <f t="shared" si="0"/>
        <v/>
      </c>
      <c r="K12" s="16"/>
      <c r="L12" s="16" t="s">
        <v>30</v>
      </c>
      <c r="M12" s="16"/>
      <c r="N12" s="16"/>
      <c r="O12" s="16" t="s">
        <v>30</v>
      </c>
      <c r="P12" s="16" t="s">
        <v>30</v>
      </c>
      <c r="Q12" s="16" t="s">
        <v>30</v>
      </c>
      <c r="R12" s="16" t="s">
        <v>30</v>
      </c>
      <c r="S12" s="16" t="s">
        <v>31</v>
      </c>
      <c r="T12" s="16" t="s">
        <v>32</v>
      </c>
    </row>
    <row r="13" spans="1:20">
      <c r="A13" s="12" t="s">
        <v>46</v>
      </c>
      <c r="B13" s="12" t="s">
        <v>26</v>
      </c>
      <c r="C13" s="13" t="s">
        <v>43</v>
      </c>
      <c r="D13" s="16" t="s">
        <v>47</v>
      </c>
      <c r="E13" s="13">
        <v>448963.9261</v>
      </c>
      <c r="F13" s="13">
        <v>3396918.0335</v>
      </c>
      <c r="G13" s="13">
        <v>38</v>
      </c>
      <c r="H13" s="13" t="s">
        <v>29</v>
      </c>
      <c r="I13" s="13" cm="1">
        <f t="array" ref="I13">各流量段建筑物坡比(B13,D13)</f>
        <v>2200</v>
      </c>
      <c r="J13" s="14" t="str">
        <f t="shared" si="0"/>
        <v/>
      </c>
      <c r="K13" s="13">
        <v>5.2</v>
      </c>
      <c r="L13" s="13" t="s">
        <v>30</v>
      </c>
      <c r="M13" s="13"/>
      <c r="N13" s="13"/>
      <c r="O13" s="13">
        <v>0.77</v>
      </c>
      <c r="P13" s="13" t="s">
        <v>30</v>
      </c>
      <c r="Q13" s="13" t="s">
        <v>30</v>
      </c>
      <c r="R13" s="13" t="s">
        <v>30</v>
      </c>
      <c r="S13" s="13" t="s">
        <v>31</v>
      </c>
      <c r="T13" s="13" t="s">
        <v>32</v>
      </c>
    </row>
    <row r="14" spans="1:20">
      <c r="A14" s="15" t="s">
        <v>48</v>
      </c>
      <c r="B14" s="12" t="s">
        <v>26</v>
      </c>
      <c r="C14" s="16" t="s">
        <v>43</v>
      </c>
      <c r="D14" s="16" t="s">
        <v>47</v>
      </c>
      <c r="E14" s="16">
        <v>449017.1788</v>
      </c>
      <c r="F14" s="16">
        <v>3396804.9442</v>
      </c>
      <c r="G14" s="13">
        <v>38</v>
      </c>
      <c r="H14" s="16" t="s">
        <v>29</v>
      </c>
      <c r="I14" s="13" cm="1">
        <f t="array" ref="I14">各流量段建筑物坡比(B14,D14)</f>
        <v>2200</v>
      </c>
      <c r="J14" s="14" t="str">
        <f t="shared" si="0"/>
        <v/>
      </c>
      <c r="K14" s="16">
        <v>5.2</v>
      </c>
      <c r="L14" s="16" t="s">
        <v>30</v>
      </c>
      <c r="M14" s="16"/>
      <c r="N14" s="16"/>
      <c r="O14" s="16">
        <v>0.77</v>
      </c>
      <c r="P14" s="16" t="s">
        <v>30</v>
      </c>
      <c r="Q14" s="16" t="s">
        <v>30</v>
      </c>
      <c r="R14" s="16" t="s">
        <v>30</v>
      </c>
      <c r="S14" s="16" t="s">
        <v>31</v>
      </c>
      <c r="T14" s="16" t="s">
        <v>32</v>
      </c>
    </row>
    <row r="15" spans="1:20">
      <c r="A15" s="12" t="s">
        <v>49</v>
      </c>
      <c r="B15" s="12" t="s">
        <v>26</v>
      </c>
      <c r="C15" s="13" t="s">
        <v>50</v>
      </c>
      <c r="D15" s="13" t="s">
        <v>35</v>
      </c>
      <c r="E15" s="13">
        <v>449027.6145</v>
      </c>
      <c r="F15" s="13">
        <v>3396782.7825</v>
      </c>
      <c r="G15" s="13">
        <v>38</v>
      </c>
      <c r="H15" s="13" t="s">
        <v>29</v>
      </c>
      <c r="I15" s="13" cm="1">
        <f t="array" ref="I15">各流量段建筑物坡比(B15,D15)</f>
        <v>2500</v>
      </c>
      <c r="J15" s="14" t="str">
        <f t="shared" si="0"/>
        <v/>
      </c>
      <c r="K15" s="16">
        <v>5.2</v>
      </c>
      <c r="L15" s="16" t="s">
        <v>30</v>
      </c>
      <c r="M15" s="16" t="s">
        <v>30</v>
      </c>
      <c r="N15" s="16" t="s">
        <v>30</v>
      </c>
      <c r="O15" s="16" t="s">
        <v>30</v>
      </c>
      <c r="P15" s="16" t="s">
        <v>30</v>
      </c>
      <c r="Q15" s="16" t="s">
        <v>30</v>
      </c>
      <c r="R15" s="16">
        <v>180</v>
      </c>
      <c r="S15" s="13" t="s">
        <v>31</v>
      </c>
      <c r="T15" s="13" t="s">
        <v>32</v>
      </c>
    </row>
    <row r="16" spans="1:20">
      <c r="A16" s="15" t="s">
        <v>51</v>
      </c>
      <c r="B16" s="12" t="s">
        <v>26</v>
      </c>
      <c r="C16" s="13" t="s">
        <v>50</v>
      </c>
      <c r="D16" s="13" t="s">
        <v>35</v>
      </c>
      <c r="E16" s="16">
        <v>449155.0898</v>
      </c>
      <c r="F16" s="16">
        <v>3396512.0717</v>
      </c>
      <c r="G16" s="13">
        <v>38</v>
      </c>
      <c r="H16" s="16" t="s">
        <v>29</v>
      </c>
      <c r="I16" s="13" cm="1">
        <f t="array" ref="I16">各流量段建筑物坡比(B16,D16)</f>
        <v>2500</v>
      </c>
      <c r="J16" s="14" t="str">
        <f t="shared" si="0"/>
        <v/>
      </c>
      <c r="K16" s="16">
        <v>5.2</v>
      </c>
      <c r="L16" s="16" t="s">
        <v>30</v>
      </c>
      <c r="M16" s="16" t="s">
        <v>30</v>
      </c>
      <c r="N16" s="16" t="s">
        <v>30</v>
      </c>
      <c r="O16" s="16" t="s">
        <v>30</v>
      </c>
      <c r="P16" s="16" t="s">
        <v>30</v>
      </c>
      <c r="Q16" s="16" t="s">
        <v>30</v>
      </c>
      <c r="R16" s="16">
        <v>180</v>
      </c>
      <c r="S16" s="16" t="s">
        <v>31</v>
      </c>
      <c r="T16" s="16" t="s">
        <v>32</v>
      </c>
    </row>
    <row r="17" spans="1:20">
      <c r="A17" s="12" t="s">
        <v>52</v>
      </c>
      <c r="B17" s="12" t="s">
        <v>26</v>
      </c>
      <c r="C17" s="13" t="s">
        <v>50</v>
      </c>
      <c r="D17" s="13" t="s">
        <v>35</v>
      </c>
      <c r="E17" s="13">
        <v>451577.1078</v>
      </c>
      <c r="F17" s="13">
        <v>3395076.3759</v>
      </c>
      <c r="G17" s="13">
        <v>38</v>
      </c>
      <c r="H17" s="13" t="s">
        <v>29</v>
      </c>
      <c r="I17" s="13" cm="1">
        <f t="array" ref="I17">各流量段建筑物坡比(B17,D17)</f>
        <v>2500</v>
      </c>
      <c r="J17" s="14" t="str">
        <f t="shared" si="0"/>
        <v/>
      </c>
      <c r="K17" s="16">
        <v>5.2</v>
      </c>
      <c r="L17" s="16" t="s">
        <v>30</v>
      </c>
      <c r="M17" s="16" t="s">
        <v>30</v>
      </c>
      <c r="N17" s="16" t="s">
        <v>30</v>
      </c>
      <c r="O17" s="16" t="s">
        <v>30</v>
      </c>
      <c r="P17" s="16" t="s">
        <v>30</v>
      </c>
      <c r="Q17" s="16" t="s">
        <v>30</v>
      </c>
      <c r="R17" s="16">
        <v>180</v>
      </c>
      <c r="S17" s="13" t="s">
        <v>31</v>
      </c>
      <c r="T17" s="13" t="s">
        <v>32</v>
      </c>
    </row>
    <row r="18" spans="1:20">
      <c r="A18" s="15" t="s">
        <v>53</v>
      </c>
      <c r="B18" s="12" t="s">
        <v>26</v>
      </c>
      <c r="C18" s="13" t="s">
        <v>50</v>
      </c>
      <c r="D18" s="13" t="s">
        <v>35</v>
      </c>
      <c r="E18" s="16">
        <v>451855.8872</v>
      </c>
      <c r="F18" s="16">
        <v>3395056.2758</v>
      </c>
      <c r="G18" s="13">
        <v>38</v>
      </c>
      <c r="H18" s="16" t="s">
        <v>29</v>
      </c>
      <c r="I18" s="13" cm="1">
        <f t="array" ref="I18">各流量段建筑物坡比(B18,D18)</f>
        <v>2500</v>
      </c>
      <c r="J18" s="14" t="str">
        <f t="shared" si="0"/>
        <v/>
      </c>
      <c r="K18" s="16">
        <v>5.2</v>
      </c>
      <c r="L18" s="16" t="s">
        <v>30</v>
      </c>
      <c r="M18" s="16" t="s">
        <v>30</v>
      </c>
      <c r="N18" s="16" t="s">
        <v>30</v>
      </c>
      <c r="O18" s="16" t="s">
        <v>30</v>
      </c>
      <c r="P18" s="16" t="s">
        <v>30</v>
      </c>
      <c r="Q18" s="16" t="s">
        <v>30</v>
      </c>
      <c r="R18" s="16">
        <v>180</v>
      </c>
      <c r="S18" s="16" t="s">
        <v>31</v>
      </c>
      <c r="T18" s="16" t="s">
        <v>32</v>
      </c>
    </row>
    <row r="19" spans="1:20">
      <c r="A19" s="12" t="s">
        <v>54</v>
      </c>
      <c r="B19" s="12" t="s">
        <v>26</v>
      </c>
      <c r="C19" s="13" t="s">
        <v>55</v>
      </c>
      <c r="D19" s="16" t="s">
        <v>47</v>
      </c>
      <c r="E19" s="13">
        <v>451870.866</v>
      </c>
      <c r="F19" s="13">
        <v>3395055.1959</v>
      </c>
      <c r="G19" s="13">
        <v>38</v>
      </c>
      <c r="H19" s="13" t="s">
        <v>29</v>
      </c>
      <c r="I19" s="13" cm="1">
        <f t="array" ref="I19">各流量段建筑物坡比(B19,D19)</f>
        <v>2200</v>
      </c>
      <c r="J19" s="14" t="str">
        <f t="shared" si="0"/>
        <v/>
      </c>
      <c r="K19" s="13">
        <v>5.2</v>
      </c>
      <c r="L19" s="13" t="s">
        <v>30</v>
      </c>
      <c r="M19" s="13"/>
      <c r="N19" s="13"/>
      <c r="O19" s="13">
        <v>0.77</v>
      </c>
      <c r="P19" s="13" t="s">
        <v>30</v>
      </c>
      <c r="Q19" s="13" t="s">
        <v>30</v>
      </c>
      <c r="R19" s="13"/>
      <c r="S19" s="13" t="s">
        <v>31</v>
      </c>
      <c r="T19" s="13" t="s">
        <v>32</v>
      </c>
    </row>
    <row r="20" spans="1:20">
      <c r="A20" s="15" t="s">
        <v>56</v>
      </c>
      <c r="B20" s="12" t="s">
        <v>26</v>
      </c>
      <c r="C20" s="16" t="s">
        <v>55</v>
      </c>
      <c r="D20" s="16" t="s">
        <v>47</v>
      </c>
      <c r="E20" s="16">
        <v>452045.4181</v>
      </c>
      <c r="F20" s="16">
        <v>3395042.6105</v>
      </c>
      <c r="G20" s="13">
        <v>38</v>
      </c>
      <c r="H20" s="16" t="s">
        <v>29</v>
      </c>
      <c r="I20" s="13" cm="1">
        <f t="array" ref="I20">各流量段建筑物坡比(B20,D20)</f>
        <v>2200</v>
      </c>
      <c r="J20" s="14" t="str">
        <f t="shared" si="0"/>
        <v/>
      </c>
      <c r="K20" s="13">
        <v>5.2</v>
      </c>
      <c r="L20" s="13" t="s">
        <v>30</v>
      </c>
      <c r="M20" s="13"/>
      <c r="N20" s="13"/>
      <c r="O20" s="13">
        <v>0.77</v>
      </c>
      <c r="P20" s="16" t="s">
        <v>30</v>
      </c>
      <c r="Q20" s="16" t="s">
        <v>30</v>
      </c>
      <c r="R20" s="16"/>
      <c r="S20" s="16" t="s">
        <v>31</v>
      </c>
      <c r="T20" s="16" t="s">
        <v>32</v>
      </c>
    </row>
    <row r="21" spans="1:20">
      <c r="A21" s="12" t="s">
        <v>57</v>
      </c>
      <c r="B21" s="12" t="s">
        <v>26</v>
      </c>
      <c r="C21" s="13" t="s">
        <v>58</v>
      </c>
      <c r="D21" s="13" t="s">
        <v>35</v>
      </c>
      <c r="E21" s="13">
        <v>452091.5816</v>
      </c>
      <c r="F21" s="13">
        <v>3395039.2822</v>
      </c>
      <c r="G21" s="13">
        <v>38</v>
      </c>
      <c r="H21" s="13" t="s">
        <v>29</v>
      </c>
      <c r="I21" s="13" cm="1">
        <f t="array" ref="I21">各流量段建筑物坡比(B21,D21)</f>
        <v>2500</v>
      </c>
      <c r="J21" s="14" t="str">
        <f t="shared" si="0"/>
        <v/>
      </c>
      <c r="K21" s="16">
        <v>5.2</v>
      </c>
      <c r="L21" s="16" t="s">
        <v>30</v>
      </c>
      <c r="M21" s="16" t="s">
        <v>30</v>
      </c>
      <c r="N21" s="16" t="s">
        <v>30</v>
      </c>
      <c r="O21" s="16" t="s">
        <v>30</v>
      </c>
      <c r="P21" s="16" t="s">
        <v>30</v>
      </c>
      <c r="Q21" s="16" t="s">
        <v>30</v>
      </c>
      <c r="R21" s="16">
        <v>180</v>
      </c>
      <c r="S21" s="13" t="s">
        <v>31</v>
      </c>
      <c r="T21" s="13" t="s">
        <v>32</v>
      </c>
    </row>
    <row r="22" spans="1:20">
      <c r="A22" s="15" t="s">
        <v>59</v>
      </c>
      <c r="B22" s="12" t="s">
        <v>26</v>
      </c>
      <c r="C22" s="13" t="s">
        <v>58</v>
      </c>
      <c r="D22" s="13" t="s">
        <v>35</v>
      </c>
      <c r="E22" s="16">
        <v>452210.2102</v>
      </c>
      <c r="F22" s="16">
        <v>3395030.729</v>
      </c>
      <c r="G22" s="13">
        <v>38</v>
      </c>
      <c r="H22" s="16" t="s">
        <v>29</v>
      </c>
      <c r="I22" s="13" cm="1">
        <f t="array" ref="I22">各流量段建筑物坡比(B22,D22)</f>
        <v>2500</v>
      </c>
      <c r="J22" s="14" t="str">
        <f t="shared" si="0"/>
        <v/>
      </c>
      <c r="K22" s="16">
        <v>5.2</v>
      </c>
      <c r="L22" s="16" t="s">
        <v>30</v>
      </c>
      <c r="M22" s="16" t="s">
        <v>30</v>
      </c>
      <c r="N22" s="16" t="s">
        <v>30</v>
      </c>
      <c r="O22" s="16" t="s">
        <v>30</v>
      </c>
      <c r="P22" s="16" t="s">
        <v>30</v>
      </c>
      <c r="Q22" s="16" t="s">
        <v>30</v>
      </c>
      <c r="R22" s="16">
        <v>180</v>
      </c>
      <c r="S22" s="16" t="s">
        <v>31</v>
      </c>
      <c r="T22" s="16" t="s">
        <v>32</v>
      </c>
    </row>
    <row r="23" spans="1:20">
      <c r="A23" s="12" t="s">
        <v>60</v>
      </c>
      <c r="B23" s="12" t="s">
        <v>26</v>
      </c>
      <c r="C23" s="13" t="s">
        <v>58</v>
      </c>
      <c r="D23" s="13" t="s">
        <v>35</v>
      </c>
      <c r="E23" s="13">
        <v>452332.7543</v>
      </c>
      <c r="F23" s="13">
        <v>3394912.4389</v>
      </c>
      <c r="G23" s="13">
        <v>38</v>
      </c>
      <c r="H23" s="13" t="s">
        <v>29</v>
      </c>
      <c r="I23" s="13" cm="1">
        <f t="array" ref="I23">各流量段建筑物坡比(B23,D23)</f>
        <v>2500</v>
      </c>
      <c r="J23" s="14" t="str">
        <f t="shared" si="0"/>
        <v/>
      </c>
      <c r="K23" s="16">
        <v>5.2</v>
      </c>
      <c r="L23" s="16" t="s">
        <v>30</v>
      </c>
      <c r="M23" s="16" t="s">
        <v>30</v>
      </c>
      <c r="N23" s="16" t="s">
        <v>30</v>
      </c>
      <c r="O23" s="16" t="s">
        <v>30</v>
      </c>
      <c r="P23" s="16" t="s">
        <v>30</v>
      </c>
      <c r="Q23" s="16" t="s">
        <v>30</v>
      </c>
      <c r="R23" s="16">
        <v>180</v>
      </c>
      <c r="S23" s="13" t="s">
        <v>31</v>
      </c>
      <c r="T23" s="13" t="s">
        <v>32</v>
      </c>
    </row>
    <row r="24" spans="1:20">
      <c r="A24" s="15" t="s">
        <v>61</v>
      </c>
      <c r="B24" s="12" t="s">
        <v>26</v>
      </c>
      <c r="C24" s="16" t="s">
        <v>62</v>
      </c>
      <c r="D24" s="16" t="s">
        <v>47</v>
      </c>
      <c r="E24" s="16">
        <v>452346.8878</v>
      </c>
      <c r="F24" s="16">
        <v>3394898.796</v>
      </c>
      <c r="G24" s="13">
        <v>38</v>
      </c>
      <c r="H24" s="16" t="s">
        <v>29</v>
      </c>
      <c r="I24" s="13" cm="1">
        <f t="array" ref="I24">各流量段建筑物坡比(B24,D24)</f>
        <v>2200</v>
      </c>
      <c r="J24" s="14" t="str">
        <f t="shared" si="0"/>
        <v/>
      </c>
      <c r="K24" s="13">
        <v>5.2</v>
      </c>
      <c r="L24" s="13" t="s">
        <v>30</v>
      </c>
      <c r="M24" s="13"/>
      <c r="N24" s="13"/>
      <c r="O24" s="13">
        <v>0.77</v>
      </c>
      <c r="P24" s="16" t="s">
        <v>30</v>
      </c>
      <c r="Q24" s="16" t="s">
        <v>30</v>
      </c>
      <c r="R24" s="16">
        <v>180</v>
      </c>
      <c r="S24" s="16" t="s">
        <v>31</v>
      </c>
      <c r="T24" s="16" t="s">
        <v>32</v>
      </c>
    </row>
    <row r="25" spans="1:20">
      <c r="A25" s="12" t="s">
        <v>63</v>
      </c>
      <c r="B25" s="12" t="s">
        <v>26</v>
      </c>
      <c r="C25" s="16" t="s">
        <v>62</v>
      </c>
      <c r="D25" s="16" t="s">
        <v>47</v>
      </c>
      <c r="E25" s="13">
        <v>452469.2017</v>
      </c>
      <c r="F25" s="13">
        <v>3394780.728</v>
      </c>
      <c r="G25" s="13">
        <v>38</v>
      </c>
      <c r="H25" s="13" t="s">
        <v>29</v>
      </c>
      <c r="I25" s="13" cm="1">
        <f t="array" ref="I25">各流量段建筑物坡比(B25,D25)</f>
        <v>2200</v>
      </c>
      <c r="J25" s="14" t="str">
        <f t="shared" si="0"/>
        <v/>
      </c>
      <c r="K25" s="13">
        <v>5.2</v>
      </c>
      <c r="L25" s="13" t="s">
        <v>30</v>
      </c>
      <c r="M25" s="13"/>
      <c r="N25" s="13"/>
      <c r="O25" s="13">
        <v>0.77</v>
      </c>
      <c r="P25" s="13"/>
      <c r="Q25" s="13"/>
      <c r="R25" s="13"/>
      <c r="S25" s="13" t="s">
        <v>31</v>
      </c>
      <c r="T25" s="13" t="s">
        <v>32</v>
      </c>
    </row>
    <row r="26" spans="1:20">
      <c r="A26" s="15" t="s">
        <v>64</v>
      </c>
      <c r="B26" s="12" t="s">
        <v>26</v>
      </c>
      <c r="C26" s="16" t="s">
        <v>65</v>
      </c>
      <c r="D26" s="13" t="s">
        <v>35</v>
      </c>
      <c r="E26" s="16">
        <v>452479.3029</v>
      </c>
      <c r="F26" s="16">
        <v>3394770.9774</v>
      </c>
      <c r="G26" s="13">
        <v>38</v>
      </c>
      <c r="H26" s="16" t="s">
        <v>29</v>
      </c>
      <c r="I26" s="13" cm="1">
        <f t="array" ref="I26">各流量段建筑物坡比(B26,D26)</f>
        <v>2500</v>
      </c>
      <c r="J26" s="14" t="str">
        <f t="shared" si="0"/>
        <v/>
      </c>
      <c r="K26" s="16">
        <v>5.2</v>
      </c>
      <c r="L26" s="16" t="s">
        <v>30</v>
      </c>
      <c r="M26" s="16" t="s">
        <v>30</v>
      </c>
      <c r="N26" s="16" t="s">
        <v>30</v>
      </c>
      <c r="O26" s="16" t="s">
        <v>30</v>
      </c>
      <c r="P26" s="16" t="s">
        <v>30</v>
      </c>
      <c r="Q26" s="16" t="s">
        <v>30</v>
      </c>
      <c r="R26" s="16">
        <v>180</v>
      </c>
      <c r="S26" s="16" t="s">
        <v>31</v>
      </c>
      <c r="T26" s="16" t="s">
        <v>32</v>
      </c>
    </row>
    <row r="27" spans="1:20">
      <c r="A27" s="12" t="s">
        <v>66</v>
      </c>
      <c r="B27" s="12" t="s">
        <v>26</v>
      </c>
      <c r="C27" s="16" t="s">
        <v>65</v>
      </c>
      <c r="D27" s="13" t="s">
        <v>35</v>
      </c>
      <c r="E27" s="13">
        <v>452645.3297</v>
      </c>
      <c r="F27" s="13">
        <v>3394610.7139</v>
      </c>
      <c r="G27" s="13">
        <v>38</v>
      </c>
      <c r="H27" s="13" t="s">
        <v>29</v>
      </c>
      <c r="I27" s="13" cm="1">
        <f t="array" ref="I27">各流量段建筑物坡比(B27,D27)</f>
        <v>2500</v>
      </c>
      <c r="J27" s="14" t="str">
        <f t="shared" si="0"/>
        <v/>
      </c>
      <c r="K27" s="16">
        <v>5.2</v>
      </c>
      <c r="L27" s="16" t="s">
        <v>30</v>
      </c>
      <c r="M27" s="16" t="s">
        <v>30</v>
      </c>
      <c r="N27" s="16" t="s">
        <v>30</v>
      </c>
      <c r="O27" s="16" t="s">
        <v>30</v>
      </c>
      <c r="P27" s="16" t="s">
        <v>30</v>
      </c>
      <c r="Q27" s="16" t="s">
        <v>30</v>
      </c>
      <c r="R27" s="16">
        <v>180</v>
      </c>
      <c r="S27" s="13" t="s">
        <v>31</v>
      </c>
      <c r="T27" s="13" t="s">
        <v>32</v>
      </c>
    </row>
    <row r="28" spans="1:20">
      <c r="A28" s="15" t="s">
        <v>67</v>
      </c>
      <c r="B28" s="12" t="s">
        <v>26</v>
      </c>
      <c r="C28" s="16" t="s">
        <v>65</v>
      </c>
      <c r="D28" s="13" t="s">
        <v>35</v>
      </c>
      <c r="E28" s="16">
        <v>452653.8154</v>
      </c>
      <c r="F28" s="16">
        <v>3394591.3818</v>
      </c>
      <c r="G28" s="13">
        <v>38</v>
      </c>
      <c r="H28" s="16" t="s">
        <v>29</v>
      </c>
      <c r="I28" s="13" cm="1">
        <f t="array" ref="I28">各流量段建筑物坡比(B28,D28)</f>
        <v>2500</v>
      </c>
      <c r="J28" s="14" t="str">
        <f t="shared" si="0"/>
        <v/>
      </c>
      <c r="K28" s="16">
        <v>5.2</v>
      </c>
      <c r="L28" s="16" t="s">
        <v>30</v>
      </c>
      <c r="M28" s="16" t="s">
        <v>30</v>
      </c>
      <c r="N28" s="16" t="s">
        <v>30</v>
      </c>
      <c r="O28" s="16" t="s">
        <v>30</v>
      </c>
      <c r="P28" s="16" t="s">
        <v>30</v>
      </c>
      <c r="Q28" s="16" t="s">
        <v>30</v>
      </c>
      <c r="R28" s="16">
        <v>180</v>
      </c>
      <c r="S28" s="16" t="s">
        <v>31</v>
      </c>
      <c r="T28" s="16" t="s">
        <v>32</v>
      </c>
    </row>
    <row r="29" spans="1:20">
      <c r="A29" s="12" t="s">
        <v>68</v>
      </c>
      <c r="B29" s="12" t="s">
        <v>26</v>
      </c>
      <c r="C29" s="13" t="s">
        <v>69</v>
      </c>
      <c r="D29" s="16" t="s">
        <v>47</v>
      </c>
      <c r="E29" s="13">
        <v>452659.067</v>
      </c>
      <c r="F29" s="13">
        <v>3394579.4175</v>
      </c>
      <c r="G29" s="13">
        <v>38</v>
      </c>
      <c r="H29" s="13" t="s">
        <v>29</v>
      </c>
      <c r="I29" s="13" cm="1">
        <f t="array" ref="I29">各流量段建筑物坡比(B29,D29)</f>
        <v>2200</v>
      </c>
      <c r="J29" s="14" t="str">
        <f t="shared" si="0"/>
        <v/>
      </c>
      <c r="K29" s="13">
        <v>5.2</v>
      </c>
      <c r="L29" s="13" t="s">
        <v>30</v>
      </c>
      <c r="M29" s="13"/>
      <c r="N29" s="13"/>
      <c r="O29" s="13">
        <v>0.77</v>
      </c>
      <c r="P29" s="13" t="s">
        <v>30</v>
      </c>
      <c r="Q29" s="13" t="s">
        <v>30</v>
      </c>
      <c r="R29" s="13"/>
      <c r="S29" s="13" t="s">
        <v>31</v>
      </c>
      <c r="T29" s="13" t="s">
        <v>32</v>
      </c>
    </row>
    <row r="30" spans="1:20">
      <c r="A30" s="15" t="s">
        <v>70</v>
      </c>
      <c r="B30" s="12" t="s">
        <v>26</v>
      </c>
      <c r="C30" s="13" t="s">
        <v>69</v>
      </c>
      <c r="D30" s="16" t="s">
        <v>47</v>
      </c>
      <c r="E30" s="16">
        <v>452687.3033</v>
      </c>
      <c r="F30" s="16">
        <v>3394515.0897</v>
      </c>
      <c r="G30" s="13">
        <v>38</v>
      </c>
      <c r="H30" s="16" t="s">
        <v>29</v>
      </c>
      <c r="I30" s="13" cm="1">
        <f t="array" ref="I30">各流量段建筑物坡比(B30,D30)</f>
        <v>2200</v>
      </c>
      <c r="J30" s="14" t="str">
        <f t="shared" si="0"/>
        <v/>
      </c>
      <c r="K30" s="13">
        <v>5.2</v>
      </c>
      <c r="L30" s="13" t="s">
        <v>30</v>
      </c>
      <c r="M30" s="13"/>
      <c r="N30" s="13"/>
      <c r="O30" s="13">
        <v>0.77</v>
      </c>
      <c r="P30" s="16" t="s">
        <v>30</v>
      </c>
      <c r="Q30" s="16" t="s">
        <v>30</v>
      </c>
      <c r="R30" s="16"/>
      <c r="S30" s="16" t="s">
        <v>31</v>
      </c>
      <c r="T30" s="16" t="s">
        <v>32</v>
      </c>
    </row>
    <row r="31" spans="1:20">
      <c r="A31" s="12" t="s">
        <v>71</v>
      </c>
      <c r="B31" s="12" t="s">
        <v>26</v>
      </c>
      <c r="C31" s="13" t="s">
        <v>72</v>
      </c>
      <c r="D31" s="13" t="s">
        <v>35</v>
      </c>
      <c r="E31" s="13">
        <v>452692.7894</v>
      </c>
      <c r="F31" s="13">
        <v>3394502.5913</v>
      </c>
      <c r="G31" s="13">
        <v>38</v>
      </c>
      <c r="H31" s="13" t="s">
        <v>29</v>
      </c>
      <c r="I31" s="13" cm="1">
        <f t="array" ref="I31">各流量段建筑物坡比(B31,D31)</f>
        <v>2500</v>
      </c>
      <c r="J31" s="14" t="str">
        <f t="shared" si="0"/>
        <v/>
      </c>
      <c r="K31" s="16">
        <v>5.2</v>
      </c>
      <c r="L31" s="16" t="s">
        <v>30</v>
      </c>
      <c r="M31" s="16" t="s">
        <v>30</v>
      </c>
      <c r="N31" s="16" t="s">
        <v>30</v>
      </c>
      <c r="O31" s="16" t="s">
        <v>30</v>
      </c>
      <c r="P31" s="16" t="s">
        <v>30</v>
      </c>
      <c r="Q31" s="16" t="s">
        <v>30</v>
      </c>
      <c r="R31" s="16">
        <v>180</v>
      </c>
      <c r="S31" s="13" t="s">
        <v>31</v>
      </c>
      <c r="T31" s="13" t="s">
        <v>32</v>
      </c>
    </row>
    <row r="32" spans="1:20">
      <c r="A32" s="15" t="s">
        <v>73</v>
      </c>
      <c r="B32" s="12" t="s">
        <v>26</v>
      </c>
      <c r="C32" s="13" t="s">
        <v>72</v>
      </c>
      <c r="D32" s="13" t="s">
        <v>35</v>
      </c>
      <c r="E32" s="16">
        <v>452700.5564</v>
      </c>
      <c r="F32" s="16">
        <v>3394484.8965</v>
      </c>
      <c r="G32" s="13">
        <v>38</v>
      </c>
      <c r="H32" s="16" t="s">
        <v>29</v>
      </c>
      <c r="I32" s="13" cm="1">
        <f t="array" ref="I32">各流量段建筑物坡比(B32,D32)</f>
        <v>2500</v>
      </c>
      <c r="J32" s="14" t="str">
        <f t="shared" si="0"/>
        <v/>
      </c>
      <c r="K32" s="16">
        <v>5.2</v>
      </c>
      <c r="L32" s="16" t="s">
        <v>30</v>
      </c>
      <c r="M32" s="16" t="s">
        <v>30</v>
      </c>
      <c r="N32" s="16" t="s">
        <v>30</v>
      </c>
      <c r="O32" s="16" t="s">
        <v>30</v>
      </c>
      <c r="P32" s="16" t="s">
        <v>30</v>
      </c>
      <c r="Q32" s="16" t="s">
        <v>30</v>
      </c>
      <c r="R32" s="16">
        <v>180</v>
      </c>
      <c r="S32" s="16" t="s">
        <v>31</v>
      </c>
      <c r="T32" s="16" t="s">
        <v>32</v>
      </c>
    </row>
    <row r="33" spans="1:20">
      <c r="A33" s="12" t="s">
        <v>74</v>
      </c>
      <c r="B33" s="12" t="s">
        <v>26</v>
      </c>
      <c r="C33" s="13" t="s">
        <v>72</v>
      </c>
      <c r="D33" s="13" t="s">
        <v>35</v>
      </c>
      <c r="E33" s="13">
        <v>452684.0253</v>
      </c>
      <c r="F33" s="13">
        <v>3394384.524</v>
      </c>
      <c r="G33" s="13">
        <v>38</v>
      </c>
      <c r="H33" s="13" t="s">
        <v>29</v>
      </c>
      <c r="I33" s="13" cm="1">
        <f t="array" ref="I33">各流量段建筑物坡比(B33,D33)</f>
        <v>2500</v>
      </c>
      <c r="J33" s="14" t="str">
        <f t="shared" si="0"/>
        <v/>
      </c>
      <c r="K33" s="16">
        <v>5.2</v>
      </c>
      <c r="L33" s="16" t="s">
        <v>30</v>
      </c>
      <c r="M33" s="16" t="s">
        <v>30</v>
      </c>
      <c r="N33" s="16" t="s">
        <v>30</v>
      </c>
      <c r="O33" s="16" t="s">
        <v>30</v>
      </c>
      <c r="P33" s="16" t="s">
        <v>30</v>
      </c>
      <c r="Q33" s="16" t="s">
        <v>30</v>
      </c>
      <c r="R33" s="16">
        <v>180</v>
      </c>
      <c r="S33" s="13" t="s">
        <v>31</v>
      </c>
      <c r="T33" s="13" t="s">
        <v>32</v>
      </c>
    </row>
    <row r="34" spans="1:20">
      <c r="A34" s="15" t="s">
        <v>75</v>
      </c>
      <c r="B34" s="12" t="s">
        <v>26</v>
      </c>
      <c r="C34" s="16" t="s">
        <v>76</v>
      </c>
      <c r="D34" s="16" t="s">
        <v>47</v>
      </c>
      <c r="E34" s="16">
        <v>452682.255</v>
      </c>
      <c r="F34" s="16">
        <v>3394373.7756</v>
      </c>
      <c r="G34" s="13">
        <v>38</v>
      </c>
      <c r="H34" s="16" t="s">
        <v>29</v>
      </c>
      <c r="I34" s="13" cm="1">
        <f t="array" ref="I34">各流量段建筑物坡比(B34,D34)</f>
        <v>2200</v>
      </c>
      <c r="J34" s="14" t="str">
        <f t="shared" si="0"/>
        <v/>
      </c>
      <c r="K34" s="13">
        <v>5.2</v>
      </c>
      <c r="L34" s="13" t="s">
        <v>30</v>
      </c>
      <c r="M34" s="13"/>
      <c r="N34" s="13"/>
      <c r="O34" s="13">
        <v>0.77</v>
      </c>
      <c r="P34" s="16" t="s">
        <v>30</v>
      </c>
      <c r="Q34" s="16" t="s">
        <v>30</v>
      </c>
      <c r="R34" s="16"/>
      <c r="S34" s="16" t="s">
        <v>31</v>
      </c>
      <c r="T34" s="16" t="s">
        <v>32</v>
      </c>
    </row>
    <row r="35" spans="1:20">
      <c r="A35" s="12" t="s">
        <v>77</v>
      </c>
      <c r="B35" s="12" t="s">
        <v>26</v>
      </c>
      <c r="C35" s="16" t="s">
        <v>76</v>
      </c>
      <c r="D35" s="16" t="s">
        <v>47</v>
      </c>
      <c r="E35" s="13">
        <v>452662.8585</v>
      </c>
      <c r="F35" s="13">
        <v>3394256.0049</v>
      </c>
      <c r="G35" s="13">
        <v>38</v>
      </c>
      <c r="H35" s="13" t="s">
        <v>29</v>
      </c>
      <c r="I35" s="13" cm="1">
        <f t="array" ref="I35">各流量段建筑物坡比(B35,D35)</f>
        <v>2200</v>
      </c>
      <c r="J35" s="14" t="str">
        <f t="shared" si="0"/>
        <v/>
      </c>
      <c r="K35" s="13">
        <v>5.2</v>
      </c>
      <c r="L35" s="13" t="s">
        <v>30</v>
      </c>
      <c r="M35" s="13"/>
      <c r="N35" s="13"/>
      <c r="O35" s="13">
        <v>0.77</v>
      </c>
      <c r="P35" s="13" t="s">
        <v>30</v>
      </c>
      <c r="Q35" s="13" t="s">
        <v>30</v>
      </c>
      <c r="R35" s="13"/>
      <c r="S35" s="13" t="s">
        <v>31</v>
      </c>
      <c r="T35" s="13" t="s">
        <v>32</v>
      </c>
    </row>
    <row r="36" spans="1:20">
      <c r="A36" s="15" t="s">
        <v>78</v>
      </c>
      <c r="B36" s="12" t="s">
        <v>26</v>
      </c>
      <c r="C36" s="13" t="s">
        <v>27</v>
      </c>
      <c r="D36" s="13" t="s">
        <v>28</v>
      </c>
      <c r="E36" s="16">
        <v>452660.1965</v>
      </c>
      <c r="F36" s="16">
        <v>3394239.8424</v>
      </c>
      <c r="G36" s="13">
        <v>38</v>
      </c>
      <c r="H36" s="16" t="s">
        <v>29</v>
      </c>
      <c r="I36" s="13" cm="1">
        <f t="array" ref="I36">各流量段建筑物坡比(B36,D36)</f>
        <v>6000</v>
      </c>
      <c r="J36" s="14">
        <f t="shared" si="0"/>
        <v>0</v>
      </c>
      <c r="K36" s="13">
        <v>6.9</v>
      </c>
      <c r="L36" s="16" t="s">
        <v>30</v>
      </c>
      <c r="M36" s="16"/>
      <c r="N36" s="16"/>
      <c r="O36" s="16" t="s">
        <v>30</v>
      </c>
      <c r="P36" s="16" t="s">
        <v>30</v>
      </c>
      <c r="Q36" s="16" t="s">
        <v>30</v>
      </c>
      <c r="R36" s="16"/>
      <c r="S36" s="16" t="s">
        <v>31</v>
      </c>
      <c r="T36" s="16" t="s">
        <v>32</v>
      </c>
    </row>
    <row r="37" spans="1:20">
      <c r="A37" s="12" t="s">
        <v>79</v>
      </c>
      <c r="B37" s="12" t="s">
        <v>26</v>
      </c>
      <c r="C37" s="13" t="s">
        <v>80</v>
      </c>
      <c r="D37" s="16" t="s">
        <v>81</v>
      </c>
      <c r="E37" s="13">
        <v>452644.5835</v>
      </c>
      <c r="F37" s="13">
        <v>3394218.2844</v>
      </c>
      <c r="G37" s="13">
        <v>38</v>
      </c>
      <c r="H37" s="13" t="s">
        <v>29</v>
      </c>
      <c r="I37" s="13" t="str" cm="1">
        <f t="array" ref="I37">各流量段建筑物坡比(B37,D37)</f>
        <v/>
      </c>
      <c r="J37" s="14" t="str">
        <f t="shared" si="0"/>
        <v/>
      </c>
      <c r="K37" s="13"/>
      <c r="L37" s="13" t="s">
        <v>30</v>
      </c>
      <c r="M37" s="13"/>
      <c r="N37" s="13"/>
      <c r="O37" s="13" t="s">
        <v>30</v>
      </c>
      <c r="P37" s="13" t="s">
        <v>30</v>
      </c>
      <c r="Q37" s="13" t="s">
        <v>30</v>
      </c>
      <c r="R37" s="13"/>
      <c r="S37" s="13" t="s">
        <v>31</v>
      </c>
      <c r="T37" s="13" t="s">
        <v>32</v>
      </c>
    </row>
    <row r="38" spans="1:20">
      <c r="A38" s="15" t="s">
        <v>82</v>
      </c>
      <c r="B38" s="12" t="s">
        <v>26</v>
      </c>
      <c r="C38" s="13" t="s">
        <v>80</v>
      </c>
      <c r="D38" s="16" t="s">
        <v>81</v>
      </c>
      <c r="E38" s="16">
        <v>452574.9386</v>
      </c>
      <c r="F38" s="16">
        <v>3394122.1207</v>
      </c>
      <c r="G38" s="13">
        <v>38</v>
      </c>
      <c r="H38" s="16" t="s">
        <v>29</v>
      </c>
      <c r="I38" s="13" t="str" cm="1">
        <f t="array" ref="I38">各流量段建筑物坡比(B38,D38)</f>
        <v/>
      </c>
      <c r="J38" s="14" t="str">
        <f t="shared" si="0"/>
        <v/>
      </c>
      <c r="K38" s="16"/>
      <c r="L38" s="16" t="s">
        <v>30</v>
      </c>
      <c r="M38" s="16"/>
      <c r="N38" s="16"/>
      <c r="O38" s="16" t="s">
        <v>30</v>
      </c>
      <c r="P38" s="16" t="s">
        <v>30</v>
      </c>
      <c r="Q38" s="16" t="s">
        <v>30</v>
      </c>
      <c r="R38" s="16"/>
      <c r="S38" s="16" t="s">
        <v>31</v>
      </c>
      <c r="T38" s="16" t="s">
        <v>32</v>
      </c>
    </row>
    <row r="39" spans="1:20">
      <c r="A39" s="12" t="s">
        <v>83</v>
      </c>
      <c r="B39" s="12" t="s">
        <v>26</v>
      </c>
      <c r="C39" s="13" t="s">
        <v>80</v>
      </c>
      <c r="D39" s="16" t="s">
        <v>81</v>
      </c>
      <c r="E39" s="13">
        <v>452521.3433</v>
      </c>
      <c r="F39" s="13">
        <v>3394011.6776</v>
      </c>
      <c r="G39" s="13">
        <v>38</v>
      </c>
      <c r="H39" s="13" t="s">
        <v>29</v>
      </c>
      <c r="I39" s="13" t="str" cm="1">
        <f t="array" ref="I39">各流量段建筑物坡比(B39,D39)</f>
        <v/>
      </c>
      <c r="J39" s="14" t="str">
        <f t="shared" si="0"/>
        <v/>
      </c>
      <c r="K39" s="13"/>
      <c r="L39" s="13" t="s">
        <v>30</v>
      </c>
      <c r="M39" s="13"/>
      <c r="N39" s="13"/>
      <c r="O39" s="13" t="s">
        <v>30</v>
      </c>
      <c r="P39" s="13" t="s">
        <v>30</v>
      </c>
      <c r="Q39" s="13" t="s">
        <v>30</v>
      </c>
      <c r="R39" s="13"/>
      <c r="S39" s="13" t="s">
        <v>31</v>
      </c>
      <c r="T39" s="13" t="s">
        <v>32</v>
      </c>
    </row>
    <row r="40" spans="1:20">
      <c r="A40" s="15" t="s">
        <v>84</v>
      </c>
      <c r="B40" s="12" t="s">
        <v>26</v>
      </c>
      <c r="C40" s="13" t="s">
        <v>80</v>
      </c>
      <c r="D40" s="16" t="s">
        <v>81</v>
      </c>
      <c r="E40" s="16">
        <v>452549.1184</v>
      </c>
      <c r="F40" s="16">
        <v>3393894.6456</v>
      </c>
      <c r="G40" s="13">
        <v>38</v>
      </c>
      <c r="H40" s="16" t="s">
        <v>29</v>
      </c>
      <c r="I40" s="13" t="str" cm="1">
        <f t="array" ref="I40">各流量段建筑物坡比(B40,D40)</f>
        <v/>
      </c>
      <c r="J40" s="14" t="str">
        <f t="shared" si="0"/>
        <v/>
      </c>
      <c r="K40" s="16"/>
      <c r="L40" s="16" t="s">
        <v>30</v>
      </c>
      <c r="M40" s="16"/>
      <c r="N40" s="16"/>
      <c r="O40" s="16" t="s">
        <v>30</v>
      </c>
      <c r="P40" s="16" t="s">
        <v>30</v>
      </c>
      <c r="Q40" s="16" t="s">
        <v>30</v>
      </c>
      <c r="R40" s="16"/>
      <c r="S40" s="16" t="s">
        <v>31</v>
      </c>
      <c r="T40" s="16" t="s">
        <v>32</v>
      </c>
    </row>
    <row r="41" spans="1:20">
      <c r="A41" s="12" t="s">
        <v>85</v>
      </c>
      <c r="B41" s="12" t="s">
        <v>26</v>
      </c>
      <c r="C41" s="13" t="s">
        <v>80</v>
      </c>
      <c r="D41" s="16" t="s">
        <v>81</v>
      </c>
      <c r="E41" s="13">
        <v>452546.4904</v>
      </c>
      <c r="F41" s="13">
        <v>3393754.681</v>
      </c>
      <c r="G41" s="13">
        <v>38</v>
      </c>
      <c r="H41" s="13" t="s">
        <v>29</v>
      </c>
      <c r="I41" s="13" t="str" cm="1">
        <f t="array" ref="I41">各流量段建筑物坡比(B41,D41)</f>
        <v/>
      </c>
      <c r="J41" s="14" t="str">
        <f t="shared" si="0"/>
        <v/>
      </c>
      <c r="K41" s="13"/>
      <c r="L41" s="13" t="s">
        <v>30</v>
      </c>
      <c r="M41" s="13"/>
      <c r="N41" s="13"/>
      <c r="O41" s="13" t="s">
        <v>30</v>
      </c>
      <c r="P41" s="13" t="s">
        <v>30</v>
      </c>
      <c r="Q41" s="13" t="s">
        <v>30</v>
      </c>
      <c r="R41" s="13"/>
      <c r="S41" s="13" t="s">
        <v>31</v>
      </c>
      <c r="T41" s="13" t="s">
        <v>32</v>
      </c>
    </row>
    <row r="42" spans="1:20">
      <c r="A42" s="15" t="s">
        <v>86</v>
      </c>
      <c r="B42" s="12" t="s">
        <v>26</v>
      </c>
      <c r="C42" s="13" t="s">
        <v>80</v>
      </c>
      <c r="D42" s="16" t="s">
        <v>81</v>
      </c>
      <c r="E42" s="16">
        <v>452555.6035</v>
      </c>
      <c r="F42" s="16">
        <v>3393674.357</v>
      </c>
      <c r="G42" s="13">
        <v>38</v>
      </c>
      <c r="H42" s="16" t="s">
        <v>29</v>
      </c>
      <c r="I42" s="13" t="str" cm="1">
        <f t="array" ref="I42">各流量段建筑物坡比(B42,D42)</f>
        <v/>
      </c>
      <c r="J42" s="14" t="str">
        <f t="shared" si="0"/>
        <v/>
      </c>
      <c r="K42" s="16"/>
      <c r="L42" s="16" t="s">
        <v>30</v>
      </c>
      <c r="M42" s="16"/>
      <c r="N42" s="16"/>
      <c r="O42" s="16" t="s">
        <v>30</v>
      </c>
      <c r="P42" s="16" t="s">
        <v>30</v>
      </c>
      <c r="Q42" s="16" t="s">
        <v>30</v>
      </c>
      <c r="R42" s="16"/>
      <c r="S42" s="16" t="s">
        <v>31</v>
      </c>
      <c r="T42" s="16" t="s">
        <v>32</v>
      </c>
    </row>
    <row r="43" spans="1:20">
      <c r="A43" s="12" t="s">
        <v>87</v>
      </c>
      <c r="B43" s="12" t="s">
        <v>26</v>
      </c>
      <c r="C43" s="13" t="s">
        <v>80</v>
      </c>
      <c r="D43" s="16" t="s">
        <v>81</v>
      </c>
      <c r="E43" s="13">
        <v>452633.5115</v>
      </c>
      <c r="F43" s="13">
        <v>3393625.7569</v>
      </c>
      <c r="G43" s="13">
        <v>38</v>
      </c>
      <c r="H43" s="13" t="s">
        <v>29</v>
      </c>
      <c r="I43" s="13" t="str" cm="1">
        <f t="array" ref="I43">各流量段建筑物坡比(B43,D43)</f>
        <v/>
      </c>
      <c r="J43" s="14" t="str">
        <f t="shared" si="0"/>
        <v/>
      </c>
      <c r="K43" s="13"/>
      <c r="L43" s="13" t="s">
        <v>30</v>
      </c>
      <c r="M43" s="13"/>
      <c r="N43" s="13"/>
      <c r="O43" s="13" t="s">
        <v>30</v>
      </c>
      <c r="P43" s="13" t="s">
        <v>30</v>
      </c>
      <c r="Q43" s="13" t="s">
        <v>30</v>
      </c>
      <c r="R43" s="13"/>
      <c r="S43" s="13" t="s">
        <v>31</v>
      </c>
      <c r="T43" s="13" t="s">
        <v>32</v>
      </c>
    </row>
    <row r="44" spans="1:20">
      <c r="A44" s="15" t="s">
        <v>88</v>
      </c>
      <c r="B44" s="12" t="s">
        <v>26</v>
      </c>
      <c r="C44" s="13" t="s">
        <v>80</v>
      </c>
      <c r="D44" s="16" t="s">
        <v>81</v>
      </c>
      <c r="E44" s="16">
        <v>452632.9603</v>
      </c>
      <c r="F44" s="16">
        <v>3393553.5985</v>
      </c>
      <c r="G44" s="13">
        <v>38</v>
      </c>
      <c r="H44" s="16" t="s">
        <v>29</v>
      </c>
      <c r="I44" s="13" t="str" cm="1">
        <f t="array" ref="I44">各流量段建筑物坡比(B44,D44)</f>
        <v/>
      </c>
      <c r="J44" s="14" t="str">
        <f t="shared" si="0"/>
        <v/>
      </c>
      <c r="K44" s="16"/>
      <c r="L44" s="16" t="s">
        <v>30</v>
      </c>
      <c r="M44" s="16"/>
      <c r="N44" s="16"/>
      <c r="O44" s="16" t="s">
        <v>30</v>
      </c>
      <c r="P44" s="16" t="s">
        <v>30</v>
      </c>
      <c r="Q44" s="16" t="s">
        <v>30</v>
      </c>
      <c r="R44" s="16"/>
      <c r="S44" s="16" t="s">
        <v>31</v>
      </c>
      <c r="T44" s="16" t="s">
        <v>32</v>
      </c>
    </row>
    <row r="45" spans="1:20">
      <c r="A45" s="12" t="s">
        <v>89</v>
      </c>
      <c r="B45" s="12" t="s">
        <v>26</v>
      </c>
      <c r="C45" s="13" t="s">
        <v>90</v>
      </c>
      <c r="D45" s="13" t="s">
        <v>35</v>
      </c>
      <c r="E45" s="13">
        <v>452632.8464</v>
      </c>
      <c r="F45" s="13">
        <v>3393538.6819</v>
      </c>
      <c r="G45" s="13">
        <v>38</v>
      </c>
      <c r="H45" s="13" t="s">
        <v>29</v>
      </c>
      <c r="I45" s="13" cm="1">
        <f t="array" ref="I45">各流量段建筑物坡比(B45,D45)</f>
        <v>2500</v>
      </c>
      <c r="J45" s="14" t="str">
        <f t="shared" si="0"/>
        <v/>
      </c>
      <c r="K45" s="16">
        <v>5.2</v>
      </c>
      <c r="L45" s="16" t="s">
        <v>30</v>
      </c>
      <c r="M45" s="16" t="s">
        <v>30</v>
      </c>
      <c r="N45" s="16" t="s">
        <v>30</v>
      </c>
      <c r="O45" s="16" t="s">
        <v>30</v>
      </c>
      <c r="P45" s="16" t="s">
        <v>30</v>
      </c>
      <c r="Q45" s="16" t="s">
        <v>30</v>
      </c>
      <c r="R45" s="16">
        <v>180</v>
      </c>
      <c r="S45" s="13" t="s">
        <v>31</v>
      </c>
      <c r="T45" s="13" t="s">
        <v>32</v>
      </c>
    </row>
    <row r="46" spans="1:20">
      <c r="A46" s="15" t="s">
        <v>91</v>
      </c>
      <c r="B46" s="12" t="s">
        <v>26</v>
      </c>
      <c r="C46" s="13" t="s">
        <v>90</v>
      </c>
      <c r="D46" s="13" t="s">
        <v>35</v>
      </c>
      <c r="E46" s="16">
        <v>452632.422</v>
      </c>
      <c r="F46" s="16">
        <v>3393483.1367</v>
      </c>
      <c r="G46" s="13">
        <v>38</v>
      </c>
      <c r="H46" s="16" t="s">
        <v>29</v>
      </c>
      <c r="I46" s="13" cm="1">
        <f t="array" ref="I46">各流量段建筑物坡比(B46,D46)</f>
        <v>2500</v>
      </c>
      <c r="J46" s="14" t="str">
        <f t="shared" si="0"/>
        <v/>
      </c>
      <c r="K46" s="16">
        <v>5.2</v>
      </c>
      <c r="L46" s="16" t="s">
        <v>30</v>
      </c>
      <c r="M46" s="16" t="s">
        <v>30</v>
      </c>
      <c r="N46" s="16" t="s">
        <v>30</v>
      </c>
      <c r="O46" s="16" t="s">
        <v>30</v>
      </c>
      <c r="P46" s="16" t="s">
        <v>30</v>
      </c>
      <c r="Q46" s="16" t="s">
        <v>30</v>
      </c>
      <c r="R46" s="16">
        <v>180</v>
      </c>
      <c r="S46" s="16">
        <v>0.1</v>
      </c>
      <c r="T46" s="16">
        <v>100</v>
      </c>
    </row>
    <row r="47" spans="1:20">
      <c r="A47" s="12" t="s">
        <v>92</v>
      </c>
      <c r="B47" s="12" t="s">
        <v>26</v>
      </c>
      <c r="C47" s="13" t="s">
        <v>90</v>
      </c>
      <c r="D47" s="13" t="s">
        <v>35</v>
      </c>
      <c r="E47" s="4">
        <v>452640.5047</v>
      </c>
      <c r="F47" s="4">
        <v>3393470.1765</v>
      </c>
      <c r="G47" s="13">
        <v>38</v>
      </c>
      <c r="H47" s="13" t="s">
        <v>29</v>
      </c>
      <c r="I47" s="13" cm="1">
        <f t="array" ref="I47">各流量段建筑物坡比(B47,D47)</f>
        <v>2500</v>
      </c>
      <c r="J47" s="14" t="str">
        <f t="shared" si="0"/>
        <v/>
      </c>
      <c r="K47" s="16">
        <v>5.2</v>
      </c>
      <c r="L47" s="16" t="s">
        <v>30</v>
      </c>
      <c r="M47" s="16" t="s">
        <v>30</v>
      </c>
      <c r="N47" s="16" t="s">
        <v>30</v>
      </c>
      <c r="O47" s="16" t="s">
        <v>30</v>
      </c>
      <c r="P47" s="16" t="s">
        <v>30</v>
      </c>
      <c r="Q47" s="16" t="s">
        <v>30</v>
      </c>
      <c r="R47" s="16">
        <v>180</v>
      </c>
    </row>
    <row r="48" spans="1:20">
      <c r="A48" s="15" t="s">
        <v>93</v>
      </c>
      <c r="B48" s="12" t="s">
        <v>26</v>
      </c>
      <c r="C48" s="13" t="s">
        <v>27</v>
      </c>
      <c r="D48" s="13" t="s">
        <v>28</v>
      </c>
      <c r="E48" s="4">
        <v>452665.3101</v>
      </c>
      <c r="F48" s="4">
        <v>3393430.4022</v>
      </c>
      <c r="G48" s="13">
        <v>38</v>
      </c>
      <c r="H48" s="13" t="s">
        <v>29</v>
      </c>
      <c r="I48" s="13" cm="1">
        <f t="array" ref="I48">各流量段建筑物坡比(B48,D48)</f>
        <v>6000</v>
      </c>
      <c r="J48" s="14">
        <f t="shared" si="0"/>
        <v>0</v>
      </c>
      <c r="K48" s="13">
        <v>6.9</v>
      </c>
    </row>
    <row r="49" spans="1:18">
      <c r="A49" s="12" t="s">
        <v>94</v>
      </c>
      <c r="B49" s="12" t="s">
        <v>26</v>
      </c>
      <c r="C49" s="13" t="s">
        <v>27</v>
      </c>
      <c r="D49" s="13" t="s">
        <v>28</v>
      </c>
      <c r="E49" s="4">
        <v>452672.0851</v>
      </c>
      <c r="F49" s="4">
        <v>3393365.6235</v>
      </c>
      <c r="G49" s="13">
        <v>38</v>
      </c>
      <c r="H49" s="13" t="s">
        <v>29</v>
      </c>
      <c r="I49" s="13" cm="1">
        <f t="array" ref="I49">各流量段建筑物坡比(B49,D49)</f>
        <v>6000</v>
      </c>
      <c r="J49" s="14">
        <f t="shared" si="0"/>
        <v>0</v>
      </c>
      <c r="K49" s="13">
        <v>6.9</v>
      </c>
    </row>
    <row r="50" spans="1:18">
      <c r="A50" s="15" t="s">
        <v>95</v>
      </c>
      <c r="B50" s="12" t="s">
        <v>26</v>
      </c>
      <c r="C50" s="2" t="s">
        <v>96</v>
      </c>
      <c r="D50" s="16" t="s">
        <v>47</v>
      </c>
      <c r="E50" s="4">
        <v>452679.6681</v>
      </c>
      <c r="F50" s="4">
        <v>3393352.5262</v>
      </c>
      <c r="G50" s="13">
        <v>38</v>
      </c>
      <c r="H50" s="13" t="s">
        <v>29</v>
      </c>
      <c r="I50" s="13" cm="1">
        <f t="array" ref="I50">各流量段建筑物坡比(B50,D50)</f>
        <v>2200</v>
      </c>
      <c r="J50" s="14" t="str">
        <f t="shared" si="0"/>
        <v/>
      </c>
      <c r="K50" s="13">
        <v>5.2</v>
      </c>
      <c r="L50" s="13" t="s">
        <v>30</v>
      </c>
      <c r="M50" s="13"/>
      <c r="N50" s="13"/>
      <c r="O50" s="13">
        <v>0.77</v>
      </c>
    </row>
    <row r="51" spans="1:18">
      <c r="A51" s="12" t="s">
        <v>97</v>
      </c>
      <c r="B51" s="12" t="s">
        <v>26</v>
      </c>
      <c r="C51" s="2" t="s">
        <v>96</v>
      </c>
      <c r="D51" s="16" t="s">
        <v>47</v>
      </c>
      <c r="E51" s="4">
        <v>452740.0001</v>
      </c>
      <c r="F51" s="4">
        <v>3393248.3212</v>
      </c>
      <c r="G51" s="13">
        <v>38</v>
      </c>
      <c r="H51" s="13" t="s">
        <v>29</v>
      </c>
      <c r="I51" s="13" cm="1">
        <f t="array" ref="I51">各流量段建筑物坡比(B51,D51)</f>
        <v>2200</v>
      </c>
      <c r="J51" s="14" t="str">
        <f t="shared" si="0"/>
        <v/>
      </c>
      <c r="K51" s="13">
        <v>5.2</v>
      </c>
      <c r="L51" s="13" t="s">
        <v>30</v>
      </c>
      <c r="M51" s="13"/>
      <c r="N51" s="13"/>
      <c r="O51" s="13">
        <v>0.77</v>
      </c>
    </row>
    <row r="52" spans="1:18">
      <c r="A52" s="15" t="s">
        <v>98</v>
      </c>
      <c r="B52" s="12" t="s">
        <v>26</v>
      </c>
      <c r="C52" s="13" t="s">
        <v>27</v>
      </c>
      <c r="D52" s="13" t="s">
        <v>28</v>
      </c>
      <c r="E52" s="4">
        <v>452750.4215</v>
      </c>
      <c r="F52" s="4">
        <v>3393230.3213</v>
      </c>
      <c r="G52" s="13">
        <v>38</v>
      </c>
      <c r="H52" s="13" t="s">
        <v>29</v>
      </c>
      <c r="I52" s="13" cm="1">
        <f t="array" ref="I52">各流量段建筑物坡比(B52,D52)</f>
        <v>6000</v>
      </c>
      <c r="J52" s="14">
        <f t="shared" si="0"/>
        <v>0</v>
      </c>
      <c r="K52" s="13">
        <v>6.9</v>
      </c>
    </row>
    <row r="53" spans="1:18">
      <c r="A53" s="12" t="s">
        <v>99</v>
      </c>
      <c r="B53" s="12" t="s">
        <v>26</v>
      </c>
      <c r="C53" s="13" t="s">
        <v>27</v>
      </c>
      <c r="D53" s="13" t="s">
        <v>28</v>
      </c>
      <c r="E53" s="4">
        <v>452865.7405</v>
      </c>
      <c r="F53" s="4">
        <v>3393206.2313</v>
      </c>
      <c r="G53" s="13">
        <v>38</v>
      </c>
      <c r="H53" s="13" t="s">
        <v>29</v>
      </c>
      <c r="I53" s="13" cm="1">
        <f t="array" ref="I53">各流量段建筑物坡比(B53,D53)</f>
        <v>6000</v>
      </c>
      <c r="J53" s="14">
        <f t="shared" si="0"/>
        <v>0</v>
      </c>
      <c r="K53" s="13">
        <v>6.9</v>
      </c>
    </row>
    <row r="54" spans="1:18">
      <c r="A54" s="15" t="s">
        <v>100</v>
      </c>
      <c r="B54" s="12" t="s">
        <v>26</v>
      </c>
      <c r="C54" s="2" t="s">
        <v>96</v>
      </c>
      <c r="D54" s="13" t="s">
        <v>35</v>
      </c>
      <c r="E54" s="4">
        <v>452904.5113</v>
      </c>
      <c r="F54" s="4">
        <v>3393138.7046</v>
      </c>
      <c r="G54" s="13">
        <v>38</v>
      </c>
      <c r="H54" s="13" t="s">
        <v>29</v>
      </c>
      <c r="I54" s="13" cm="1">
        <f t="array" ref="I54">各流量段建筑物坡比(B54,D54)</f>
        <v>2500</v>
      </c>
      <c r="J54" s="14" t="str">
        <f t="shared" si="0"/>
        <v/>
      </c>
      <c r="K54" s="16">
        <v>5.2</v>
      </c>
      <c r="L54" s="16" t="s">
        <v>30</v>
      </c>
      <c r="M54" s="16" t="s">
        <v>30</v>
      </c>
      <c r="N54" s="16" t="s">
        <v>30</v>
      </c>
      <c r="O54" s="16" t="s">
        <v>30</v>
      </c>
      <c r="P54" s="16" t="s">
        <v>30</v>
      </c>
      <c r="Q54" s="16" t="s">
        <v>30</v>
      </c>
      <c r="R54" s="16">
        <v>180</v>
      </c>
    </row>
    <row r="55" spans="1:18">
      <c r="A55" s="12" t="s">
        <v>101</v>
      </c>
      <c r="B55" s="12" t="s">
        <v>26</v>
      </c>
      <c r="C55" s="2" t="s">
        <v>96</v>
      </c>
      <c r="D55" s="13" t="s">
        <v>35</v>
      </c>
      <c r="E55" s="4">
        <v>452922.8022</v>
      </c>
      <c r="F55" s="4">
        <v>3393106.8476</v>
      </c>
      <c r="G55" s="13">
        <v>38</v>
      </c>
      <c r="H55" s="13" t="s">
        <v>29</v>
      </c>
      <c r="I55" s="13" cm="1">
        <f t="array" ref="I55">各流量段建筑物坡比(B55,D55)</f>
        <v>2500</v>
      </c>
      <c r="J55" s="14" t="str">
        <f t="shared" si="0"/>
        <v/>
      </c>
      <c r="K55" s="16">
        <v>5.2</v>
      </c>
      <c r="L55" s="16" t="s">
        <v>30</v>
      </c>
      <c r="M55" s="16" t="s">
        <v>30</v>
      </c>
      <c r="N55" s="16" t="s">
        <v>30</v>
      </c>
      <c r="O55" s="16" t="s">
        <v>30</v>
      </c>
      <c r="P55" s="16" t="s">
        <v>30</v>
      </c>
      <c r="Q55" s="16" t="s">
        <v>30</v>
      </c>
      <c r="R55" s="16">
        <v>180</v>
      </c>
    </row>
    <row r="56" spans="1:18">
      <c r="A56" s="15" t="s">
        <v>102</v>
      </c>
      <c r="B56" s="12" t="s">
        <v>26</v>
      </c>
      <c r="C56" s="2" t="s">
        <v>96</v>
      </c>
      <c r="D56" s="13" t="s">
        <v>35</v>
      </c>
      <c r="E56" s="4">
        <v>452891.9637</v>
      </c>
      <c r="F56" s="4">
        <v>3393029.3385</v>
      </c>
      <c r="G56" s="13">
        <v>38</v>
      </c>
      <c r="H56" s="13" t="s">
        <v>29</v>
      </c>
      <c r="I56" s="13" cm="1">
        <f t="array" ref="I56">各流量段建筑物坡比(B56,D56)</f>
        <v>2500</v>
      </c>
      <c r="J56" s="14" t="str">
        <f t="shared" si="0"/>
        <v/>
      </c>
      <c r="K56" s="16">
        <v>5.2</v>
      </c>
      <c r="L56" s="16" t="s">
        <v>30</v>
      </c>
      <c r="M56" s="16" t="s">
        <v>30</v>
      </c>
      <c r="N56" s="16" t="s">
        <v>30</v>
      </c>
      <c r="O56" s="16" t="s">
        <v>30</v>
      </c>
      <c r="P56" s="16" t="s">
        <v>30</v>
      </c>
      <c r="Q56" s="16" t="s">
        <v>30</v>
      </c>
      <c r="R56" s="16">
        <v>180</v>
      </c>
    </row>
    <row r="57" spans="1:18">
      <c r="A57" s="12" t="s">
        <v>103</v>
      </c>
      <c r="B57" s="12" t="s">
        <v>26</v>
      </c>
      <c r="C57" s="13" t="s">
        <v>27</v>
      </c>
      <c r="D57" s="13" t="s">
        <v>28</v>
      </c>
      <c r="E57" s="4">
        <v>452871.8398</v>
      </c>
      <c r="F57" s="4">
        <v>3392978.7594</v>
      </c>
      <c r="G57" s="13">
        <v>38</v>
      </c>
      <c r="H57" s="13" t="s">
        <v>29</v>
      </c>
      <c r="I57" s="13" cm="1">
        <f t="array" ref="I57">各流量段建筑物坡比(B57,D57)</f>
        <v>6000</v>
      </c>
      <c r="J57" s="14">
        <f t="shared" si="0"/>
        <v>0</v>
      </c>
      <c r="K57" s="13">
        <v>6.9</v>
      </c>
    </row>
    <row r="58" spans="1:18">
      <c r="A58" s="15" t="s">
        <v>104</v>
      </c>
      <c r="B58" s="12" t="s">
        <v>26</v>
      </c>
      <c r="C58" s="13" t="s">
        <v>27</v>
      </c>
      <c r="D58" s="13" t="s">
        <v>28</v>
      </c>
      <c r="E58" s="4">
        <v>452900.8982</v>
      </c>
      <c r="F58" s="4">
        <v>3392851.4753</v>
      </c>
      <c r="G58" s="13">
        <v>38</v>
      </c>
      <c r="H58" s="13" t="s">
        <v>29</v>
      </c>
      <c r="I58" s="13" cm="1">
        <f t="array" ref="I58">各流量段建筑物坡比(B58,D58)</f>
        <v>6000</v>
      </c>
      <c r="J58" s="14">
        <f t="shared" si="0"/>
        <v>0</v>
      </c>
      <c r="K58" s="13">
        <v>6.9</v>
      </c>
    </row>
    <row r="59" spans="1:18">
      <c r="A59" s="12" t="s">
        <v>105</v>
      </c>
      <c r="B59" s="12" t="s">
        <v>26</v>
      </c>
      <c r="C59" s="13" t="s">
        <v>27</v>
      </c>
      <c r="D59" s="13" t="s">
        <v>28</v>
      </c>
      <c r="E59" s="4">
        <v>452955.8249</v>
      </c>
      <c r="F59" s="4">
        <v>3392810.5601</v>
      </c>
      <c r="G59" s="13">
        <v>38</v>
      </c>
      <c r="H59" s="13" t="s">
        <v>29</v>
      </c>
      <c r="I59" s="13" cm="1">
        <f t="array" ref="I59">各流量段建筑物坡比(B59,D59)</f>
        <v>6000</v>
      </c>
      <c r="J59" s="14">
        <f t="shared" si="0"/>
        <v>0</v>
      </c>
      <c r="K59" s="13">
        <v>6.9</v>
      </c>
    </row>
    <row r="60" spans="1:18">
      <c r="A60" s="15" t="s">
        <v>106</v>
      </c>
      <c r="B60" s="12" t="s">
        <v>26</v>
      </c>
      <c r="C60" s="13" t="s">
        <v>27</v>
      </c>
      <c r="D60" s="13" t="s">
        <v>28</v>
      </c>
      <c r="E60" s="4">
        <v>452967.8393</v>
      </c>
      <c r="F60" s="4">
        <v>3392729.8052</v>
      </c>
      <c r="G60" s="13">
        <v>38</v>
      </c>
      <c r="H60" s="13" t="s">
        <v>29</v>
      </c>
      <c r="I60" s="13" cm="1">
        <f t="array" ref="I60">各流量段建筑物坡比(B60,D60)</f>
        <v>6000</v>
      </c>
      <c r="J60" s="14">
        <f t="shared" si="0"/>
        <v>0</v>
      </c>
      <c r="K60" s="13">
        <v>6.9</v>
      </c>
    </row>
    <row r="61" spans="1:18">
      <c r="A61" s="12" t="s">
        <v>107</v>
      </c>
      <c r="B61" s="12" t="s">
        <v>26</v>
      </c>
      <c r="C61" s="2" t="s">
        <v>108</v>
      </c>
      <c r="D61" s="16" t="s">
        <v>47</v>
      </c>
      <c r="E61" s="4">
        <v>453079.7429</v>
      </c>
      <c r="F61" s="4">
        <v>3392657.6115</v>
      </c>
      <c r="G61" s="13">
        <v>38</v>
      </c>
      <c r="H61" s="13" t="s">
        <v>29</v>
      </c>
      <c r="I61" s="13" cm="1">
        <f t="array" ref="I61">各流量段建筑物坡比(B61,D61)</f>
        <v>2200</v>
      </c>
      <c r="J61" s="14" t="str">
        <f t="shared" si="0"/>
        <v/>
      </c>
      <c r="K61" s="13">
        <v>5.2</v>
      </c>
      <c r="L61" s="13" t="s">
        <v>30</v>
      </c>
      <c r="M61" s="13"/>
      <c r="N61" s="13"/>
      <c r="O61" s="13">
        <v>0.77</v>
      </c>
    </row>
    <row r="62" spans="1:18">
      <c r="A62" s="15" t="s">
        <v>109</v>
      </c>
      <c r="B62" s="12" t="s">
        <v>26</v>
      </c>
      <c r="C62" s="2" t="s">
        <v>108</v>
      </c>
      <c r="D62" s="16" t="s">
        <v>47</v>
      </c>
      <c r="E62" s="4">
        <v>453282.0086</v>
      </c>
      <c r="F62" s="4">
        <v>3392527.1214</v>
      </c>
      <c r="G62" s="13">
        <v>38</v>
      </c>
      <c r="H62" s="13" t="s">
        <v>29</v>
      </c>
      <c r="I62" s="13" cm="1">
        <f t="array" ref="I62">各流量段建筑物坡比(B62,D62)</f>
        <v>2200</v>
      </c>
      <c r="J62" s="14" t="str">
        <f t="shared" si="0"/>
        <v/>
      </c>
      <c r="K62" s="13">
        <v>5.2</v>
      </c>
      <c r="L62" s="13" t="s">
        <v>30</v>
      </c>
      <c r="M62" s="13"/>
      <c r="N62" s="13"/>
      <c r="O62" s="13">
        <v>0.77</v>
      </c>
    </row>
    <row r="63" spans="1:18">
      <c r="A63" s="12" t="s">
        <v>110</v>
      </c>
      <c r="B63" s="12" t="s">
        <v>26</v>
      </c>
      <c r="C63" s="13" t="s">
        <v>27</v>
      </c>
      <c r="D63" s="13" t="s">
        <v>28</v>
      </c>
      <c r="E63" s="4">
        <v>453293.3141</v>
      </c>
      <c r="F63" s="4">
        <v>3392519.8278</v>
      </c>
      <c r="G63" s="13">
        <v>38</v>
      </c>
      <c r="H63" s="13" t="s">
        <v>29</v>
      </c>
      <c r="I63" s="13" cm="1">
        <f t="array" ref="I63">各流量段建筑物坡比(B63,D63)</f>
        <v>6000</v>
      </c>
      <c r="J63" s="14">
        <f t="shared" si="0"/>
        <v>0</v>
      </c>
      <c r="K63" s="13">
        <v>6.9</v>
      </c>
    </row>
    <row r="64" spans="1:18">
      <c r="A64" s="15" t="s">
        <v>111</v>
      </c>
      <c r="B64" s="12" t="s">
        <v>26</v>
      </c>
      <c r="C64" s="13" t="s">
        <v>27</v>
      </c>
      <c r="D64" s="13" t="s">
        <v>28</v>
      </c>
      <c r="E64" s="4">
        <v>453406.423</v>
      </c>
      <c r="F64" s="4">
        <v>3392500.0149</v>
      </c>
      <c r="G64" s="13">
        <v>38</v>
      </c>
      <c r="H64" s="13" t="s">
        <v>29</v>
      </c>
      <c r="I64" s="13" cm="1">
        <f t="array" ref="I64">各流量段建筑物坡比(B64,D64)</f>
        <v>6000</v>
      </c>
      <c r="J64" s="14">
        <f t="shared" si="0"/>
        <v>0</v>
      </c>
      <c r="K64" s="13">
        <v>6.9</v>
      </c>
    </row>
    <row r="65" spans="1:15">
      <c r="A65" s="12" t="s">
        <v>112</v>
      </c>
      <c r="B65" s="12" t="s">
        <v>26</v>
      </c>
      <c r="C65" s="13" t="s">
        <v>27</v>
      </c>
      <c r="D65" s="13" t="s">
        <v>28</v>
      </c>
      <c r="E65" s="4">
        <v>453455.9112</v>
      </c>
      <c r="F65" s="4">
        <v>3392340.3717</v>
      </c>
      <c r="G65" s="13">
        <v>38</v>
      </c>
      <c r="H65" s="13" t="s">
        <v>29</v>
      </c>
      <c r="I65" s="13" cm="1">
        <f t="array" ref="I65">各流量段建筑物坡比(B65,D65)</f>
        <v>6000</v>
      </c>
      <c r="J65" s="14">
        <f t="shared" si="0"/>
        <v>0</v>
      </c>
      <c r="K65" s="13">
        <v>6.9</v>
      </c>
    </row>
    <row r="66" spans="1:15">
      <c r="A66" s="15" t="s">
        <v>113</v>
      </c>
      <c r="B66" s="12" t="s">
        <v>26</v>
      </c>
      <c r="C66" s="13" t="s">
        <v>27</v>
      </c>
      <c r="D66" s="13" t="s">
        <v>28</v>
      </c>
      <c r="E66" s="4">
        <v>453564.0533</v>
      </c>
      <c r="F66" s="4">
        <v>3392311.1476</v>
      </c>
      <c r="G66" s="13">
        <v>38</v>
      </c>
      <c r="H66" s="13" t="s">
        <v>29</v>
      </c>
      <c r="I66" s="13" cm="1">
        <f t="array" ref="I66">各流量段建筑物坡比(B66,D66)</f>
        <v>6000</v>
      </c>
      <c r="J66" s="14">
        <f t="shared" si="0"/>
        <v>0</v>
      </c>
      <c r="K66" s="13">
        <v>6.9</v>
      </c>
    </row>
    <row r="67" spans="1:15">
      <c r="A67" s="12" t="s">
        <v>114</v>
      </c>
      <c r="B67" s="12" t="s">
        <v>26</v>
      </c>
      <c r="C67" s="2" t="s">
        <v>115</v>
      </c>
      <c r="D67" s="16" t="s">
        <v>81</v>
      </c>
      <c r="E67" s="4">
        <v>453584.7811</v>
      </c>
      <c r="F67" s="4">
        <v>3392291.2298</v>
      </c>
      <c r="G67" s="13">
        <v>38</v>
      </c>
      <c r="H67" s="13" t="s">
        <v>29</v>
      </c>
      <c r="I67" s="13" t="str" cm="1">
        <f t="array" ref="I67">各流量段建筑物坡比(B67,D67)</f>
        <v/>
      </c>
      <c r="J67" s="14" t="str">
        <f t="shared" si="0"/>
        <v/>
      </c>
    </row>
    <row r="68" spans="1:15">
      <c r="A68" s="15" t="s">
        <v>116</v>
      </c>
      <c r="B68" s="12" t="s">
        <v>26</v>
      </c>
      <c r="C68" s="2" t="s">
        <v>115</v>
      </c>
      <c r="D68" s="16" t="s">
        <v>81</v>
      </c>
      <c r="E68" s="4">
        <v>453690.0395</v>
      </c>
      <c r="F68" s="4">
        <v>3392190.0841</v>
      </c>
      <c r="G68" s="13">
        <v>38</v>
      </c>
      <c r="H68" s="13" t="s">
        <v>29</v>
      </c>
      <c r="I68" s="13" t="str" cm="1">
        <f t="array" ref="I68">各流量段建筑物坡比(B68,D68)</f>
        <v/>
      </c>
      <c r="J68" s="14" t="str">
        <f t="shared" ref="J68:J131" si="1">IF(C68="-",IF(ISNUMBER(SEARCH("矩形",D68)),0,IF(ISNUMBER(SEARCH("梯形",D68)),1.5,"")),"")</f>
        <v/>
      </c>
    </row>
    <row r="69" spans="1:15">
      <c r="A69" s="12" t="s">
        <v>117</v>
      </c>
      <c r="B69" s="12" t="s">
        <v>26</v>
      </c>
      <c r="C69" s="2" t="s">
        <v>115</v>
      </c>
      <c r="D69" s="16" t="s">
        <v>81</v>
      </c>
      <c r="E69" s="4">
        <v>453919.1821</v>
      </c>
      <c r="F69" s="4">
        <v>3392211.7643</v>
      </c>
      <c r="G69" s="13">
        <v>38</v>
      </c>
      <c r="H69" s="13" t="s">
        <v>29</v>
      </c>
      <c r="I69" s="13" t="str" cm="1">
        <f t="array" ref="I69">各流量段建筑物坡比(B69,D69)</f>
        <v/>
      </c>
      <c r="J69" s="14" t="str">
        <f t="shared" si="1"/>
        <v/>
      </c>
    </row>
    <row r="70" spans="1:15">
      <c r="A70" s="15" t="s">
        <v>118</v>
      </c>
      <c r="B70" s="12" t="s">
        <v>26</v>
      </c>
      <c r="C70" s="2" t="s">
        <v>115</v>
      </c>
      <c r="D70" s="16" t="s">
        <v>81</v>
      </c>
      <c r="E70" s="4">
        <v>454680.7167</v>
      </c>
      <c r="F70" s="4">
        <v>3391697.2134</v>
      </c>
      <c r="G70" s="13">
        <v>38</v>
      </c>
      <c r="H70" s="13" t="s">
        <v>29</v>
      </c>
      <c r="I70" s="13" t="str" cm="1">
        <f t="array" ref="I70">各流量段建筑物坡比(B70,D70)</f>
        <v/>
      </c>
      <c r="J70" s="14" t="str">
        <f t="shared" si="1"/>
        <v/>
      </c>
    </row>
    <row r="71" spans="1:15">
      <c r="A71" s="12" t="s">
        <v>119</v>
      </c>
      <c r="B71" s="12" t="s">
        <v>26</v>
      </c>
      <c r="C71" s="2" t="s">
        <v>115</v>
      </c>
      <c r="D71" s="16" t="s">
        <v>81</v>
      </c>
      <c r="E71" s="4">
        <v>455323.834</v>
      </c>
      <c r="F71" s="4">
        <v>3391458.0118</v>
      </c>
      <c r="G71" s="13">
        <v>38</v>
      </c>
      <c r="H71" s="13" t="s">
        <v>29</v>
      </c>
      <c r="I71" s="13" t="str" cm="1">
        <f t="array" ref="I71">各流量段建筑物坡比(B71,D71)</f>
        <v/>
      </c>
      <c r="J71" s="14" t="str">
        <f t="shared" si="1"/>
        <v/>
      </c>
    </row>
    <row r="72" spans="1:15">
      <c r="A72" s="15" t="s">
        <v>120</v>
      </c>
      <c r="B72" s="12" t="s">
        <v>26</v>
      </c>
      <c r="C72" s="2" t="s">
        <v>115</v>
      </c>
      <c r="D72" s="16" t="s">
        <v>81</v>
      </c>
      <c r="E72" s="4">
        <v>455357.5071</v>
      </c>
      <c r="F72" s="4">
        <v>3391327.9196</v>
      </c>
      <c r="G72" s="13">
        <v>38</v>
      </c>
      <c r="H72" s="13" t="s">
        <v>29</v>
      </c>
      <c r="I72" s="13" t="str" cm="1">
        <f t="array" ref="I72">各流量段建筑物坡比(B72,D72)</f>
        <v/>
      </c>
      <c r="J72" s="14" t="str">
        <f t="shared" si="1"/>
        <v/>
      </c>
    </row>
    <row r="73" spans="1:15">
      <c r="A73" s="12" t="s">
        <v>121</v>
      </c>
      <c r="B73" s="12" t="s">
        <v>26</v>
      </c>
      <c r="C73" s="2" t="s">
        <v>115</v>
      </c>
      <c r="D73" s="16" t="s">
        <v>81</v>
      </c>
      <c r="E73" s="4">
        <v>455428.4972</v>
      </c>
      <c r="F73" s="4">
        <v>3391244.5485</v>
      </c>
      <c r="G73" s="13">
        <v>38</v>
      </c>
      <c r="H73" s="13" t="s">
        <v>29</v>
      </c>
      <c r="I73" s="13" t="str" cm="1">
        <f t="array" ref="I73">各流量段建筑物坡比(B73,D73)</f>
        <v/>
      </c>
      <c r="J73" s="14" t="str">
        <f t="shared" si="1"/>
        <v/>
      </c>
    </row>
    <row r="74" spans="1:15">
      <c r="A74" s="15" t="s">
        <v>122</v>
      </c>
      <c r="B74" s="12" t="s">
        <v>26</v>
      </c>
      <c r="C74" s="2" t="s">
        <v>115</v>
      </c>
      <c r="D74" s="16" t="s">
        <v>81</v>
      </c>
      <c r="E74" s="4">
        <v>455557.9706</v>
      </c>
      <c r="F74" s="4">
        <v>3391168.243</v>
      </c>
      <c r="G74" s="13">
        <v>38</v>
      </c>
      <c r="H74" s="13" t="s">
        <v>29</v>
      </c>
      <c r="I74" s="13" t="str" cm="1">
        <f t="array" ref="I74">各流量段建筑物坡比(B74,D74)</f>
        <v/>
      </c>
      <c r="J74" s="14" t="str">
        <f t="shared" si="1"/>
        <v/>
      </c>
    </row>
    <row r="75" spans="1:15">
      <c r="A75" s="12" t="s">
        <v>123</v>
      </c>
      <c r="B75" s="12" t="s">
        <v>26</v>
      </c>
      <c r="C75" s="2" t="s">
        <v>115</v>
      </c>
      <c r="D75" s="16" t="s">
        <v>81</v>
      </c>
      <c r="E75" s="4">
        <v>455565.152</v>
      </c>
      <c r="F75" s="4">
        <v>3391161.6881</v>
      </c>
      <c r="G75" s="13">
        <v>38</v>
      </c>
      <c r="H75" s="13" t="s">
        <v>29</v>
      </c>
      <c r="I75" s="13" t="str" cm="1">
        <f t="array" ref="I75">各流量段建筑物坡比(B75,D75)</f>
        <v/>
      </c>
      <c r="J75" s="14" t="str">
        <f t="shared" si="1"/>
        <v/>
      </c>
    </row>
    <row r="76" spans="1:15">
      <c r="A76" s="15" t="s">
        <v>124</v>
      </c>
      <c r="B76" s="12" t="s">
        <v>26</v>
      </c>
      <c r="C76" s="2" t="s">
        <v>125</v>
      </c>
      <c r="D76" s="2" t="s">
        <v>44</v>
      </c>
      <c r="E76" s="4">
        <v>455589.9069</v>
      </c>
      <c r="F76" s="4">
        <v>3391139.0913</v>
      </c>
      <c r="G76" s="13">
        <v>38</v>
      </c>
      <c r="H76" s="13" t="s">
        <v>29</v>
      </c>
      <c r="I76" s="13" t="str" cm="1">
        <f t="array" ref="I76">各流量段建筑物坡比(B76,D76)</f>
        <v/>
      </c>
      <c r="J76" s="14" t="str">
        <f t="shared" si="1"/>
        <v/>
      </c>
    </row>
    <row r="77" spans="1:15">
      <c r="A77" s="12" t="s">
        <v>126</v>
      </c>
      <c r="B77" s="12" t="s">
        <v>26</v>
      </c>
      <c r="C77" s="2" t="s">
        <v>125</v>
      </c>
      <c r="D77" s="2" t="s">
        <v>44</v>
      </c>
      <c r="E77" s="4">
        <v>455589.9069</v>
      </c>
      <c r="F77" s="4">
        <v>3391139.0913</v>
      </c>
      <c r="G77" s="13">
        <v>38</v>
      </c>
      <c r="H77" s="13" t="s">
        <v>29</v>
      </c>
      <c r="I77" s="13" t="str" cm="1">
        <f t="array" ref="I77">各流量段建筑物坡比(B77,D77)</f>
        <v/>
      </c>
      <c r="J77" s="14" t="str">
        <f t="shared" si="1"/>
        <v/>
      </c>
    </row>
    <row r="78" spans="1:15">
      <c r="A78" s="15" t="s">
        <v>127</v>
      </c>
      <c r="B78" s="12" t="s">
        <v>26</v>
      </c>
      <c r="C78" s="2" t="s">
        <v>125</v>
      </c>
      <c r="D78" s="16" t="s">
        <v>47</v>
      </c>
      <c r="E78" s="4">
        <v>455619.132</v>
      </c>
      <c r="F78" s="4">
        <v>3391112.414</v>
      </c>
      <c r="G78" s="13">
        <v>38</v>
      </c>
      <c r="H78" s="13" t="s">
        <v>29</v>
      </c>
      <c r="I78" s="13" cm="1">
        <f t="array" ref="I78">各流量段建筑物坡比(B78,D78)</f>
        <v>2200</v>
      </c>
      <c r="J78" s="14" t="str">
        <f t="shared" si="1"/>
        <v/>
      </c>
      <c r="K78" s="13">
        <v>5.2</v>
      </c>
      <c r="L78" s="13" t="s">
        <v>30</v>
      </c>
      <c r="M78" s="13"/>
      <c r="N78" s="13"/>
      <c r="O78" s="13">
        <v>0.77</v>
      </c>
    </row>
    <row r="79" spans="1:15">
      <c r="A79" s="12" t="s">
        <v>128</v>
      </c>
      <c r="B79" s="12" t="s">
        <v>26</v>
      </c>
      <c r="C79" s="2" t="s">
        <v>125</v>
      </c>
      <c r="D79" s="16" t="s">
        <v>47</v>
      </c>
      <c r="E79" s="4">
        <v>455660.571</v>
      </c>
      <c r="F79" s="4">
        <v>3391074.5876</v>
      </c>
      <c r="G79" s="13">
        <v>38</v>
      </c>
      <c r="H79" s="13" t="s">
        <v>29</v>
      </c>
      <c r="I79" s="13" cm="1">
        <f t="array" ref="I79">各流量段建筑物坡比(B79,D79)</f>
        <v>2200</v>
      </c>
      <c r="J79" s="14" t="str">
        <f t="shared" si="1"/>
        <v/>
      </c>
      <c r="K79" s="13">
        <v>5.2</v>
      </c>
      <c r="L79" s="13" t="s">
        <v>30</v>
      </c>
      <c r="M79" s="13"/>
      <c r="N79" s="13"/>
      <c r="O79" s="13">
        <v>0.77</v>
      </c>
    </row>
    <row r="80" spans="1:15">
      <c r="A80" s="15" t="s">
        <v>129</v>
      </c>
      <c r="B80" s="12" t="s">
        <v>26</v>
      </c>
      <c r="C80" s="2" t="s">
        <v>125</v>
      </c>
      <c r="D80" s="16" t="s">
        <v>47</v>
      </c>
      <c r="E80" s="4">
        <v>455743.1634</v>
      </c>
      <c r="F80" s="4">
        <v>3390869.0748</v>
      </c>
      <c r="G80" s="13">
        <v>38</v>
      </c>
      <c r="H80" s="13" t="s">
        <v>29</v>
      </c>
      <c r="I80" s="13" cm="1">
        <f t="array" ref="I80">各流量段建筑物坡比(B80,D80)</f>
        <v>2200</v>
      </c>
      <c r="J80" s="14" t="str">
        <f t="shared" si="1"/>
        <v/>
      </c>
      <c r="K80" s="13">
        <v>5.2</v>
      </c>
      <c r="L80" s="13" t="s">
        <v>30</v>
      </c>
      <c r="M80" s="13"/>
      <c r="N80" s="13"/>
      <c r="O80" s="13">
        <v>0.77</v>
      </c>
    </row>
    <row r="81" spans="1:15">
      <c r="A81" s="12" t="s">
        <v>130</v>
      </c>
      <c r="B81" s="12" t="s">
        <v>26</v>
      </c>
      <c r="C81" s="2" t="s">
        <v>125</v>
      </c>
      <c r="D81" s="16" t="s">
        <v>47</v>
      </c>
      <c r="E81" s="4">
        <v>456407.9626</v>
      </c>
      <c r="F81" s="4">
        <v>3390625.9498</v>
      </c>
      <c r="G81" s="13">
        <v>38</v>
      </c>
      <c r="H81" s="13" t="s">
        <v>29</v>
      </c>
      <c r="I81" s="13" cm="1">
        <f t="array" ref="I81">各流量段建筑物坡比(B81,D81)</f>
        <v>2200</v>
      </c>
      <c r="J81" s="14" t="str">
        <f t="shared" si="1"/>
        <v/>
      </c>
      <c r="K81" s="13">
        <v>5.2</v>
      </c>
      <c r="L81" s="13" t="s">
        <v>30</v>
      </c>
      <c r="M81" s="13"/>
      <c r="N81" s="13"/>
      <c r="O81" s="13">
        <v>0.77</v>
      </c>
    </row>
    <row r="82" spans="1:15">
      <c r="A82" s="15" t="s">
        <v>131</v>
      </c>
      <c r="B82" s="12" t="s">
        <v>26</v>
      </c>
      <c r="C82" s="2" t="s">
        <v>125</v>
      </c>
      <c r="D82" s="16" t="s">
        <v>47</v>
      </c>
      <c r="E82" s="4">
        <v>456638.225</v>
      </c>
      <c r="F82" s="4">
        <v>3390401.2871</v>
      </c>
      <c r="G82" s="13">
        <v>38</v>
      </c>
      <c r="H82" s="13" t="s">
        <v>29</v>
      </c>
      <c r="I82" s="13" cm="1">
        <f t="array" ref="I82">各流量段建筑物坡比(B82,D82)</f>
        <v>2200</v>
      </c>
      <c r="J82" s="14" t="str">
        <f t="shared" si="1"/>
        <v/>
      </c>
      <c r="K82" s="13">
        <v>5.2</v>
      </c>
      <c r="L82" s="13" t="s">
        <v>30</v>
      </c>
      <c r="M82" s="13"/>
      <c r="N82" s="13"/>
      <c r="O82" s="13">
        <v>0.77</v>
      </c>
    </row>
    <row r="83" spans="1:15">
      <c r="A83" s="12" t="s">
        <v>132</v>
      </c>
      <c r="B83" s="12" t="s">
        <v>26</v>
      </c>
      <c r="C83" s="2" t="s">
        <v>125</v>
      </c>
      <c r="D83" s="16" t="s">
        <v>47</v>
      </c>
      <c r="E83" s="4">
        <v>456773.1372</v>
      </c>
      <c r="F83" s="4">
        <v>3390348.4419</v>
      </c>
      <c r="G83" s="13">
        <v>38</v>
      </c>
      <c r="H83" s="13" t="s">
        <v>29</v>
      </c>
      <c r="I83" s="13" cm="1">
        <f t="array" ref="I83">各流量段建筑物坡比(B83,D83)</f>
        <v>2200</v>
      </c>
      <c r="J83" s="14" t="str">
        <f t="shared" si="1"/>
        <v/>
      </c>
      <c r="K83" s="13">
        <v>5.2</v>
      </c>
      <c r="L83" s="13" t="s">
        <v>30</v>
      </c>
      <c r="M83" s="13"/>
      <c r="N83" s="13"/>
      <c r="O83" s="13">
        <v>0.77</v>
      </c>
    </row>
    <row r="84" spans="1:15">
      <c r="A84" s="15" t="s">
        <v>133</v>
      </c>
      <c r="B84" s="12" t="s">
        <v>26</v>
      </c>
      <c r="C84" s="2" t="s">
        <v>125</v>
      </c>
      <c r="D84" s="16" t="s">
        <v>47</v>
      </c>
      <c r="E84" s="4">
        <v>457019.6671</v>
      </c>
      <c r="F84" s="4">
        <v>3390170.7684</v>
      </c>
      <c r="G84" s="13">
        <v>38</v>
      </c>
      <c r="H84" s="13" t="s">
        <v>29</v>
      </c>
      <c r="I84" s="13" cm="1">
        <f t="array" ref="I84">各流量段建筑物坡比(B84,D84)</f>
        <v>2200</v>
      </c>
      <c r="J84" s="14" t="str">
        <f t="shared" si="1"/>
        <v/>
      </c>
      <c r="K84" s="13">
        <v>5.2</v>
      </c>
      <c r="L84" s="13" t="s">
        <v>30</v>
      </c>
      <c r="M84" s="13"/>
      <c r="N84" s="13"/>
      <c r="O84" s="13">
        <v>0.77</v>
      </c>
    </row>
    <row r="85" spans="1:15">
      <c r="A85" s="12" t="s">
        <v>134</v>
      </c>
      <c r="B85" s="12" t="s">
        <v>26</v>
      </c>
      <c r="C85" s="2" t="s">
        <v>125</v>
      </c>
      <c r="D85" s="16" t="s">
        <v>47</v>
      </c>
      <c r="E85" s="4">
        <v>457051.1221</v>
      </c>
      <c r="F85" s="4">
        <v>3390023.4491</v>
      </c>
      <c r="G85" s="13">
        <v>38</v>
      </c>
      <c r="H85" s="13" t="s">
        <v>29</v>
      </c>
      <c r="I85" s="13" cm="1">
        <f t="array" ref="I85">各流量段建筑物坡比(B85,D85)</f>
        <v>2200</v>
      </c>
      <c r="J85" s="14" t="str">
        <f t="shared" si="1"/>
        <v/>
      </c>
      <c r="K85" s="13">
        <v>5.2</v>
      </c>
      <c r="L85" s="13" t="s">
        <v>30</v>
      </c>
      <c r="M85" s="13"/>
      <c r="N85" s="13"/>
      <c r="O85" s="13">
        <v>0.77</v>
      </c>
    </row>
    <row r="86" spans="1:15">
      <c r="A86" s="15" t="s">
        <v>135</v>
      </c>
      <c r="B86" s="12" t="s">
        <v>26</v>
      </c>
      <c r="C86" s="2" t="s">
        <v>125</v>
      </c>
      <c r="D86" s="16" t="s">
        <v>47</v>
      </c>
      <c r="E86" s="4">
        <v>457422.3435</v>
      </c>
      <c r="F86" s="4">
        <v>3389753.1397</v>
      </c>
      <c r="G86" s="13">
        <v>38</v>
      </c>
      <c r="H86" s="13" t="s">
        <v>29</v>
      </c>
      <c r="I86" s="13" cm="1">
        <f t="array" ref="I86">各流量段建筑物坡比(B86,D86)</f>
        <v>2200</v>
      </c>
      <c r="J86" s="14" t="str">
        <f t="shared" si="1"/>
        <v/>
      </c>
      <c r="K86" s="13">
        <v>5.2</v>
      </c>
      <c r="L86" s="13" t="s">
        <v>30</v>
      </c>
      <c r="M86" s="13"/>
      <c r="N86" s="13"/>
      <c r="O86" s="13">
        <v>0.77</v>
      </c>
    </row>
    <row r="87" spans="1:15">
      <c r="A87" s="12" t="s">
        <v>136</v>
      </c>
      <c r="B87" s="12" t="s">
        <v>26</v>
      </c>
      <c r="C87" s="2" t="s">
        <v>125</v>
      </c>
      <c r="D87" s="16" t="s">
        <v>47</v>
      </c>
      <c r="E87" s="4">
        <v>457700.5573</v>
      </c>
      <c r="F87" s="4">
        <v>3389810.5718</v>
      </c>
      <c r="G87" s="13">
        <v>38</v>
      </c>
      <c r="H87" s="13" t="s">
        <v>29</v>
      </c>
      <c r="I87" s="13" cm="1">
        <f t="array" ref="I87">各流量段建筑物坡比(B87,D87)</f>
        <v>2200</v>
      </c>
      <c r="J87" s="14" t="str">
        <f t="shared" si="1"/>
        <v/>
      </c>
      <c r="K87" s="13">
        <v>5.2</v>
      </c>
      <c r="L87" s="13" t="s">
        <v>30</v>
      </c>
      <c r="M87" s="13"/>
      <c r="N87" s="13"/>
      <c r="O87" s="13">
        <v>0.77</v>
      </c>
    </row>
    <row r="88" spans="1:15">
      <c r="A88" s="15" t="s">
        <v>137</v>
      </c>
      <c r="B88" s="12" t="s">
        <v>26</v>
      </c>
      <c r="C88" s="13" t="s">
        <v>27</v>
      </c>
      <c r="D88" s="13" t="s">
        <v>28</v>
      </c>
      <c r="E88" s="4">
        <v>457885.9477</v>
      </c>
      <c r="F88" s="4">
        <v>3389848.8423</v>
      </c>
      <c r="G88" s="13">
        <v>38</v>
      </c>
      <c r="H88" s="13" t="s">
        <v>29</v>
      </c>
      <c r="I88" s="13" cm="1">
        <f t="array" ref="I88">各流量段建筑物坡比(B88,D88)</f>
        <v>6000</v>
      </c>
      <c r="J88" s="14">
        <f t="shared" si="1"/>
        <v>0</v>
      </c>
      <c r="K88" s="13">
        <v>6.9</v>
      </c>
    </row>
    <row r="89" spans="1:15">
      <c r="A89" s="12" t="s">
        <v>138</v>
      </c>
      <c r="B89" s="12" t="s">
        <v>26</v>
      </c>
      <c r="C89" s="13" t="s">
        <v>27</v>
      </c>
      <c r="D89" s="13" t="s">
        <v>28</v>
      </c>
      <c r="E89" s="4">
        <v>457963.8443</v>
      </c>
      <c r="F89" s="4">
        <v>3389924.7347</v>
      </c>
      <c r="G89" s="13">
        <v>38</v>
      </c>
      <c r="H89" s="13" t="s">
        <v>29</v>
      </c>
      <c r="I89" s="13" cm="1">
        <f t="array" ref="I89">各流量段建筑物坡比(B89,D89)</f>
        <v>6000</v>
      </c>
      <c r="J89" s="14">
        <f t="shared" si="1"/>
        <v>0</v>
      </c>
      <c r="K89" s="13">
        <v>6.9</v>
      </c>
    </row>
    <row r="90" spans="1:15">
      <c r="A90" s="15" t="s">
        <v>139</v>
      </c>
      <c r="B90" s="12" t="s">
        <v>26</v>
      </c>
      <c r="C90" s="2" t="s">
        <v>140</v>
      </c>
      <c r="D90" s="2" t="s">
        <v>44</v>
      </c>
      <c r="E90" s="4">
        <v>458095.2335</v>
      </c>
      <c r="F90" s="4">
        <v>3389934.5045</v>
      </c>
      <c r="G90" s="13">
        <v>38</v>
      </c>
      <c r="H90" s="13" t="s">
        <v>29</v>
      </c>
      <c r="I90" s="13" t="str" cm="1">
        <f t="array" ref="I90">各流量段建筑物坡比(B90,D90)</f>
        <v/>
      </c>
      <c r="J90" s="14" t="str">
        <f t="shared" si="1"/>
        <v/>
      </c>
    </row>
    <row r="91" spans="1:15">
      <c r="A91" s="12" t="s">
        <v>141</v>
      </c>
      <c r="B91" s="12" t="s">
        <v>26</v>
      </c>
      <c r="C91" s="2" t="s">
        <v>140</v>
      </c>
      <c r="D91" s="2" t="s">
        <v>44</v>
      </c>
      <c r="E91" s="4">
        <v>458095.2335</v>
      </c>
      <c r="F91" s="4">
        <v>3389934.5045</v>
      </c>
      <c r="G91" s="13">
        <v>38</v>
      </c>
      <c r="H91" s="13" t="s">
        <v>29</v>
      </c>
      <c r="I91" s="13" t="str" cm="1">
        <f t="array" ref="I91">各流量段建筑物坡比(B91,D91)</f>
        <v/>
      </c>
      <c r="J91" s="14" t="str">
        <f t="shared" si="1"/>
        <v/>
      </c>
    </row>
    <row r="92" spans="1:15">
      <c r="A92" s="15" t="s">
        <v>142</v>
      </c>
      <c r="B92" s="12" t="s">
        <v>26</v>
      </c>
      <c r="C92" s="2" t="s">
        <v>140</v>
      </c>
      <c r="D92" s="16" t="s">
        <v>47</v>
      </c>
      <c r="E92" s="4">
        <v>458118.7017</v>
      </c>
      <c r="F92" s="4">
        <v>3389936.2495</v>
      </c>
      <c r="G92" s="13">
        <v>38</v>
      </c>
      <c r="H92" s="13" t="s">
        <v>29</v>
      </c>
      <c r="I92" s="13" cm="1">
        <f t="array" ref="I92">各流量段建筑物坡比(B92,D92)</f>
        <v>2200</v>
      </c>
      <c r="J92" s="14" t="str">
        <f t="shared" si="1"/>
        <v/>
      </c>
      <c r="K92" s="13">
        <v>5.2</v>
      </c>
      <c r="L92" s="13" t="s">
        <v>30</v>
      </c>
      <c r="M92" s="13"/>
      <c r="N92" s="13"/>
      <c r="O92" s="13">
        <v>0.77</v>
      </c>
    </row>
    <row r="93" spans="1:15">
      <c r="A93" s="12" t="s">
        <v>143</v>
      </c>
      <c r="B93" s="12" t="s">
        <v>26</v>
      </c>
      <c r="C93" s="2" t="s">
        <v>140</v>
      </c>
      <c r="D93" s="16" t="s">
        <v>47</v>
      </c>
      <c r="E93" s="4">
        <v>458198.2413</v>
      </c>
      <c r="F93" s="4">
        <v>3389942.1639</v>
      </c>
      <c r="G93" s="13">
        <v>38</v>
      </c>
      <c r="H93" s="13" t="s">
        <v>29</v>
      </c>
      <c r="I93" s="13" cm="1">
        <f t="array" ref="I93">各流量段建筑物坡比(B93,D93)</f>
        <v>2200</v>
      </c>
      <c r="J93" s="14" t="str">
        <f t="shared" si="1"/>
        <v/>
      </c>
      <c r="K93" s="13">
        <v>5.2</v>
      </c>
      <c r="L93" s="13" t="s">
        <v>30</v>
      </c>
      <c r="M93" s="13"/>
      <c r="N93" s="13"/>
      <c r="O93" s="13">
        <v>0.77</v>
      </c>
    </row>
    <row r="94" spans="1:15">
      <c r="A94" s="15" t="s">
        <v>144</v>
      </c>
      <c r="B94" s="12" t="s">
        <v>26</v>
      </c>
      <c r="C94" s="2" t="s">
        <v>140</v>
      </c>
      <c r="D94" s="16" t="s">
        <v>47</v>
      </c>
      <c r="E94" s="4">
        <v>458362.46</v>
      </c>
      <c r="F94" s="4">
        <v>3389894.2</v>
      </c>
      <c r="G94" s="13">
        <v>38</v>
      </c>
      <c r="H94" s="13" t="s">
        <v>29</v>
      </c>
      <c r="I94" s="13" cm="1">
        <f t="array" ref="I94">各流量段建筑物坡比(B94,D94)</f>
        <v>2200</v>
      </c>
      <c r="J94" s="14" t="str">
        <f t="shared" si="1"/>
        <v/>
      </c>
      <c r="K94" s="13">
        <v>5.2</v>
      </c>
      <c r="L94" s="13" t="s">
        <v>30</v>
      </c>
      <c r="M94" s="13"/>
      <c r="N94" s="13"/>
      <c r="O94" s="13">
        <v>0.77</v>
      </c>
    </row>
    <row r="95" spans="1:15">
      <c r="A95" s="12" t="s">
        <v>145</v>
      </c>
      <c r="B95" s="12" t="s">
        <v>26</v>
      </c>
      <c r="C95" s="2" t="s">
        <v>140</v>
      </c>
      <c r="D95" s="16" t="s">
        <v>47</v>
      </c>
      <c r="E95" s="4">
        <v>458514.3</v>
      </c>
      <c r="F95" s="4">
        <v>3389791.8</v>
      </c>
      <c r="G95" s="13">
        <v>38</v>
      </c>
      <c r="H95" s="13" t="s">
        <v>29</v>
      </c>
      <c r="I95" s="13" cm="1">
        <f t="array" ref="I95">各流量段建筑物坡比(B95,D95)</f>
        <v>2200</v>
      </c>
      <c r="J95" s="14" t="str">
        <f t="shared" si="1"/>
        <v/>
      </c>
      <c r="K95" s="13">
        <v>5.2</v>
      </c>
      <c r="L95" s="13" t="s">
        <v>30</v>
      </c>
      <c r="M95" s="13"/>
      <c r="N95" s="13"/>
      <c r="O95" s="13">
        <v>0.77</v>
      </c>
    </row>
    <row r="96" spans="1:15">
      <c r="A96" s="15" t="s">
        <v>146</v>
      </c>
      <c r="B96" s="12" t="s">
        <v>26</v>
      </c>
      <c r="C96" s="2" t="s">
        <v>140</v>
      </c>
      <c r="D96" s="16" t="s">
        <v>47</v>
      </c>
      <c r="E96" s="4">
        <v>458540.5</v>
      </c>
      <c r="F96" s="4">
        <v>3389707.1</v>
      </c>
      <c r="G96" s="13">
        <v>38</v>
      </c>
      <c r="H96" s="13" t="s">
        <v>29</v>
      </c>
      <c r="I96" s="13" cm="1">
        <f t="array" ref="I96">各流量段建筑物坡比(B96,D96)</f>
        <v>2200</v>
      </c>
      <c r="J96" s="14" t="str">
        <f t="shared" si="1"/>
        <v/>
      </c>
      <c r="K96" s="13">
        <v>5.2</v>
      </c>
      <c r="L96" s="13" t="s">
        <v>30</v>
      </c>
      <c r="M96" s="13"/>
      <c r="N96" s="13"/>
      <c r="O96" s="13">
        <v>0.77</v>
      </c>
    </row>
    <row r="97" spans="1:15">
      <c r="A97" s="12" t="s">
        <v>147</v>
      </c>
      <c r="B97" s="12" t="s">
        <v>26</v>
      </c>
      <c r="C97" s="2" t="s">
        <v>140</v>
      </c>
      <c r="D97" s="16" t="s">
        <v>47</v>
      </c>
      <c r="E97" s="4">
        <v>458731.8302</v>
      </c>
      <c r="F97" s="4">
        <v>3389612.518</v>
      </c>
      <c r="G97" s="13">
        <v>38</v>
      </c>
      <c r="H97" s="13" t="s">
        <v>29</v>
      </c>
      <c r="I97" s="13" cm="1">
        <f t="array" ref="I97">各流量段建筑物坡比(B97,D97)</f>
        <v>2200</v>
      </c>
      <c r="J97" s="14" t="str">
        <f t="shared" si="1"/>
        <v/>
      </c>
      <c r="K97" s="13">
        <v>5.2</v>
      </c>
      <c r="L97" s="13" t="s">
        <v>30</v>
      </c>
      <c r="M97" s="13"/>
      <c r="N97" s="13"/>
      <c r="O97" s="13">
        <v>0.77</v>
      </c>
    </row>
    <row r="98" spans="1:15">
      <c r="A98" s="15" t="s">
        <v>148</v>
      </c>
      <c r="B98" s="12" t="s">
        <v>26</v>
      </c>
      <c r="C98" s="13" t="s">
        <v>27</v>
      </c>
      <c r="D98" s="13" t="s">
        <v>28</v>
      </c>
      <c r="E98" s="4">
        <v>458759.6422</v>
      </c>
      <c r="F98" s="4">
        <v>3389598.7694</v>
      </c>
      <c r="G98" s="13">
        <v>38</v>
      </c>
      <c r="H98" s="13" t="s">
        <v>29</v>
      </c>
      <c r="I98" s="13" cm="1">
        <f t="array" ref="I98">各流量段建筑物坡比(B98,D98)</f>
        <v>6000</v>
      </c>
      <c r="J98" s="14">
        <f t="shared" si="1"/>
        <v>0</v>
      </c>
      <c r="K98" s="13">
        <v>6.9</v>
      </c>
    </row>
    <row r="99" spans="1:15">
      <c r="A99" s="12" t="s">
        <v>149</v>
      </c>
      <c r="B99" s="12" t="s">
        <v>26</v>
      </c>
      <c r="C99" s="2" t="s">
        <v>150</v>
      </c>
      <c r="D99" s="16" t="s">
        <v>47</v>
      </c>
      <c r="E99" s="4">
        <v>458804.4259</v>
      </c>
      <c r="F99" s="4">
        <v>3389538.656</v>
      </c>
      <c r="G99" s="13">
        <v>38</v>
      </c>
      <c r="H99" s="13" t="s">
        <v>29</v>
      </c>
      <c r="I99" s="13" cm="1">
        <f t="array" ref="I99">各流量段建筑物坡比(B99,D99)</f>
        <v>2200</v>
      </c>
      <c r="J99" s="14" t="str">
        <f t="shared" si="1"/>
        <v/>
      </c>
      <c r="K99" s="13">
        <v>5.2</v>
      </c>
      <c r="L99" s="13" t="s">
        <v>30</v>
      </c>
      <c r="M99" s="13"/>
      <c r="N99" s="13"/>
      <c r="O99" s="13">
        <v>0.77</v>
      </c>
    </row>
    <row r="100" spans="1:15">
      <c r="A100" s="15" t="s">
        <v>151</v>
      </c>
      <c r="B100" s="12" t="s">
        <v>26</v>
      </c>
      <c r="C100" s="2" t="s">
        <v>150</v>
      </c>
      <c r="D100" s="16" t="s">
        <v>47</v>
      </c>
      <c r="E100" s="4">
        <v>458836.3471</v>
      </c>
      <c r="F100" s="4">
        <v>3389495.8078</v>
      </c>
      <c r="G100" s="13">
        <v>38</v>
      </c>
      <c r="H100" s="13" t="s">
        <v>29</v>
      </c>
      <c r="I100" s="13" cm="1">
        <f t="array" ref="I100">各流量段建筑物坡比(B100,D100)</f>
        <v>2200</v>
      </c>
      <c r="J100" s="14" t="str">
        <f t="shared" si="1"/>
        <v/>
      </c>
      <c r="K100" s="13">
        <v>5.2</v>
      </c>
      <c r="L100" s="13" t="s">
        <v>30</v>
      </c>
      <c r="M100" s="13"/>
      <c r="N100" s="13"/>
      <c r="O100" s="13">
        <v>0.77</v>
      </c>
    </row>
    <row r="101" spans="1:15">
      <c r="A101" s="12" t="s">
        <v>152</v>
      </c>
      <c r="B101" s="12" t="s">
        <v>26</v>
      </c>
      <c r="C101" s="2" t="s">
        <v>150</v>
      </c>
      <c r="D101" s="16" t="s">
        <v>47</v>
      </c>
      <c r="E101" s="4">
        <v>458909.037</v>
      </c>
      <c r="F101" s="4">
        <v>3389470.9481</v>
      </c>
      <c r="G101" s="13">
        <v>38</v>
      </c>
      <c r="H101" s="13" t="s">
        <v>29</v>
      </c>
      <c r="I101" s="13" cm="1">
        <f t="array" ref="I101">各流量段建筑物坡比(B101,D101)</f>
        <v>2200</v>
      </c>
      <c r="J101" s="14" t="str">
        <f t="shared" si="1"/>
        <v/>
      </c>
      <c r="K101" s="13">
        <v>5.2</v>
      </c>
      <c r="L101" s="13" t="s">
        <v>30</v>
      </c>
      <c r="M101" s="13"/>
      <c r="N101" s="13"/>
      <c r="O101" s="13">
        <v>0.77</v>
      </c>
    </row>
    <row r="102" spans="1:15">
      <c r="A102" s="15" t="s">
        <v>32</v>
      </c>
      <c r="B102" s="12" t="s">
        <v>26</v>
      </c>
      <c r="C102" s="2" t="s">
        <v>150</v>
      </c>
      <c r="D102" s="16" t="s">
        <v>47</v>
      </c>
      <c r="E102" s="4">
        <v>459106.6242</v>
      </c>
      <c r="F102" s="4">
        <v>3389597.4297</v>
      </c>
      <c r="G102" s="13">
        <v>38</v>
      </c>
      <c r="H102" s="13" t="s">
        <v>29</v>
      </c>
      <c r="I102" s="13" cm="1">
        <f t="array" ref="I102">各流量段建筑物坡比(B102,D102)</f>
        <v>2200</v>
      </c>
      <c r="J102" s="14" t="str">
        <f t="shared" si="1"/>
        <v/>
      </c>
      <c r="K102" s="13">
        <v>5.2</v>
      </c>
      <c r="L102" s="13" t="s">
        <v>30</v>
      </c>
      <c r="M102" s="13"/>
      <c r="N102" s="13"/>
      <c r="O102" s="13">
        <v>0.77</v>
      </c>
    </row>
    <row r="103" spans="1:15">
      <c r="A103" s="12" t="s">
        <v>153</v>
      </c>
      <c r="B103" s="12" t="s">
        <v>26</v>
      </c>
      <c r="C103" s="2" t="s">
        <v>154</v>
      </c>
      <c r="D103" s="16" t="s">
        <v>47</v>
      </c>
      <c r="E103" s="4">
        <v>459227.6659</v>
      </c>
      <c r="F103" s="4">
        <v>3389674.9123</v>
      </c>
      <c r="G103" s="13">
        <v>38</v>
      </c>
      <c r="H103" s="13" t="s">
        <v>29</v>
      </c>
      <c r="I103" s="13" cm="1">
        <f t="array" ref="I103">各流量段建筑物坡比(B103,D103)</f>
        <v>2200</v>
      </c>
      <c r="J103" s="14" t="str">
        <f t="shared" si="1"/>
        <v/>
      </c>
      <c r="K103" s="13">
        <v>5.2</v>
      </c>
      <c r="L103" s="13" t="s">
        <v>30</v>
      </c>
      <c r="M103" s="13"/>
      <c r="N103" s="13"/>
      <c r="O103" s="13">
        <v>0.77</v>
      </c>
    </row>
    <row r="104" spans="1:15">
      <c r="A104" s="15" t="s">
        <v>155</v>
      </c>
      <c r="B104" s="12" t="s">
        <v>26</v>
      </c>
      <c r="C104" s="2" t="s">
        <v>154</v>
      </c>
      <c r="D104" s="16" t="s">
        <v>47</v>
      </c>
      <c r="E104" s="4">
        <v>459265.0425</v>
      </c>
      <c r="F104" s="4">
        <v>3389698.8382</v>
      </c>
      <c r="G104" s="13">
        <v>38</v>
      </c>
      <c r="H104" s="13" t="s">
        <v>29</v>
      </c>
      <c r="I104" s="13" cm="1">
        <f t="array" ref="I104">各流量段建筑物坡比(B104,D104)</f>
        <v>2200</v>
      </c>
      <c r="J104" s="14" t="str">
        <f t="shared" si="1"/>
        <v/>
      </c>
      <c r="K104" s="13">
        <v>5.2</v>
      </c>
      <c r="L104" s="13" t="s">
        <v>30</v>
      </c>
      <c r="M104" s="13"/>
      <c r="N104" s="13"/>
      <c r="O104" s="13">
        <v>0.77</v>
      </c>
    </row>
    <row r="105" spans="1:15">
      <c r="A105" s="12" t="s">
        <v>156</v>
      </c>
      <c r="B105" s="12" t="s">
        <v>26</v>
      </c>
      <c r="C105" s="13" t="s">
        <v>27</v>
      </c>
      <c r="D105" s="13" t="s">
        <v>28</v>
      </c>
      <c r="E105" s="4">
        <v>459339.3789</v>
      </c>
      <c r="F105" s="4">
        <v>3389746.4232</v>
      </c>
      <c r="G105" s="13">
        <v>38</v>
      </c>
      <c r="H105" s="13" t="s">
        <v>29</v>
      </c>
      <c r="I105" s="13" cm="1">
        <f t="array" ref="I105">各流量段建筑物坡比(B105,D105)</f>
        <v>6000</v>
      </c>
      <c r="J105" s="14">
        <f t="shared" si="1"/>
        <v>0</v>
      </c>
      <c r="K105" s="13">
        <v>6.9</v>
      </c>
    </row>
    <row r="106" spans="1:15">
      <c r="A106" s="15" t="s">
        <v>157</v>
      </c>
      <c r="B106" s="12" t="s">
        <v>26</v>
      </c>
      <c r="C106" s="2" t="s">
        <v>158</v>
      </c>
      <c r="D106" s="2" t="s">
        <v>44</v>
      </c>
      <c r="E106" s="4">
        <v>459374.9734</v>
      </c>
      <c r="F106" s="4">
        <v>3389737.4248</v>
      </c>
      <c r="G106" s="13">
        <v>38</v>
      </c>
      <c r="H106" s="13" t="s">
        <v>29</v>
      </c>
      <c r="I106" s="13" t="str" cm="1">
        <f t="array" ref="I106">各流量段建筑物坡比(B106,D106)</f>
        <v/>
      </c>
      <c r="J106" s="14" t="str">
        <f t="shared" si="1"/>
        <v/>
      </c>
    </row>
    <row r="107" spans="1:15">
      <c r="A107" s="12" t="s">
        <v>159</v>
      </c>
      <c r="B107" s="12" t="s">
        <v>26</v>
      </c>
      <c r="C107" s="2" t="s">
        <v>158</v>
      </c>
      <c r="D107" s="2" t="s">
        <v>44</v>
      </c>
      <c r="E107" s="4">
        <v>459374.9734</v>
      </c>
      <c r="F107" s="4">
        <v>3389737.4248</v>
      </c>
      <c r="G107" s="13">
        <v>38</v>
      </c>
      <c r="H107" s="13" t="s">
        <v>29</v>
      </c>
      <c r="I107" s="13" t="str" cm="1">
        <f t="array" ref="I107">各流量段建筑物坡比(B107,D107)</f>
        <v/>
      </c>
      <c r="J107" s="14" t="str">
        <f t="shared" si="1"/>
        <v/>
      </c>
    </row>
    <row r="108" spans="1:15">
      <c r="A108" s="15" t="s">
        <v>160</v>
      </c>
      <c r="B108" s="12" t="s">
        <v>26</v>
      </c>
      <c r="C108" s="2" t="s">
        <v>158</v>
      </c>
      <c r="D108" s="16" t="s">
        <v>47</v>
      </c>
      <c r="E108" s="4">
        <v>459386.1324</v>
      </c>
      <c r="F108" s="4">
        <v>3389734.6039</v>
      </c>
      <c r="G108" s="13">
        <v>38</v>
      </c>
      <c r="H108" s="13" t="s">
        <v>29</v>
      </c>
      <c r="I108" s="13" cm="1">
        <f t="array" ref="I108">各流量段建筑物坡比(B108,D108)</f>
        <v>2200</v>
      </c>
      <c r="J108" s="14" t="str">
        <f t="shared" si="1"/>
        <v/>
      </c>
      <c r="K108" s="13">
        <v>5.2</v>
      </c>
      <c r="L108" s="13" t="s">
        <v>30</v>
      </c>
      <c r="M108" s="13"/>
      <c r="N108" s="13"/>
      <c r="O108" s="13">
        <v>0.77</v>
      </c>
    </row>
    <row r="109" spans="1:15">
      <c r="A109" s="12" t="s">
        <v>161</v>
      </c>
      <c r="B109" s="12" t="s">
        <v>26</v>
      </c>
      <c r="C109" s="2" t="s">
        <v>158</v>
      </c>
      <c r="D109" s="16" t="s">
        <v>47</v>
      </c>
      <c r="E109" s="4">
        <v>460303.6126</v>
      </c>
      <c r="F109" s="4">
        <v>3389502.6675</v>
      </c>
      <c r="G109" s="13">
        <v>38</v>
      </c>
      <c r="H109" s="13" t="s">
        <v>29</v>
      </c>
      <c r="I109" s="13" cm="1">
        <f t="array" ref="I109">各流量段建筑物坡比(B109,D109)</f>
        <v>2200</v>
      </c>
      <c r="J109" s="14" t="str">
        <f t="shared" si="1"/>
        <v/>
      </c>
      <c r="K109" s="13">
        <v>5.2</v>
      </c>
      <c r="L109" s="13" t="s">
        <v>30</v>
      </c>
      <c r="M109" s="13"/>
      <c r="N109" s="13"/>
      <c r="O109" s="13">
        <v>0.77</v>
      </c>
    </row>
    <row r="110" spans="1:15">
      <c r="A110" s="15" t="s">
        <v>162</v>
      </c>
      <c r="B110" s="12" t="s">
        <v>26</v>
      </c>
      <c r="C110" s="2" t="s">
        <v>158</v>
      </c>
      <c r="D110" s="16" t="s">
        <v>47</v>
      </c>
      <c r="E110" s="4">
        <v>460410.1389</v>
      </c>
      <c r="F110" s="4">
        <v>3389298.1669</v>
      </c>
      <c r="G110" s="13">
        <v>38</v>
      </c>
      <c r="H110" s="13" t="s">
        <v>29</v>
      </c>
      <c r="I110" s="13" cm="1">
        <f t="array" ref="I110">各流量段建筑物坡比(B110,D110)</f>
        <v>2200</v>
      </c>
      <c r="J110" s="14" t="str">
        <f t="shared" si="1"/>
        <v/>
      </c>
      <c r="K110" s="13">
        <v>5.2</v>
      </c>
      <c r="L110" s="13" t="s">
        <v>30</v>
      </c>
      <c r="M110" s="13"/>
      <c r="N110" s="13"/>
      <c r="O110" s="13">
        <v>0.77</v>
      </c>
    </row>
    <row r="111" spans="1:15">
      <c r="A111" s="12" t="s">
        <v>163</v>
      </c>
      <c r="B111" s="12" t="s">
        <v>26</v>
      </c>
      <c r="C111" s="2" t="s">
        <v>158</v>
      </c>
      <c r="D111" s="16" t="s">
        <v>47</v>
      </c>
      <c r="E111" s="4">
        <v>460498.0837</v>
      </c>
      <c r="F111" s="4">
        <v>3389198.6617</v>
      </c>
      <c r="G111" s="13">
        <v>38</v>
      </c>
      <c r="H111" s="13" t="s">
        <v>29</v>
      </c>
      <c r="I111" s="13" cm="1">
        <f t="array" ref="I111">各流量段建筑物坡比(B111,D111)</f>
        <v>2200</v>
      </c>
      <c r="J111" s="14" t="str">
        <f t="shared" si="1"/>
        <v/>
      </c>
      <c r="K111" s="13">
        <v>5.2</v>
      </c>
      <c r="L111" s="13" t="s">
        <v>30</v>
      </c>
      <c r="M111" s="13"/>
      <c r="N111" s="13"/>
      <c r="O111" s="13">
        <v>0.77</v>
      </c>
    </row>
    <row r="112" spans="1:15">
      <c r="A112" s="15" t="s">
        <v>164</v>
      </c>
      <c r="B112" s="12" t="s">
        <v>26</v>
      </c>
      <c r="C112" s="2" t="s">
        <v>165</v>
      </c>
      <c r="D112" s="2" t="s">
        <v>44</v>
      </c>
      <c r="E112" s="4">
        <v>460544.0744</v>
      </c>
      <c r="F112" s="4">
        <v>3389146.6254</v>
      </c>
      <c r="G112" s="13">
        <v>38</v>
      </c>
      <c r="H112" s="13" t="s">
        <v>29</v>
      </c>
      <c r="I112" s="13" t="str" cm="1">
        <f t="array" ref="I112">各流量段建筑物坡比(B112,D112)</f>
        <v/>
      </c>
      <c r="J112" s="14" t="str">
        <f t="shared" si="1"/>
        <v/>
      </c>
    </row>
    <row r="113" spans="1:18">
      <c r="A113" s="12" t="s">
        <v>166</v>
      </c>
      <c r="B113" s="12" t="s">
        <v>26</v>
      </c>
      <c r="C113" s="2" t="s">
        <v>165</v>
      </c>
      <c r="D113" s="2" t="s">
        <v>44</v>
      </c>
      <c r="E113" s="4">
        <v>460544.0744</v>
      </c>
      <c r="F113" s="4">
        <v>3389146.6254</v>
      </c>
      <c r="G113" s="13">
        <v>38</v>
      </c>
      <c r="H113" s="13" t="s">
        <v>29</v>
      </c>
      <c r="I113" s="13" t="str" cm="1">
        <f t="array" ref="I113">各流量段建筑物坡比(B113,D113)</f>
        <v/>
      </c>
      <c r="J113" s="14" t="str">
        <f t="shared" si="1"/>
        <v/>
      </c>
    </row>
    <row r="114" spans="1:18">
      <c r="A114" s="15" t="s">
        <v>167</v>
      </c>
      <c r="B114" s="12" t="s">
        <v>26</v>
      </c>
      <c r="C114" s="2" t="s">
        <v>165</v>
      </c>
      <c r="D114" s="16" t="s">
        <v>47</v>
      </c>
      <c r="E114" s="4">
        <v>460575.7348</v>
      </c>
      <c r="F114" s="4">
        <v>3389110.8031</v>
      </c>
      <c r="G114" s="13">
        <v>38</v>
      </c>
      <c r="H114" s="13" t="s">
        <v>29</v>
      </c>
      <c r="I114" s="13" cm="1">
        <f t="array" ref="I114">各流量段建筑物坡比(B114,D114)</f>
        <v>2200</v>
      </c>
      <c r="J114" s="14" t="str">
        <f t="shared" si="1"/>
        <v/>
      </c>
      <c r="K114" s="13">
        <v>5.2</v>
      </c>
      <c r="L114" s="13" t="s">
        <v>30</v>
      </c>
      <c r="M114" s="13"/>
      <c r="N114" s="13"/>
      <c r="O114" s="13">
        <v>0.77</v>
      </c>
    </row>
    <row r="115" spans="1:18">
      <c r="A115" s="12" t="s">
        <v>168</v>
      </c>
      <c r="B115" s="12" t="s">
        <v>26</v>
      </c>
      <c r="C115" s="2" t="s">
        <v>165</v>
      </c>
      <c r="D115" s="16" t="s">
        <v>47</v>
      </c>
      <c r="E115" s="4">
        <v>460671.0839</v>
      </c>
      <c r="F115" s="4">
        <v>3389002.9203</v>
      </c>
      <c r="G115" s="13">
        <v>38</v>
      </c>
      <c r="H115" s="13" t="s">
        <v>29</v>
      </c>
      <c r="I115" s="13" cm="1">
        <f t="array" ref="I115">各流量段建筑物坡比(B115,D115)</f>
        <v>2200</v>
      </c>
      <c r="J115" s="14" t="str">
        <f t="shared" si="1"/>
        <v/>
      </c>
      <c r="K115" s="13">
        <v>5.2</v>
      </c>
      <c r="L115" s="13" t="s">
        <v>30</v>
      </c>
      <c r="M115" s="13"/>
      <c r="N115" s="13"/>
      <c r="O115" s="13">
        <v>0.77</v>
      </c>
    </row>
    <row r="116" spans="1:18">
      <c r="A116" s="15" t="s">
        <v>169</v>
      </c>
      <c r="B116" s="12" t="s">
        <v>26</v>
      </c>
      <c r="C116" s="2" t="s">
        <v>165</v>
      </c>
      <c r="D116" s="16" t="s">
        <v>47</v>
      </c>
      <c r="E116" s="4">
        <v>460687.6963</v>
      </c>
      <c r="F116" s="4">
        <v>3388873.5458</v>
      </c>
      <c r="G116" s="13">
        <v>38</v>
      </c>
      <c r="H116" s="13" t="s">
        <v>29</v>
      </c>
      <c r="I116" s="13" cm="1">
        <f t="array" ref="I116">各流量段建筑物坡比(B116,D116)</f>
        <v>2200</v>
      </c>
      <c r="J116" s="14" t="str">
        <f t="shared" si="1"/>
        <v/>
      </c>
      <c r="K116" s="13">
        <v>5.2</v>
      </c>
      <c r="L116" s="13" t="s">
        <v>30</v>
      </c>
      <c r="M116" s="13"/>
      <c r="N116" s="13"/>
      <c r="O116" s="13">
        <v>0.77</v>
      </c>
    </row>
    <row r="117" spans="1:18">
      <c r="A117" s="12" t="s">
        <v>170</v>
      </c>
      <c r="B117" s="12" t="s">
        <v>26</v>
      </c>
      <c r="C117" s="2" t="s">
        <v>165</v>
      </c>
      <c r="D117" s="16" t="s">
        <v>47</v>
      </c>
      <c r="E117" s="4">
        <v>461246.7079</v>
      </c>
      <c r="F117" s="4">
        <v>3388600.8155</v>
      </c>
      <c r="G117" s="13">
        <v>38</v>
      </c>
      <c r="H117" s="13" t="s">
        <v>29</v>
      </c>
      <c r="I117" s="13" cm="1">
        <f t="array" ref="I117">各流量段建筑物坡比(B117,D117)</f>
        <v>2200</v>
      </c>
      <c r="J117" s="14" t="str">
        <f t="shared" si="1"/>
        <v/>
      </c>
      <c r="K117" s="13">
        <v>5.2</v>
      </c>
      <c r="L117" s="13" t="s">
        <v>30</v>
      </c>
      <c r="M117" s="13"/>
      <c r="N117" s="13"/>
      <c r="O117" s="13">
        <v>0.77</v>
      </c>
    </row>
    <row r="118" spans="1:18">
      <c r="A118" s="15" t="s">
        <v>171</v>
      </c>
      <c r="B118" s="12" t="s">
        <v>26</v>
      </c>
      <c r="C118" s="2" t="s">
        <v>165</v>
      </c>
      <c r="D118" s="16" t="s">
        <v>47</v>
      </c>
      <c r="E118" s="4">
        <v>461285.58</v>
      </c>
      <c r="F118" s="4">
        <v>3388377.51</v>
      </c>
      <c r="G118" s="13">
        <v>38</v>
      </c>
      <c r="H118" s="13" t="s">
        <v>29</v>
      </c>
      <c r="I118" s="13" cm="1">
        <f t="array" ref="I118">各流量段建筑物坡比(B118,D118)</f>
        <v>2200</v>
      </c>
      <c r="J118" s="14" t="str">
        <f t="shared" si="1"/>
        <v/>
      </c>
      <c r="K118" s="13">
        <v>5.2</v>
      </c>
      <c r="L118" s="13" t="s">
        <v>30</v>
      </c>
      <c r="M118" s="13"/>
      <c r="N118" s="13"/>
      <c r="O118" s="13">
        <v>0.77</v>
      </c>
    </row>
    <row r="119" spans="1:18">
      <c r="A119" s="12" t="s">
        <v>172</v>
      </c>
      <c r="B119" s="12" t="s">
        <v>26</v>
      </c>
      <c r="C119" s="2" t="s">
        <v>165</v>
      </c>
      <c r="D119" s="16" t="s">
        <v>47</v>
      </c>
      <c r="E119" s="4">
        <v>461397.7617</v>
      </c>
      <c r="F119" s="4">
        <v>3388149.7808</v>
      </c>
      <c r="G119" s="13">
        <v>38</v>
      </c>
      <c r="H119" s="13" t="s">
        <v>29</v>
      </c>
      <c r="I119" s="13" cm="1">
        <f t="array" ref="I119">各流量段建筑物坡比(B119,D119)</f>
        <v>2200</v>
      </c>
      <c r="J119" s="14" t="str">
        <f t="shared" si="1"/>
        <v/>
      </c>
      <c r="K119" s="13">
        <v>5.2</v>
      </c>
      <c r="L119" s="13" t="s">
        <v>30</v>
      </c>
      <c r="M119" s="13"/>
      <c r="N119" s="13"/>
      <c r="O119" s="13">
        <v>0.77</v>
      </c>
    </row>
    <row r="120" spans="1:18">
      <c r="A120" s="15" t="s">
        <v>173</v>
      </c>
      <c r="B120" s="12" t="s">
        <v>26</v>
      </c>
      <c r="C120" s="2" t="s">
        <v>165</v>
      </c>
      <c r="D120" s="16" t="s">
        <v>47</v>
      </c>
      <c r="E120" s="4">
        <v>461762.5209</v>
      </c>
      <c r="F120" s="4">
        <v>3387706.0571</v>
      </c>
      <c r="G120" s="13">
        <v>38</v>
      </c>
      <c r="H120" s="13" t="s">
        <v>29</v>
      </c>
      <c r="I120" s="13" cm="1">
        <f t="array" ref="I120">各流量段建筑物坡比(B120,D120)</f>
        <v>2200</v>
      </c>
      <c r="J120" s="14" t="str">
        <f t="shared" si="1"/>
        <v/>
      </c>
      <c r="K120" s="13">
        <v>5.2</v>
      </c>
      <c r="L120" s="13" t="s">
        <v>30</v>
      </c>
      <c r="M120" s="13"/>
      <c r="N120" s="13"/>
      <c r="O120" s="13">
        <v>0.77</v>
      </c>
    </row>
    <row r="121" spans="1:18">
      <c r="A121" s="12" t="s">
        <v>174</v>
      </c>
      <c r="B121" s="12" t="s">
        <v>26</v>
      </c>
      <c r="C121" s="2" t="s">
        <v>165</v>
      </c>
      <c r="D121" s="16" t="s">
        <v>47</v>
      </c>
      <c r="E121" s="4">
        <v>462082.391</v>
      </c>
      <c r="F121" s="4">
        <v>3387615.7723</v>
      </c>
      <c r="G121" s="13">
        <v>38</v>
      </c>
      <c r="H121" s="13" t="s">
        <v>29</v>
      </c>
      <c r="I121" s="13" cm="1">
        <f t="array" ref="I121">各流量段建筑物坡比(B121,D121)</f>
        <v>2200</v>
      </c>
      <c r="J121" s="14" t="str">
        <f t="shared" si="1"/>
        <v/>
      </c>
      <c r="K121" s="13">
        <v>5.2</v>
      </c>
      <c r="L121" s="13" t="s">
        <v>30</v>
      </c>
      <c r="M121" s="13"/>
      <c r="N121" s="13"/>
      <c r="O121" s="13">
        <v>0.77</v>
      </c>
    </row>
    <row r="122" spans="1:18">
      <c r="A122" s="15" t="s">
        <v>175</v>
      </c>
      <c r="B122" s="12" t="s">
        <v>26</v>
      </c>
      <c r="C122" s="2" t="s">
        <v>165</v>
      </c>
      <c r="D122" s="16" t="s">
        <v>47</v>
      </c>
      <c r="E122" s="4">
        <v>462442.8154</v>
      </c>
      <c r="F122" s="4">
        <v>3387252.6289</v>
      </c>
      <c r="G122" s="13">
        <v>38</v>
      </c>
      <c r="H122" s="13" t="s">
        <v>29</v>
      </c>
      <c r="I122" s="13" cm="1">
        <f t="array" ref="I122">各流量段建筑物坡比(B122,D122)</f>
        <v>2200</v>
      </c>
      <c r="J122" s="14" t="str">
        <f t="shared" si="1"/>
        <v/>
      </c>
      <c r="K122" s="13">
        <v>5.2</v>
      </c>
      <c r="L122" s="13" t="s">
        <v>30</v>
      </c>
      <c r="M122" s="13"/>
      <c r="N122" s="13"/>
      <c r="O122" s="13">
        <v>0.77</v>
      </c>
    </row>
    <row r="123" spans="1:18">
      <c r="A123" s="12" t="s">
        <v>176</v>
      </c>
      <c r="B123" s="12" t="s">
        <v>26</v>
      </c>
      <c r="C123" s="2" t="s">
        <v>165</v>
      </c>
      <c r="D123" s="16" t="s">
        <v>47</v>
      </c>
      <c r="E123" s="4">
        <v>463049.047</v>
      </c>
      <c r="F123" s="4">
        <v>3387158.5441</v>
      </c>
      <c r="G123" s="13">
        <v>38</v>
      </c>
      <c r="H123" s="13" t="s">
        <v>29</v>
      </c>
      <c r="I123" s="13" cm="1">
        <f t="array" ref="I123">各流量段建筑物坡比(B123,D123)</f>
        <v>2200</v>
      </c>
      <c r="J123" s="14" t="str">
        <f t="shared" si="1"/>
        <v/>
      </c>
      <c r="K123" s="13">
        <v>5.2</v>
      </c>
      <c r="L123" s="13" t="s">
        <v>30</v>
      </c>
      <c r="M123" s="13"/>
      <c r="N123" s="13"/>
      <c r="O123" s="13">
        <v>0.77</v>
      </c>
    </row>
    <row r="124" spans="1:18">
      <c r="A124" s="15" t="s">
        <v>177</v>
      </c>
      <c r="B124" s="12" t="s">
        <v>26</v>
      </c>
      <c r="C124" s="2" t="s">
        <v>178</v>
      </c>
      <c r="D124" s="13" t="s">
        <v>35</v>
      </c>
      <c r="E124" s="4">
        <v>463083.1912</v>
      </c>
      <c r="F124" s="4">
        <v>3387153.245</v>
      </c>
      <c r="G124" s="13">
        <v>38</v>
      </c>
      <c r="H124" s="13" t="s">
        <v>29</v>
      </c>
      <c r="I124" s="13" cm="1">
        <f t="array" ref="I124">各流量段建筑物坡比(B124,D124)</f>
        <v>2500</v>
      </c>
      <c r="J124" s="14" t="str">
        <f t="shared" si="1"/>
        <v/>
      </c>
      <c r="K124" s="16">
        <v>5.2</v>
      </c>
      <c r="L124" s="16" t="s">
        <v>30</v>
      </c>
      <c r="M124" s="16" t="s">
        <v>30</v>
      </c>
      <c r="N124" s="16" t="s">
        <v>30</v>
      </c>
      <c r="O124" s="16" t="s">
        <v>30</v>
      </c>
      <c r="P124" s="16" t="s">
        <v>30</v>
      </c>
      <c r="Q124" s="16" t="s">
        <v>30</v>
      </c>
      <c r="R124" s="16">
        <v>180</v>
      </c>
    </row>
    <row r="125" spans="1:18">
      <c r="A125" s="12" t="s">
        <v>179</v>
      </c>
      <c r="B125" s="12" t="s">
        <v>26</v>
      </c>
      <c r="C125" s="2" t="s">
        <v>178</v>
      </c>
      <c r="D125" s="13" t="s">
        <v>35</v>
      </c>
      <c r="E125" s="4">
        <v>463206.8638</v>
      </c>
      <c r="F125" s="4">
        <v>3387134.0514</v>
      </c>
      <c r="G125" s="13">
        <v>38</v>
      </c>
      <c r="H125" s="13" t="s">
        <v>29</v>
      </c>
      <c r="I125" s="13" cm="1">
        <f t="array" ref="I125">各流量段建筑物坡比(B125,D125)</f>
        <v>2500</v>
      </c>
      <c r="J125" s="14" t="str">
        <f t="shared" si="1"/>
        <v/>
      </c>
      <c r="K125" s="16">
        <v>5.2</v>
      </c>
      <c r="L125" s="16" t="s">
        <v>30</v>
      </c>
      <c r="M125" s="16" t="s">
        <v>30</v>
      </c>
      <c r="N125" s="16" t="s">
        <v>30</v>
      </c>
      <c r="O125" s="16" t="s">
        <v>30</v>
      </c>
      <c r="P125" s="16" t="s">
        <v>30</v>
      </c>
      <c r="Q125" s="16" t="s">
        <v>30</v>
      </c>
      <c r="R125" s="16">
        <v>180</v>
      </c>
    </row>
    <row r="126" spans="1:18">
      <c r="A126" s="15" t="s">
        <v>180</v>
      </c>
      <c r="B126" s="12" t="s">
        <v>26</v>
      </c>
      <c r="C126" s="2" t="s">
        <v>178</v>
      </c>
      <c r="D126" s="13" t="s">
        <v>35</v>
      </c>
      <c r="E126" s="4">
        <v>463296.4483</v>
      </c>
      <c r="F126" s="4">
        <v>3386991.139</v>
      </c>
      <c r="G126" s="13">
        <v>38</v>
      </c>
      <c r="H126" s="13" t="s">
        <v>29</v>
      </c>
      <c r="I126" s="13" cm="1">
        <f t="array" ref="I126">各流量段建筑物坡比(B126,D126)</f>
        <v>2500</v>
      </c>
      <c r="J126" s="14" t="str">
        <f t="shared" si="1"/>
        <v/>
      </c>
      <c r="K126" s="16">
        <v>5.2</v>
      </c>
      <c r="L126" s="16" t="s">
        <v>30</v>
      </c>
      <c r="M126" s="16" t="s">
        <v>30</v>
      </c>
      <c r="N126" s="16" t="s">
        <v>30</v>
      </c>
      <c r="O126" s="16" t="s">
        <v>30</v>
      </c>
      <c r="P126" s="16" t="s">
        <v>30</v>
      </c>
      <c r="Q126" s="16" t="s">
        <v>30</v>
      </c>
      <c r="R126" s="16">
        <v>180</v>
      </c>
    </row>
    <row r="127" spans="1:18">
      <c r="A127" s="12" t="s">
        <v>181</v>
      </c>
      <c r="B127" s="12" t="s">
        <v>26</v>
      </c>
      <c r="C127" s="13" t="s">
        <v>27</v>
      </c>
      <c r="D127" s="13" t="s">
        <v>28</v>
      </c>
      <c r="E127" s="4">
        <v>463385.5443</v>
      </c>
      <c r="F127" s="4">
        <v>3386849.0061</v>
      </c>
      <c r="G127" s="13">
        <v>38</v>
      </c>
      <c r="H127" s="13" t="s">
        <v>29</v>
      </c>
      <c r="I127" s="13" cm="1">
        <f t="array" ref="I127">各流量段建筑物坡比(B127,D127)</f>
        <v>6000</v>
      </c>
      <c r="J127" s="14">
        <f t="shared" si="1"/>
        <v>0</v>
      </c>
      <c r="K127" s="13">
        <v>6.9</v>
      </c>
    </row>
    <row r="128" spans="1:18">
      <c r="A128" s="15" t="s">
        <v>182</v>
      </c>
      <c r="B128" s="12" t="s">
        <v>26</v>
      </c>
      <c r="C128" s="2" t="s">
        <v>183</v>
      </c>
      <c r="D128" s="13" t="s">
        <v>35</v>
      </c>
      <c r="E128" s="4">
        <v>463391.7951</v>
      </c>
      <c r="F128" s="4">
        <v>3386827.3336</v>
      </c>
      <c r="G128" s="13">
        <v>38</v>
      </c>
      <c r="H128" s="13" t="s">
        <v>29</v>
      </c>
      <c r="I128" s="13" cm="1">
        <f t="array" ref="I128">各流量段建筑物坡比(B128,D128)</f>
        <v>2500</v>
      </c>
      <c r="J128" s="14" t="str">
        <f t="shared" si="1"/>
        <v/>
      </c>
      <c r="K128" s="16">
        <v>5.2</v>
      </c>
      <c r="L128" s="16" t="s">
        <v>30</v>
      </c>
      <c r="M128" s="16" t="s">
        <v>30</v>
      </c>
      <c r="N128" s="16" t="s">
        <v>30</v>
      </c>
      <c r="O128" s="16" t="s">
        <v>30</v>
      </c>
      <c r="P128" s="16" t="s">
        <v>30</v>
      </c>
      <c r="Q128" s="16" t="s">
        <v>30</v>
      </c>
      <c r="R128" s="16">
        <v>180</v>
      </c>
    </row>
    <row r="129" spans="1:18">
      <c r="A129" s="12" t="s">
        <v>184</v>
      </c>
      <c r="B129" s="12" t="s">
        <v>26</v>
      </c>
      <c r="C129" s="2" t="s">
        <v>183</v>
      </c>
      <c r="D129" s="13" t="s">
        <v>35</v>
      </c>
      <c r="E129" s="4">
        <v>463422.8116</v>
      </c>
      <c r="F129" s="4">
        <v>3386719.795</v>
      </c>
      <c r="G129" s="13">
        <v>38</v>
      </c>
      <c r="H129" s="13" t="s">
        <v>29</v>
      </c>
      <c r="I129" s="13" cm="1">
        <f t="array" ref="I129">各流量段建筑物坡比(B129,D129)</f>
        <v>2500</v>
      </c>
      <c r="J129" s="14" t="str">
        <f t="shared" si="1"/>
        <v/>
      </c>
      <c r="K129" s="16">
        <v>5.2</v>
      </c>
      <c r="L129" s="16" t="s">
        <v>30</v>
      </c>
      <c r="M129" s="16" t="s">
        <v>30</v>
      </c>
      <c r="N129" s="16" t="s">
        <v>30</v>
      </c>
      <c r="O129" s="16" t="s">
        <v>30</v>
      </c>
      <c r="P129" s="16" t="s">
        <v>30</v>
      </c>
      <c r="Q129" s="16" t="s">
        <v>30</v>
      </c>
      <c r="R129" s="16">
        <v>180</v>
      </c>
    </row>
    <row r="130" spans="1:18">
      <c r="A130" s="15" t="s">
        <v>185</v>
      </c>
      <c r="B130" s="12" t="s">
        <v>26</v>
      </c>
      <c r="C130" s="2" t="s">
        <v>186</v>
      </c>
      <c r="D130" s="16" t="s">
        <v>47</v>
      </c>
      <c r="E130" s="4">
        <v>463440.8268</v>
      </c>
      <c r="F130" s="4">
        <v>3386657.334</v>
      </c>
      <c r="G130" s="13">
        <v>38</v>
      </c>
      <c r="H130" s="13" t="s">
        <v>29</v>
      </c>
      <c r="I130" s="13" cm="1">
        <f t="array" ref="I130">各流量段建筑物坡比(B130,D130)</f>
        <v>2200</v>
      </c>
      <c r="J130" s="14" t="str">
        <f t="shared" si="1"/>
        <v/>
      </c>
      <c r="K130" s="13">
        <v>5.2</v>
      </c>
      <c r="L130" s="13" t="s">
        <v>30</v>
      </c>
      <c r="M130" s="13"/>
      <c r="N130" s="13"/>
      <c r="O130" s="13">
        <v>0.77</v>
      </c>
    </row>
    <row r="131" spans="1:18">
      <c r="A131" s="12" t="s">
        <v>187</v>
      </c>
      <c r="B131" s="12" t="s">
        <v>26</v>
      </c>
      <c r="C131" s="2" t="s">
        <v>186</v>
      </c>
      <c r="D131" s="16" t="s">
        <v>47</v>
      </c>
      <c r="E131" s="4">
        <v>463460.2665</v>
      </c>
      <c r="F131" s="4">
        <v>3386589.9337</v>
      </c>
      <c r="G131" s="13">
        <v>38</v>
      </c>
      <c r="H131" s="13" t="s">
        <v>29</v>
      </c>
      <c r="I131" s="13" cm="1">
        <f t="array" ref="I131">各流量段建筑物坡比(B131,D131)</f>
        <v>2200</v>
      </c>
      <c r="J131" s="14" t="str">
        <f t="shared" si="1"/>
        <v/>
      </c>
      <c r="K131" s="13">
        <v>5.2</v>
      </c>
      <c r="L131" s="13" t="s">
        <v>30</v>
      </c>
      <c r="M131" s="13"/>
      <c r="N131" s="13"/>
      <c r="O131" s="13">
        <v>0.77</v>
      </c>
    </row>
    <row r="132" spans="1:18">
      <c r="A132" s="15" t="s">
        <v>188</v>
      </c>
      <c r="B132" s="12" t="s">
        <v>26</v>
      </c>
      <c r="C132" s="2" t="s">
        <v>186</v>
      </c>
      <c r="D132" s="16" t="s">
        <v>47</v>
      </c>
      <c r="E132" s="4">
        <v>463485.2464</v>
      </c>
      <c r="F132" s="4">
        <v>3386520.3824</v>
      </c>
      <c r="G132" s="13">
        <v>38</v>
      </c>
      <c r="H132" s="13" t="s">
        <v>29</v>
      </c>
      <c r="I132" s="13" cm="1">
        <f t="array" ref="I132">各流量段建筑物坡比(B132,D132)</f>
        <v>2200</v>
      </c>
      <c r="J132" s="14" t="str">
        <f t="shared" ref="J132:J195" si="2">IF(C132="-",IF(ISNUMBER(SEARCH("矩形",D132)),0,IF(ISNUMBER(SEARCH("梯形",D132)),1.5,"")),"")</f>
        <v/>
      </c>
      <c r="K132" s="13">
        <v>5.2</v>
      </c>
      <c r="L132" s="13" t="s">
        <v>30</v>
      </c>
      <c r="M132" s="13"/>
      <c r="N132" s="13"/>
      <c r="O132" s="13">
        <v>0.77</v>
      </c>
    </row>
    <row r="133" spans="1:18">
      <c r="A133" s="12" t="s">
        <v>189</v>
      </c>
      <c r="B133" s="12" t="s">
        <v>26</v>
      </c>
      <c r="C133" s="13" t="s">
        <v>27</v>
      </c>
      <c r="D133" s="13" t="s">
        <v>28</v>
      </c>
      <c r="E133" s="4">
        <v>463531.3641</v>
      </c>
      <c r="F133" s="4">
        <v>3386391.977</v>
      </c>
      <c r="G133" s="13">
        <v>38</v>
      </c>
      <c r="H133" s="13" t="s">
        <v>29</v>
      </c>
      <c r="I133" s="13" cm="1">
        <f t="array" ref="I133">各流量段建筑物坡比(B133,D133)</f>
        <v>6000</v>
      </c>
      <c r="J133" s="14">
        <f t="shared" si="2"/>
        <v>0</v>
      </c>
      <c r="K133" s="13">
        <v>6.9</v>
      </c>
    </row>
    <row r="134" spans="1:18">
      <c r="A134" s="15" t="s">
        <v>190</v>
      </c>
      <c r="B134" s="12" t="s">
        <v>26</v>
      </c>
      <c r="C134" s="13" t="s">
        <v>27</v>
      </c>
      <c r="D134" s="13" t="s">
        <v>28</v>
      </c>
      <c r="E134" s="4">
        <v>463565.7897</v>
      </c>
      <c r="F134" s="4">
        <v>3386211.3022</v>
      </c>
      <c r="G134" s="13">
        <v>38</v>
      </c>
      <c r="H134" s="13" t="s">
        <v>29</v>
      </c>
      <c r="I134" s="13" cm="1">
        <f t="array" ref="I134">各流量段建筑物坡比(B134,D134)</f>
        <v>6000</v>
      </c>
      <c r="J134" s="14">
        <f t="shared" si="2"/>
        <v>0</v>
      </c>
      <c r="K134" s="13">
        <v>6.9</v>
      </c>
    </row>
    <row r="135" spans="1:18">
      <c r="A135" s="12" t="s">
        <v>191</v>
      </c>
      <c r="B135" s="12" t="s">
        <v>26</v>
      </c>
      <c r="C135" s="13" t="s">
        <v>27</v>
      </c>
      <c r="D135" s="13" t="s">
        <v>28</v>
      </c>
      <c r="E135" s="4">
        <v>463625.2019</v>
      </c>
      <c r="F135" s="4">
        <v>3386138.8642</v>
      </c>
      <c r="G135" s="13">
        <v>38</v>
      </c>
      <c r="H135" s="13" t="s">
        <v>29</v>
      </c>
      <c r="I135" s="13" cm="1">
        <f t="array" ref="I135">各流量段建筑物坡比(B135,D135)</f>
        <v>6000</v>
      </c>
      <c r="J135" s="14">
        <f t="shared" si="2"/>
        <v>0</v>
      </c>
      <c r="K135" s="13">
        <v>6.9</v>
      </c>
    </row>
    <row r="136" spans="1:18">
      <c r="A136" s="15" t="s">
        <v>192</v>
      </c>
      <c r="B136" s="12" t="s">
        <v>26</v>
      </c>
      <c r="C136" s="13" t="s">
        <v>27</v>
      </c>
      <c r="D136" s="13" t="s">
        <v>28</v>
      </c>
      <c r="E136" s="4">
        <v>463704.6662</v>
      </c>
      <c r="F136" s="4">
        <v>3385896.4107</v>
      </c>
      <c r="G136" s="13">
        <v>38</v>
      </c>
      <c r="H136" s="13" t="s">
        <v>29</v>
      </c>
      <c r="I136" s="13" cm="1">
        <f t="array" ref="I136">各流量段建筑物坡比(B136,D136)</f>
        <v>6000</v>
      </c>
      <c r="J136" s="14">
        <f t="shared" si="2"/>
        <v>0</v>
      </c>
      <c r="K136" s="13">
        <v>6.9</v>
      </c>
    </row>
    <row r="137" spans="1:18">
      <c r="A137" s="12" t="s">
        <v>193</v>
      </c>
      <c r="B137" s="12" t="s">
        <v>26</v>
      </c>
      <c r="C137" s="13" t="s">
        <v>27</v>
      </c>
      <c r="D137" s="13" t="s">
        <v>28</v>
      </c>
      <c r="E137" s="4">
        <v>463816.6313</v>
      </c>
      <c r="F137" s="4">
        <v>3385844.0766</v>
      </c>
      <c r="G137" s="13">
        <v>38</v>
      </c>
      <c r="H137" s="13" t="s">
        <v>29</v>
      </c>
      <c r="I137" s="13" cm="1">
        <f t="array" ref="I137">各流量段建筑物坡比(B137,D137)</f>
        <v>6000</v>
      </c>
      <c r="J137" s="14">
        <f t="shared" si="2"/>
        <v>0</v>
      </c>
      <c r="K137" s="13">
        <v>6.9</v>
      </c>
    </row>
    <row r="138" spans="1:18">
      <c r="A138" s="15" t="s">
        <v>194</v>
      </c>
      <c r="B138" s="12" t="s">
        <v>26</v>
      </c>
      <c r="C138" s="13" t="s">
        <v>27</v>
      </c>
      <c r="D138" s="13" t="s">
        <v>28</v>
      </c>
      <c r="E138" s="4">
        <v>463946.5791</v>
      </c>
      <c r="F138" s="4">
        <v>3385821.5899</v>
      </c>
      <c r="G138" s="13">
        <v>38</v>
      </c>
      <c r="H138" s="13" t="s">
        <v>29</v>
      </c>
      <c r="I138" s="13" cm="1">
        <f t="array" ref="I138">各流量段建筑物坡比(B138,D138)</f>
        <v>6000</v>
      </c>
      <c r="J138" s="14">
        <f t="shared" si="2"/>
        <v>0</v>
      </c>
      <c r="K138" s="13">
        <v>6.9</v>
      </c>
    </row>
    <row r="139" spans="1:18">
      <c r="A139" s="12" t="s">
        <v>195</v>
      </c>
      <c r="B139" s="12" t="s">
        <v>26</v>
      </c>
      <c r="C139" s="2" t="s">
        <v>196</v>
      </c>
      <c r="D139" s="16" t="s">
        <v>47</v>
      </c>
      <c r="E139" s="4">
        <v>463970.0768</v>
      </c>
      <c r="F139" s="4">
        <v>3385816.8227</v>
      </c>
      <c r="G139" s="13">
        <v>38</v>
      </c>
      <c r="H139" s="13" t="s">
        <v>29</v>
      </c>
      <c r="I139" s="13" cm="1">
        <f t="array" ref="I139">各流量段建筑物坡比(B139,D139)</f>
        <v>2200</v>
      </c>
      <c r="J139" s="14" t="str">
        <f t="shared" si="2"/>
        <v/>
      </c>
      <c r="K139" s="13">
        <v>5.2</v>
      </c>
      <c r="L139" s="13" t="s">
        <v>30</v>
      </c>
      <c r="M139" s="13"/>
      <c r="N139" s="13"/>
      <c r="O139" s="13">
        <v>0.77</v>
      </c>
    </row>
    <row r="140" spans="1:18">
      <c r="A140" s="15" t="s">
        <v>197</v>
      </c>
      <c r="B140" s="12" t="s">
        <v>26</v>
      </c>
      <c r="C140" s="2" t="s">
        <v>196</v>
      </c>
      <c r="D140" s="16" t="s">
        <v>47</v>
      </c>
      <c r="E140" s="4">
        <v>464163.6458</v>
      </c>
      <c r="F140" s="4">
        <v>3385777.5509</v>
      </c>
      <c r="G140" s="13">
        <v>38</v>
      </c>
      <c r="H140" s="13" t="s">
        <v>29</v>
      </c>
      <c r="I140" s="13" cm="1">
        <f t="array" ref="I140">各流量段建筑物坡比(B140,D140)</f>
        <v>2200</v>
      </c>
      <c r="J140" s="14" t="str">
        <f t="shared" si="2"/>
        <v/>
      </c>
      <c r="K140" s="13">
        <v>5.2</v>
      </c>
      <c r="L140" s="13" t="s">
        <v>30</v>
      </c>
      <c r="M140" s="13"/>
      <c r="N140" s="13"/>
      <c r="O140" s="13">
        <v>0.77</v>
      </c>
    </row>
    <row r="141" spans="1:18">
      <c r="A141" s="12" t="s">
        <v>198</v>
      </c>
      <c r="B141" s="12" t="s">
        <v>26</v>
      </c>
      <c r="C141" s="2" t="s">
        <v>196</v>
      </c>
      <c r="D141" s="16" t="s">
        <v>47</v>
      </c>
      <c r="E141" s="4">
        <v>464200.3203</v>
      </c>
      <c r="F141" s="4">
        <v>3385786.1242</v>
      </c>
      <c r="G141" s="13">
        <v>38</v>
      </c>
      <c r="H141" s="13" t="s">
        <v>29</v>
      </c>
      <c r="I141" s="13" cm="1">
        <f t="array" ref="I141">各流量段建筑物坡比(B141,D141)</f>
        <v>2200</v>
      </c>
      <c r="J141" s="14" t="str">
        <f t="shared" si="2"/>
        <v/>
      </c>
      <c r="K141" s="13">
        <v>5.2</v>
      </c>
      <c r="L141" s="13" t="s">
        <v>30</v>
      </c>
      <c r="M141" s="13"/>
      <c r="N141" s="13"/>
      <c r="O141" s="13">
        <v>0.77</v>
      </c>
    </row>
    <row r="142" spans="1:18">
      <c r="A142" s="15" t="s">
        <v>199</v>
      </c>
      <c r="B142" s="12" t="s">
        <v>26</v>
      </c>
      <c r="C142" s="2" t="s">
        <v>200</v>
      </c>
      <c r="D142" s="16" t="s">
        <v>47</v>
      </c>
      <c r="E142" s="4">
        <v>464240.2664</v>
      </c>
      <c r="F142" s="4">
        <v>3385795.4623</v>
      </c>
      <c r="G142" s="13">
        <v>38</v>
      </c>
      <c r="H142" s="13" t="s">
        <v>29</v>
      </c>
      <c r="I142" s="13" cm="1">
        <f t="array" ref="I142">各流量段建筑物坡比(B142,D142)</f>
        <v>2200</v>
      </c>
      <c r="J142" s="14" t="str">
        <f t="shared" si="2"/>
        <v/>
      </c>
      <c r="K142" s="13">
        <v>5.2</v>
      </c>
      <c r="L142" s="13" t="s">
        <v>30</v>
      </c>
      <c r="M142" s="13"/>
      <c r="N142" s="13"/>
      <c r="O142" s="13">
        <v>0.77</v>
      </c>
    </row>
    <row r="143" spans="1:18">
      <c r="A143" s="12" t="s">
        <v>201</v>
      </c>
      <c r="B143" s="12" t="s">
        <v>26</v>
      </c>
      <c r="C143" s="2" t="s">
        <v>200</v>
      </c>
      <c r="D143" s="16" t="s">
        <v>47</v>
      </c>
      <c r="E143" s="4">
        <v>464394.7221</v>
      </c>
      <c r="F143" s="4">
        <v>3385831.5691</v>
      </c>
      <c r="G143" s="13">
        <v>38</v>
      </c>
      <c r="H143" s="13" t="s">
        <v>29</v>
      </c>
      <c r="I143" s="13" cm="1">
        <f t="array" ref="I143">各流量段建筑物坡比(B143,D143)</f>
        <v>2200</v>
      </c>
      <c r="J143" s="14" t="str">
        <f t="shared" si="2"/>
        <v/>
      </c>
      <c r="K143" s="13">
        <v>5.2</v>
      </c>
      <c r="L143" s="13" t="s">
        <v>30</v>
      </c>
      <c r="M143" s="13"/>
      <c r="N143" s="13"/>
      <c r="O143" s="13">
        <v>0.77</v>
      </c>
    </row>
    <row r="144" spans="1:18">
      <c r="A144" s="15" t="s">
        <v>202</v>
      </c>
      <c r="B144" s="12" t="s">
        <v>26</v>
      </c>
      <c r="C144" s="13" t="s">
        <v>27</v>
      </c>
      <c r="D144" s="13" t="s">
        <v>28</v>
      </c>
      <c r="E144" s="4">
        <v>464405.8412</v>
      </c>
      <c r="F144" s="4">
        <v>3385834.1683</v>
      </c>
      <c r="G144" s="13">
        <v>38</v>
      </c>
      <c r="H144" s="13" t="s">
        <v>29</v>
      </c>
      <c r="I144" s="13" cm="1">
        <f t="array" ref="I144">各流量段建筑物坡比(B144,D144)</f>
        <v>6000</v>
      </c>
      <c r="J144" s="14">
        <f t="shared" si="2"/>
        <v>0</v>
      </c>
      <c r="K144" s="13">
        <v>6.9</v>
      </c>
    </row>
    <row r="145" spans="1:15">
      <c r="A145" s="12" t="s">
        <v>203</v>
      </c>
      <c r="B145" s="12" t="s">
        <v>26</v>
      </c>
      <c r="C145" s="2" t="s">
        <v>204</v>
      </c>
      <c r="D145" s="16" t="s">
        <v>47</v>
      </c>
      <c r="E145" s="4">
        <v>464445.6896</v>
      </c>
      <c r="F145" s="4">
        <v>3385830.8076</v>
      </c>
      <c r="G145" s="13">
        <v>38</v>
      </c>
      <c r="H145" s="13" t="s">
        <v>29</v>
      </c>
      <c r="I145" s="13" cm="1">
        <f t="array" ref="I145">各流量段建筑物坡比(B145,D145)</f>
        <v>2200</v>
      </c>
      <c r="J145" s="14" t="str">
        <f t="shared" si="2"/>
        <v/>
      </c>
      <c r="K145" s="13">
        <v>5.2</v>
      </c>
      <c r="L145" s="13" t="s">
        <v>30</v>
      </c>
      <c r="M145" s="13"/>
      <c r="N145" s="13"/>
      <c r="O145" s="13">
        <v>0.77</v>
      </c>
    </row>
    <row r="146" spans="1:15">
      <c r="A146" s="15" t="s">
        <v>205</v>
      </c>
      <c r="B146" s="12" t="s">
        <v>26</v>
      </c>
      <c r="C146" s="2" t="s">
        <v>204</v>
      </c>
      <c r="D146" s="16" t="s">
        <v>47</v>
      </c>
      <c r="E146" s="4">
        <v>464621.6508</v>
      </c>
      <c r="F146" s="4">
        <v>3385815.9674</v>
      </c>
      <c r="G146" s="13">
        <v>38</v>
      </c>
      <c r="H146" s="13" t="s">
        <v>29</v>
      </c>
      <c r="I146" s="13" cm="1">
        <f t="array" ref="I146">各流量段建筑物坡比(B146,D146)</f>
        <v>2200</v>
      </c>
      <c r="J146" s="14" t="str">
        <f t="shared" si="2"/>
        <v/>
      </c>
      <c r="K146" s="13">
        <v>5.2</v>
      </c>
      <c r="L146" s="13" t="s">
        <v>30</v>
      </c>
      <c r="M146" s="13"/>
      <c r="N146" s="13"/>
      <c r="O146" s="13">
        <v>0.77</v>
      </c>
    </row>
    <row r="147" spans="1:15">
      <c r="A147" s="12" t="s">
        <v>206</v>
      </c>
      <c r="B147" s="12" t="s">
        <v>26</v>
      </c>
      <c r="C147" s="13" t="s">
        <v>27</v>
      </c>
      <c r="D147" s="13" t="s">
        <v>28</v>
      </c>
      <c r="E147" s="4">
        <v>464789.2071</v>
      </c>
      <c r="F147" s="4">
        <v>3385801.8361</v>
      </c>
      <c r="G147" s="13">
        <v>38</v>
      </c>
      <c r="H147" s="13" t="s">
        <v>29</v>
      </c>
      <c r="I147" s="13" cm="1">
        <f t="array" ref="I147">各流量段建筑物坡比(B147,D147)</f>
        <v>6000</v>
      </c>
      <c r="J147" s="14">
        <f t="shared" si="2"/>
        <v>0</v>
      </c>
      <c r="K147" s="13">
        <v>6.9</v>
      </c>
    </row>
    <row r="148" spans="1:15">
      <c r="A148" s="15" t="s">
        <v>207</v>
      </c>
      <c r="B148" s="12" t="s">
        <v>26</v>
      </c>
      <c r="C148" s="2" t="s">
        <v>208</v>
      </c>
      <c r="D148" s="16" t="s">
        <v>47</v>
      </c>
      <c r="E148" s="4">
        <v>464830.0338</v>
      </c>
      <c r="F148" s="4">
        <v>3385732.2215</v>
      </c>
      <c r="G148" s="13">
        <v>38</v>
      </c>
      <c r="H148" s="13" t="s">
        <v>29</v>
      </c>
      <c r="I148" s="13" cm="1">
        <f t="array" ref="I148">各流量段建筑物坡比(B148,D148)</f>
        <v>2200</v>
      </c>
      <c r="J148" s="14" t="str">
        <f t="shared" si="2"/>
        <v/>
      </c>
      <c r="K148" s="13">
        <v>5.2</v>
      </c>
      <c r="L148" s="13" t="s">
        <v>30</v>
      </c>
      <c r="M148" s="13"/>
      <c r="N148" s="13"/>
      <c r="O148" s="13">
        <v>0.77</v>
      </c>
    </row>
    <row r="149" spans="1:15">
      <c r="A149" s="12" t="s">
        <v>209</v>
      </c>
      <c r="B149" s="12" t="s">
        <v>26</v>
      </c>
      <c r="C149" s="2" t="s">
        <v>208</v>
      </c>
      <c r="D149" s="16" t="s">
        <v>47</v>
      </c>
      <c r="E149" s="4">
        <v>464894.4536</v>
      </c>
      <c r="F149" s="4">
        <v>3385622.3781</v>
      </c>
      <c r="G149" s="13">
        <v>38</v>
      </c>
      <c r="H149" s="13" t="s">
        <v>29</v>
      </c>
      <c r="I149" s="13" cm="1">
        <f t="array" ref="I149">各流量段建筑物坡比(B149,D149)</f>
        <v>2200</v>
      </c>
      <c r="J149" s="14" t="str">
        <f t="shared" si="2"/>
        <v/>
      </c>
      <c r="K149" s="13">
        <v>5.2</v>
      </c>
      <c r="L149" s="13" t="s">
        <v>30</v>
      </c>
      <c r="M149" s="13"/>
      <c r="N149" s="13"/>
      <c r="O149" s="13">
        <v>0.77</v>
      </c>
    </row>
    <row r="150" spans="1:15">
      <c r="A150" s="15" t="s">
        <v>210</v>
      </c>
      <c r="B150" s="12" t="s">
        <v>26</v>
      </c>
      <c r="C150" s="13" t="s">
        <v>27</v>
      </c>
      <c r="D150" s="13" t="s">
        <v>28</v>
      </c>
      <c r="E150" s="4">
        <v>464928.592</v>
      </c>
      <c r="F150" s="4">
        <v>3385564.168</v>
      </c>
      <c r="G150" s="13">
        <v>38</v>
      </c>
      <c r="H150" s="13" t="s">
        <v>29</v>
      </c>
      <c r="I150" s="13" cm="1">
        <f t="array" ref="I150">各流量段建筑物坡比(B150,D150)</f>
        <v>6000</v>
      </c>
      <c r="J150" s="14">
        <f t="shared" si="2"/>
        <v>0</v>
      </c>
      <c r="K150" s="13">
        <v>6.9</v>
      </c>
    </row>
    <row r="151" spans="1:15">
      <c r="A151" s="12" t="s">
        <v>211</v>
      </c>
      <c r="B151" s="12" t="s">
        <v>26</v>
      </c>
      <c r="C151" s="2" t="s">
        <v>212</v>
      </c>
      <c r="D151" s="16" t="s">
        <v>47</v>
      </c>
      <c r="E151" s="4">
        <v>464975.1991</v>
      </c>
      <c r="F151" s="4">
        <v>3385542.3591</v>
      </c>
      <c r="G151" s="13">
        <v>38</v>
      </c>
      <c r="H151" s="13" t="s">
        <v>29</v>
      </c>
      <c r="I151" s="13" cm="1">
        <f t="array" ref="I151">各流量段建筑物坡比(B151,D151)</f>
        <v>2200</v>
      </c>
      <c r="J151" s="14" t="str">
        <f t="shared" si="2"/>
        <v/>
      </c>
      <c r="K151" s="13">
        <v>5.2</v>
      </c>
      <c r="L151" s="13" t="s">
        <v>30</v>
      </c>
      <c r="M151" s="13"/>
      <c r="N151" s="13"/>
      <c r="O151" s="13">
        <v>0.77</v>
      </c>
    </row>
    <row r="152" spans="1:15">
      <c r="A152" s="15" t="s">
        <v>213</v>
      </c>
      <c r="B152" s="12" t="s">
        <v>26</v>
      </c>
      <c r="C152" s="2" t="s">
        <v>212</v>
      </c>
      <c r="D152" s="16" t="s">
        <v>47</v>
      </c>
      <c r="E152" s="4">
        <v>465171.0465</v>
      </c>
      <c r="F152" s="4">
        <v>3385450.7161</v>
      </c>
      <c r="G152" s="13">
        <v>38</v>
      </c>
      <c r="H152" s="13" t="s">
        <v>29</v>
      </c>
      <c r="I152" s="13" cm="1">
        <f t="array" ref="I152">各流量段建筑物坡比(B152,D152)</f>
        <v>2200</v>
      </c>
      <c r="J152" s="14" t="str">
        <f t="shared" si="2"/>
        <v/>
      </c>
      <c r="K152" s="13">
        <v>5.2</v>
      </c>
      <c r="L152" s="13" t="s">
        <v>30</v>
      </c>
      <c r="M152" s="13"/>
      <c r="N152" s="13"/>
      <c r="O152" s="13">
        <v>0.77</v>
      </c>
    </row>
    <row r="153" spans="1:15">
      <c r="A153" s="12" t="s">
        <v>214</v>
      </c>
      <c r="B153" s="12" t="s">
        <v>26</v>
      </c>
      <c r="C153" s="13" t="s">
        <v>27</v>
      </c>
      <c r="D153" s="13" t="s">
        <v>28</v>
      </c>
      <c r="E153" s="4">
        <v>465250.4602</v>
      </c>
      <c r="F153" s="4">
        <v>3385413.5559</v>
      </c>
      <c r="G153" s="13">
        <v>38</v>
      </c>
      <c r="H153" s="13" t="s">
        <v>29</v>
      </c>
      <c r="I153" s="13" cm="1">
        <f t="array" ref="I153">各流量段建筑物坡比(B153,D153)</f>
        <v>6000</v>
      </c>
      <c r="J153" s="14">
        <f t="shared" si="2"/>
        <v>0</v>
      </c>
      <c r="K153" s="13">
        <v>6.9</v>
      </c>
    </row>
    <row r="154" spans="1:15">
      <c r="A154" s="15" t="s">
        <v>215</v>
      </c>
      <c r="B154" s="12" t="s">
        <v>26</v>
      </c>
      <c r="C154" s="2" t="s">
        <v>216</v>
      </c>
      <c r="D154" s="16" t="s">
        <v>47</v>
      </c>
      <c r="E154" s="4">
        <v>465266.6371</v>
      </c>
      <c r="F154" s="4">
        <v>3385410.7236</v>
      </c>
      <c r="G154" s="13">
        <v>38</v>
      </c>
      <c r="H154" s="13" t="s">
        <v>29</v>
      </c>
      <c r="I154" s="13" cm="1">
        <f t="array" ref="I154">各流量段建筑物坡比(B154,D154)</f>
        <v>2200</v>
      </c>
      <c r="J154" s="14" t="str">
        <f t="shared" si="2"/>
        <v/>
      </c>
      <c r="K154" s="13">
        <v>5.2</v>
      </c>
      <c r="L154" s="13" t="s">
        <v>30</v>
      </c>
      <c r="M154" s="13"/>
      <c r="N154" s="13"/>
      <c r="O154" s="13">
        <v>0.77</v>
      </c>
    </row>
    <row r="155" spans="1:15">
      <c r="A155" s="12" t="s">
        <v>217</v>
      </c>
      <c r="B155" s="12" t="s">
        <v>26</v>
      </c>
      <c r="C155" s="2" t="s">
        <v>216</v>
      </c>
      <c r="D155" s="16" t="s">
        <v>47</v>
      </c>
      <c r="E155" s="4">
        <v>465313.2992</v>
      </c>
      <c r="F155" s="4">
        <v>3385402.5537</v>
      </c>
      <c r="G155" s="13">
        <v>38</v>
      </c>
      <c r="H155" s="13" t="s">
        <v>29</v>
      </c>
      <c r="I155" s="13" cm="1">
        <f t="array" ref="I155">各流量段建筑物坡比(B155,D155)</f>
        <v>2200</v>
      </c>
      <c r="J155" s="14" t="str">
        <f t="shared" si="2"/>
        <v/>
      </c>
      <c r="K155" s="13">
        <v>5.2</v>
      </c>
      <c r="L155" s="13" t="s">
        <v>30</v>
      </c>
      <c r="M155" s="13"/>
      <c r="N155" s="13"/>
      <c r="O155" s="13">
        <v>0.77</v>
      </c>
    </row>
    <row r="156" spans="1:15">
      <c r="A156" s="15" t="s">
        <v>218</v>
      </c>
      <c r="B156" s="12" t="s">
        <v>26</v>
      </c>
      <c r="C156" s="13" t="s">
        <v>27</v>
      </c>
      <c r="D156" s="13" t="s">
        <v>28</v>
      </c>
      <c r="E156" s="4">
        <v>465350.2736</v>
      </c>
      <c r="F156" s="4">
        <v>3385396.08</v>
      </c>
      <c r="G156" s="13">
        <v>38</v>
      </c>
      <c r="H156" s="13" t="s">
        <v>29</v>
      </c>
      <c r="I156" s="13" cm="1">
        <f t="array" ref="I156">各流量段建筑物坡比(B156,D156)</f>
        <v>6000</v>
      </c>
      <c r="J156" s="14">
        <f t="shared" si="2"/>
        <v>0</v>
      </c>
      <c r="K156" s="13">
        <v>6.9</v>
      </c>
    </row>
    <row r="157" spans="1:15">
      <c r="A157" s="12" t="s">
        <v>219</v>
      </c>
      <c r="B157" s="12" t="s">
        <v>26</v>
      </c>
      <c r="C157" s="13" t="s">
        <v>27</v>
      </c>
      <c r="D157" s="13" t="s">
        <v>28</v>
      </c>
      <c r="E157" s="4">
        <v>465484.0095</v>
      </c>
      <c r="F157" s="4">
        <v>3385319.5807</v>
      </c>
      <c r="G157" s="13">
        <v>38</v>
      </c>
      <c r="H157" s="13" t="s">
        <v>29</v>
      </c>
      <c r="I157" s="13" cm="1">
        <f t="array" ref="I157">各流量段建筑物坡比(B157,D157)</f>
        <v>6000</v>
      </c>
      <c r="J157" s="14">
        <f t="shared" si="2"/>
        <v>0</v>
      </c>
      <c r="K157" s="13">
        <v>6.9</v>
      </c>
    </row>
    <row r="158" spans="1:15">
      <c r="A158" s="15" t="s">
        <v>220</v>
      </c>
      <c r="B158" s="12" t="s">
        <v>26</v>
      </c>
      <c r="C158" s="2" t="s">
        <v>221</v>
      </c>
      <c r="D158" s="16" t="s">
        <v>47</v>
      </c>
      <c r="E158" s="4">
        <v>465502.3086</v>
      </c>
      <c r="F158" s="4">
        <v>3385319.1981</v>
      </c>
      <c r="G158" s="13">
        <v>38</v>
      </c>
      <c r="H158" s="13" t="s">
        <v>29</v>
      </c>
      <c r="I158" s="13" cm="1">
        <f t="array" ref="I158">各流量段建筑物坡比(B158,D158)</f>
        <v>2200</v>
      </c>
      <c r="J158" s="14" t="str">
        <f t="shared" si="2"/>
        <v/>
      </c>
      <c r="K158" s="13">
        <v>5.2</v>
      </c>
      <c r="L158" s="13" t="s">
        <v>30</v>
      </c>
      <c r="M158" s="13"/>
      <c r="N158" s="13"/>
      <c r="O158" s="13">
        <v>0.77</v>
      </c>
    </row>
    <row r="159" spans="1:15">
      <c r="A159" s="12" t="s">
        <v>222</v>
      </c>
      <c r="B159" s="12" t="s">
        <v>26</v>
      </c>
      <c r="C159" s="2" t="s">
        <v>221</v>
      </c>
      <c r="D159" s="16" t="s">
        <v>47</v>
      </c>
      <c r="E159" s="4">
        <v>465571.1375</v>
      </c>
      <c r="F159" s="4">
        <v>3385317.759</v>
      </c>
      <c r="G159" s="13">
        <v>38</v>
      </c>
      <c r="H159" s="13" t="s">
        <v>29</v>
      </c>
      <c r="I159" s="13" cm="1">
        <f t="array" ref="I159">各流量段建筑物坡比(B159,D159)</f>
        <v>2200</v>
      </c>
      <c r="J159" s="14" t="str">
        <f t="shared" si="2"/>
        <v/>
      </c>
      <c r="K159" s="13">
        <v>5.2</v>
      </c>
      <c r="L159" s="13" t="s">
        <v>30</v>
      </c>
      <c r="M159" s="13"/>
      <c r="N159" s="13"/>
      <c r="O159" s="13">
        <v>0.77</v>
      </c>
    </row>
    <row r="160" spans="1:15">
      <c r="A160" s="15" t="s">
        <v>223</v>
      </c>
      <c r="B160" s="12" t="s">
        <v>26</v>
      </c>
      <c r="C160" s="13" t="s">
        <v>27</v>
      </c>
      <c r="D160" s="13" t="s">
        <v>28</v>
      </c>
      <c r="E160" s="4">
        <v>465679.0483</v>
      </c>
      <c r="F160" s="4">
        <v>3385315.5027</v>
      </c>
      <c r="G160" s="13">
        <v>38</v>
      </c>
      <c r="H160" s="13" t="s">
        <v>29</v>
      </c>
      <c r="I160" s="13" cm="1">
        <f t="array" ref="I160">各流量段建筑物坡比(B160,D160)</f>
        <v>6000</v>
      </c>
      <c r="J160" s="14">
        <f t="shared" si="2"/>
        <v>0</v>
      </c>
      <c r="K160" s="13">
        <v>6.9</v>
      </c>
    </row>
    <row r="161" spans="1:18">
      <c r="A161" s="12" t="s">
        <v>224</v>
      </c>
      <c r="B161" s="12" t="s">
        <v>26</v>
      </c>
      <c r="C161" s="13" t="s">
        <v>27</v>
      </c>
      <c r="D161" s="13" t="s">
        <v>28</v>
      </c>
      <c r="E161" s="4">
        <v>465841.2765</v>
      </c>
      <c r="F161" s="4">
        <v>3385237.2681</v>
      </c>
      <c r="G161" s="13">
        <v>38</v>
      </c>
      <c r="H161" s="13" t="s">
        <v>29</v>
      </c>
      <c r="I161" s="13" cm="1">
        <f t="array" ref="I161">各流量段建筑物坡比(B161,D161)</f>
        <v>6000</v>
      </c>
      <c r="J161" s="14">
        <f t="shared" si="2"/>
        <v>0</v>
      </c>
      <c r="K161" s="13">
        <v>6.9</v>
      </c>
    </row>
    <row r="162" spans="1:18">
      <c r="A162" s="15" t="s">
        <v>225</v>
      </c>
      <c r="B162" s="12" t="s">
        <v>26</v>
      </c>
      <c r="C162" s="13" t="s">
        <v>27</v>
      </c>
      <c r="D162" s="13" t="s">
        <v>28</v>
      </c>
      <c r="E162" s="4">
        <v>465882.3205</v>
      </c>
      <c r="F162" s="4">
        <v>3385069.8159</v>
      </c>
      <c r="G162" s="13">
        <v>38</v>
      </c>
      <c r="H162" s="13" t="s">
        <v>29</v>
      </c>
      <c r="I162" s="13" cm="1">
        <f t="array" ref="I162">各流量段建筑物坡比(B162,D162)</f>
        <v>6000</v>
      </c>
      <c r="J162" s="14">
        <f t="shared" si="2"/>
        <v>0</v>
      </c>
      <c r="K162" s="13">
        <v>6.9</v>
      </c>
    </row>
    <row r="163" spans="1:18">
      <c r="A163" s="12" t="s">
        <v>226</v>
      </c>
      <c r="B163" s="12" t="s">
        <v>26</v>
      </c>
      <c r="C163" s="13" t="s">
        <v>27</v>
      </c>
      <c r="D163" s="13" t="s">
        <v>28</v>
      </c>
      <c r="E163" s="4">
        <v>466152.1311</v>
      </c>
      <c r="F163" s="4">
        <v>3384806.1444</v>
      </c>
      <c r="G163" s="13">
        <v>38</v>
      </c>
      <c r="H163" s="13" t="s">
        <v>29</v>
      </c>
      <c r="I163" s="13" cm="1">
        <f t="array" ref="I163">各流量段建筑物坡比(B163,D163)</f>
        <v>6000</v>
      </c>
      <c r="J163" s="14">
        <f t="shared" si="2"/>
        <v>0</v>
      </c>
      <c r="K163" s="13">
        <v>6.9</v>
      </c>
    </row>
    <row r="164" spans="1:18">
      <c r="A164" s="15" t="s">
        <v>227</v>
      </c>
      <c r="B164" s="12" t="s">
        <v>26</v>
      </c>
      <c r="C164" s="13" t="s">
        <v>27</v>
      </c>
      <c r="D164" s="13" t="s">
        <v>28</v>
      </c>
      <c r="E164" s="4">
        <v>466202.6279</v>
      </c>
      <c r="F164" s="4">
        <v>3384593.8424</v>
      </c>
      <c r="G164" s="13">
        <v>38</v>
      </c>
      <c r="H164" s="13" t="s">
        <v>29</v>
      </c>
      <c r="I164" s="13" cm="1">
        <f t="array" ref="I164">各流量段建筑物坡比(B164,D164)</f>
        <v>6000</v>
      </c>
      <c r="J164" s="14">
        <f t="shared" si="2"/>
        <v>0</v>
      </c>
      <c r="K164" s="13">
        <v>6.9</v>
      </c>
    </row>
    <row r="165" spans="1:18">
      <c r="A165" s="12" t="s">
        <v>228</v>
      </c>
      <c r="B165" s="12" t="s">
        <v>26</v>
      </c>
      <c r="C165" s="2" t="s">
        <v>229</v>
      </c>
      <c r="D165" s="16" t="s">
        <v>47</v>
      </c>
      <c r="E165" s="4">
        <v>466196.3407</v>
      </c>
      <c r="F165" s="4">
        <v>3384539.9128</v>
      </c>
      <c r="G165" s="13">
        <v>38</v>
      </c>
      <c r="H165" s="13" t="s">
        <v>29</v>
      </c>
      <c r="I165" s="13" cm="1">
        <f t="array" ref="I165">各流量段建筑物坡比(B165,D165)</f>
        <v>2200</v>
      </c>
      <c r="J165" s="14" t="str">
        <f t="shared" si="2"/>
        <v/>
      </c>
      <c r="K165" s="13">
        <v>5.2</v>
      </c>
      <c r="L165" s="13" t="s">
        <v>30</v>
      </c>
      <c r="M165" s="13"/>
      <c r="N165" s="13"/>
      <c r="O165" s="13">
        <v>0.77</v>
      </c>
    </row>
    <row r="166" spans="1:18">
      <c r="A166" s="15" t="s">
        <v>230</v>
      </c>
      <c r="B166" s="12" t="s">
        <v>26</v>
      </c>
      <c r="C166" s="2" t="s">
        <v>229</v>
      </c>
      <c r="D166" s="16" t="s">
        <v>47</v>
      </c>
      <c r="E166" s="4">
        <v>466179.1419</v>
      </c>
      <c r="F166" s="4">
        <v>3384392.3895</v>
      </c>
      <c r="G166" s="13">
        <v>38</v>
      </c>
      <c r="H166" s="13" t="s">
        <v>29</v>
      </c>
      <c r="I166" s="13" cm="1">
        <f t="array" ref="I166">各流量段建筑物坡比(B166,D166)</f>
        <v>2200</v>
      </c>
      <c r="J166" s="14" t="str">
        <f t="shared" si="2"/>
        <v/>
      </c>
      <c r="K166" s="13">
        <v>5.2</v>
      </c>
      <c r="L166" s="13" t="s">
        <v>30</v>
      </c>
      <c r="M166" s="13"/>
      <c r="N166" s="13"/>
      <c r="O166" s="13">
        <v>0.77</v>
      </c>
    </row>
    <row r="167" spans="1:18">
      <c r="A167" s="12" t="s">
        <v>231</v>
      </c>
      <c r="B167" s="12" t="s">
        <v>26</v>
      </c>
      <c r="C167" s="13" t="s">
        <v>27</v>
      </c>
      <c r="D167" s="13" t="s">
        <v>28</v>
      </c>
      <c r="E167" s="4">
        <v>466175.3234</v>
      </c>
      <c r="F167" s="4">
        <v>3384359.6355</v>
      </c>
      <c r="G167" s="13">
        <v>38</v>
      </c>
      <c r="H167" s="13" t="s">
        <v>29</v>
      </c>
      <c r="I167" s="13" cm="1">
        <f t="array" ref="I167">各流量段建筑物坡比(B167,D167)</f>
        <v>6000</v>
      </c>
      <c r="J167" s="14">
        <f t="shared" si="2"/>
        <v>0</v>
      </c>
      <c r="K167" s="13">
        <v>6.9</v>
      </c>
    </row>
    <row r="168" spans="1:18">
      <c r="A168" s="15" t="s">
        <v>232</v>
      </c>
      <c r="B168" s="12" t="s">
        <v>26</v>
      </c>
      <c r="C168" s="2" t="s">
        <v>233</v>
      </c>
      <c r="D168" s="16" t="s">
        <v>47</v>
      </c>
      <c r="E168" s="4">
        <v>466191.4211</v>
      </c>
      <c r="F168" s="4">
        <v>3384342.8118</v>
      </c>
      <c r="G168" s="13">
        <v>38</v>
      </c>
      <c r="H168" s="13" t="s">
        <v>29</v>
      </c>
      <c r="I168" s="13" cm="1">
        <f t="array" ref="I168">各流量段建筑物坡比(B168,D168)</f>
        <v>2200</v>
      </c>
      <c r="J168" s="14" t="str">
        <f t="shared" si="2"/>
        <v/>
      </c>
      <c r="K168" s="13">
        <v>5.2</v>
      </c>
      <c r="L168" s="13" t="s">
        <v>30</v>
      </c>
      <c r="M168" s="13"/>
      <c r="N168" s="13"/>
      <c r="O168" s="13">
        <v>0.77</v>
      </c>
    </row>
    <row r="169" spans="1:18">
      <c r="A169" s="12" t="s">
        <v>234</v>
      </c>
      <c r="B169" s="12" t="s">
        <v>26</v>
      </c>
      <c r="C169" s="2" t="s">
        <v>233</v>
      </c>
      <c r="D169" s="16" t="s">
        <v>47</v>
      </c>
      <c r="E169" s="4">
        <v>466383.7682</v>
      </c>
      <c r="F169" s="4">
        <v>3384141.7909</v>
      </c>
      <c r="G169" s="13">
        <v>38</v>
      </c>
      <c r="H169" s="13" t="s">
        <v>29</v>
      </c>
      <c r="I169" s="13" cm="1">
        <f t="array" ref="I169">各流量段建筑物坡比(B169,D169)</f>
        <v>2200</v>
      </c>
      <c r="J169" s="14" t="str">
        <f t="shared" si="2"/>
        <v/>
      </c>
      <c r="K169" s="13">
        <v>5.2</v>
      </c>
      <c r="L169" s="13" t="s">
        <v>30</v>
      </c>
      <c r="M169" s="13"/>
      <c r="N169" s="13"/>
      <c r="O169" s="13">
        <v>0.77</v>
      </c>
    </row>
    <row r="170" spans="1:18">
      <c r="A170" s="15" t="s">
        <v>235</v>
      </c>
      <c r="B170" s="12" t="s">
        <v>26</v>
      </c>
      <c r="C170" s="13" t="s">
        <v>27</v>
      </c>
      <c r="D170" s="13" t="s">
        <v>28</v>
      </c>
      <c r="E170" s="4">
        <v>466408.7468</v>
      </c>
      <c r="F170" s="4">
        <v>3384115.6859</v>
      </c>
      <c r="G170" s="13">
        <v>38</v>
      </c>
      <c r="H170" s="13" t="s">
        <v>29</v>
      </c>
      <c r="I170" s="13" cm="1">
        <f t="array" ref="I170">各流量段建筑物坡比(B170,D170)</f>
        <v>6000</v>
      </c>
      <c r="J170" s="14">
        <f t="shared" si="2"/>
        <v>0</v>
      </c>
      <c r="K170" s="13">
        <v>6.9</v>
      </c>
    </row>
    <row r="171" spans="1:18">
      <c r="A171" s="12" t="s">
        <v>236</v>
      </c>
      <c r="B171" s="12" t="s">
        <v>26</v>
      </c>
      <c r="C171" s="2" t="s">
        <v>237</v>
      </c>
      <c r="D171" s="16" t="s">
        <v>47</v>
      </c>
      <c r="E171" s="4">
        <v>466426.0486</v>
      </c>
      <c r="F171" s="4">
        <v>3384104.9514</v>
      </c>
      <c r="G171" s="13">
        <v>38</v>
      </c>
      <c r="H171" s="13" t="s">
        <v>29</v>
      </c>
      <c r="I171" s="13" cm="1">
        <f t="array" ref="I171">各流量段建筑物坡比(B171,D171)</f>
        <v>2200</v>
      </c>
      <c r="J171" s="14" t="str">
        <f t="shared" si="2"/>
        <v/>
      </c>
      <c r="K171" s="13">
        <v>5.2</v>
      </c>
      <c r="L171" s="13" t="s">
        <v>30</v>
      </c>
      <c r="M171" s="13"/>
      <c r="N171" s="13"/>
      <c r="O171" s="13">
        <v>0.77</v>
      </c>
    </row>
    <row r="172" spans="1:18">
      <c r="A172" s="15" t="s">
        <v>238</v>
      </c>
      <c r="B172" s="12" t="s">
        <v>26</v>
      </c>
      <c r="C172" s="2" t="s">
        <v>237</v>
      </c>
      <c r="D172" s="16" t="s">
        <v>47</v>
      </c>
      <c r="E172" s="4">
        <v>466545.4593</v>
      </c>
      <c r="F172" s="4">
        <v>3384030.8661</v>
      </c>
      <c r="G172" s="13">
        <v>38</v>
      </c>
      <c r="H172" s="13" t="s">
        <v>29</v>
      </c>
      <c r="I172" s="13" cm="1">
        <f t="array" ref="I172">各流量段建筑物坡比(B172,D172)</f>
        <v>2200</v>
      </c>
      <c r="J172" s="14" t="str">
        <f t="shared" si="2"/>
        <v/>
      </c>
      <c r="K172" s="13">
        <v>5.2</v>
      </c>
      <c r="L172" s="13" t="s">
        <v>30</v>
      </c>
      <c r="M172" s="13"/>
      <c r="N172" s="13"/>
      <c r="O172" s="13">
        <v>0.77</v>
      </c>
    </row>
    <row r="173" spans="1:18">
      <c r="A173" s="12" t="s">
        <v>239</v>
      </c>
      <c r="B173" s="12" t="s">
        <v>26</v>
      </c>
      <c r="C173" s="13" t="s">
        <v>27</v>
      </c>
      <c r="D173" s="13" t="s">
        <v>28</v>
      </c>
      <c r="E173" s="4">
        <v>466597.8374</v>
      </c>
      <c r="F173" s="4">
        <v>3383998.3694</v>
      </c>
      <c r="G173" s="13">
        <v>38</v>
      </c>
      <c r="H173" s="13" t="s">
        <v>29</v>
      </c>
      <c r="I173" s="13" cm="1">
        <f t="array" ref="I173">各流量段建筑物坡比(B173,D173)</f>
        <v>6000</v>
      </c>
      <c r="J173" s="14">
        <f t="shared" si="2"/>
        <v>0</v>
      </c>
      <c r="K173" s="13">
        <v>6.9</v>
      </c>
    </row>
    <row r="174" spans="1:18">
      <c r="A174" s="15" t="s">
        <v>240</v>
      </c>
      <c r="B174" s="12" t="s">
        <v>26</v>
      </c>
      <c r="C174" s="2" t="s">
        <v>241</v>
      </c>
      <c r="D174" s="13" t="s">
        <v>35</v>
      </c>
      <c r="E174" s="4">
        <v>466644.688</v>
      </c>
      <c r="F174" s="4">
        <v>3383986.2265</v>
      </c>
      <c r="G174" s="13">
        <v>38</v>
      </c>
      <c r="H174" s="13" t="s">
        <v>29</v>
      </c>
      <c r="I174" s="13" cm="1">
        <f t="array" ref="I174">各流量段建筑物坡比(B174,D174)</f>
        <v>2500</v>
      </c>
      <c r="J174" s="14" t="str">
        <f t="shared" si="2"/>
        <v/>
      </c>
      <c r="K174" s="16">
        <v>5.2</v>
      </c>
      <c r="L174" s="16" t="s">
        <v>30</v>
      </c>
      <c r="M174" s="16" t="s">
        <v>30</v>
      </c>
      <c r="N174" s="16" t="s">
        <v>30</v>
      </c>
      <c r="O174" s="16" t="s">
        <v>30</v>
      </c>
      <c r="P174" s="16" t="s">
        <v>30</v>
      </c>
      <c r="Q174" s="16" t="s">
        <v>30</v>
      </c>
      <c r="R174" s="16">
        <v>180</v>
      </c>
    </row>
    <row r="175" spans="1:18">
      <c r="A175" s="12" t="s">
        <v>242</v>
      </c>
      <c r="B175" s="12" t="s">
        <v>26</v>
      </c>
      <c r="C175" s="2" t="s">
        <v>241</v>
      </c>
      <c r="D175" s="13" t="s">
        <v>35</v>
      </c>
      <c r="E175" s="4">
        <v>466781.3937</v>
      </c>
      <c r="F175" s="4">
        <v>3383950.7947</v>
      </c>
      <c r="G175" s="13">
        <v>38</v>
      </c>
      <c r="H175" s="13" t="s">
        <v>29</v>
      </c>
      <c r="I175" s="13" cm="1">
        <f t="array" ref="I175">各流量段建筑物坡比(B175,D175)</f>
        <v>2500</v>
      </c>
      <c r="J175" s="14" t="str">
        <f t="shared" si="2"/>
        <v/>
      </c>
      <c r="K175" s="16">
        <v>5.2</v>
      </c>
      <c r="L175" s="16" t="s">
        <v>30</v>
      </c>
      <c r="M175" s="16" t="s">
        <v>30</v>
      </c>
      <c r="N175" s="16" t="s">
        <v>30</v>
      </c>
      <c r="O175" s="16" t="s">
        <v>30</v>
      </c>
      <c r="P175" s="16" t="s">
        <v>30</v>
      </c>
      <c r="Q175" s="16" t="s">
        <v>30</v>
      </c>
      <c r="R175" s="16">
        <v>180</v>
      </c>
    </row>
    <row r="176" spans="1:18">
      <c r="A176" s="15" t="s">
        <v>243</v>
      </c>
      <c r="B176" s="12" t="s">
        <v>26</v>
      </c>
      <c r="C176" s="2" t="s">
        <v>241</v>
      </c>
      <c r="D176" s="13" t="s">
        <v>35</v>
      </c>
      <c r="E176" s="4">
        <v>466835.8231</v>
      </c>
      <c r="F176" s="4">
        <v>3383981.4937</v>
      </c>
      <c r="G176" s="13">
        <v>38</v>
      </c>
      <c r="H176" s="13" t="s">
        <v>29</v>
      </c>
      <c r="I176" s="13" cm="1">
        <f t="array" ref="I176">各流量段建筑物坡比(B176,D176)</f>
        <v>2500</v>
      </c>
      <c r="J176" s="14" t="str">
        <f t="shared" si="2"/>
        <v/>
      </c>
      <c r="K176" s="16">
        <v>5.2</v>
      </c>
      <c r="L176" s="16" t="s">
        <v>30</v>
      </c>
      <c r="M176" s="16" t="s">
        <v>30</v>
      </c>
      <c r="N176" s="16" t="s">
        <v>30</v>
      </c>
      <c r="O176" s="16" t="s">
        <v>30</v>
      </c>
      <c r="P176" s="16" t="s">
        <v>30</v>
      </c>
      <c r="Q176" s="16" t="s">
        <v>30</v>
      </c>
      <c r="R176" s="16">
        <v>180</v>
      </c>
    </row>
    <row r="177" spans="1:18">
      <c r="A177" s="12" t="s">
        <v>244</v>
      </c>
      <c r="B177" s="12" t="s">
        <v>26</v>
      </c>
      <c r="C177" s="2" t="s">
        <v>245</v>
      </c>
      <c r="D177" s="16" t="s">
        <v>47</v>
      </c>
      <c r="E177" s="4">
        <v>466859.6521</v>
      </c>
      <c r="F177" s="4">
        <v>3383994.9336</v>
      </c>
      <c r="G177" s="13">
        <v>38</v>
      </c>
      <c r="H177" s="13" t="s">
        <v>29</v>
      </c>
      <c r="I177" s="13" cm="1">
        <f t="array" ref="I177">各流量段建筑物坡比(B177,D177)</f>
        <v>2200</v>
      </c>
      <c r="J177" s="14" t="str">
        <f t="shared" si="2"/>
        <v/>
      </c>
      <c r="K177" s="13">
        <v>5.2</v>
      </c>
      <c r="L177" s="13" t="s">
        <v>30</v>
      </c>
      <c r="M177" s="13"/>
      <c r="N177" s="13"/>
      <c r="O177" s="13">
        <v>0.77</v>
      </c>
    </row>
    <row r="178" spans="1:18">
      <c r="A178" s="15" t="s">
        <v>246</v>
      </c>
      <c r="B178" s="12" t="s">
        <v>26</v>
      </c>
      <c r="C178" s="2" t="s">
        <v>245</v>
      </c>
      <c r="D178" s="16" t="s">
        <v>47</v>
      </c>
      <c r="E178" s="4">
        <v>466986.7233</v>
      </c>
      <c r="F178" s="4">
        <v>3384066.6037</v>
      </c>
      <c r="G178" s="13">
        <v>38</v>
      </c>
      <c r="H178" s="13" t="s">
        <v>29</v>
      </c>
      <c r="I178" s="13" cm="1">
        <f t="array" ref="I178">各流量段建筑物坡比(B178,D178)</f>
        <v>2200</v>
      </c>
      <c r="J178" s="14" t="str">
        <f t="shared" si="2"/>
        <v/>
      </c>
      <c r="K178" s="13">
        <v>5.2</v>
      </c>
      <c r="L178" s="13" t="s">
        <v>30</v>
      </c>
      <c r="M178" s="13"/>
      <c r="N178" s="13"/>
      <c r="O178" s="13">
        <v>0.77</v>
      </c>
    </row>
    <row r="179" spans="1:18">
      <c r="A179" s="12" t="s">
        <v>247</v>
      </c>
      <c r="B179" s="12" t="s">
        <v>26</v>
      </c>
      <c r="C179" s="2" t="s">
        <v>245</v>
      </c>
      <c r="D179" s="13" t="s">
        <v>35</v>
      </c>
      <c r="E179" s="4">
        <v>467035.6066</v>
      </c>
      <c r="F179" s="4">
        <v>3384094.1746</v>
      </c>
      <c r="G179" s="13">
        <v>38</v>
      </c>
      <c r="H179" s="13" t="s">
        <v>29</v>
      </c>
      <c r="I179" s="13" cm="1">
        <f t="array" ref="I179">各流量段建筑物坡比(B179,D179)</f>
        <v>2500</v>
      </c>
      <c r="J179" s="14" t="str">
        <f t="shared" si="2"/>
        <v/>
      </c>
      <c r="K179" s="16">
        <v>5.2</v>
      </c>
      <c r="L179" s="16" t="s">
        <v>30</v>
      </c>
      <c r="M179" s="16" t="s">
        <v>30</v>
      </c>
      <c r="N179" s="16" t="s">
        <v>30</v>
      </c>
      <c r="O179" s="16" t="s">
        <v>30</v>
      </c>
      <c r="P179" s="16" t="s">
        <v>30</v>
      </c>
      <c r="Q179" s="16" t="s">
        <v>30</v>
      </c>
      <c r="R179" s="16">
        <v>180</v>
      </c>
    </row>
    <row r="180" spans="1:18">
      <c r="A180" s="15" t="s">
        <v>248</v>
      </c>
      <c r="B180" s="12" t="s">
        <v>26</v>
      </c>
      <c r="C180" s="2" t="s">
        <v>245</v>
      </c>
      <c r="D180" s="13" t="s">
        <v>35</v>
      </c>
      <c r="E180" s="4">
        <v>467086.1937</v>
      </c>
      <c r="F180" s="4">
        <v>3384122.7065</v>
      </c>
      <c r="G180" s="13">
        <v>38</v>
      </c>
      <c r="H180" s="13" t="s">
        <v>29</v>
      </c>
      <c r="I180" s="13" cm="1">
        <f t="array" ref="I180">各流量段建筑物坡比(B180,D180)</f>
        <v>2500</v>
      </c>
      <c r="J180" s="14" t="str">
        <f t="shared" si="2"/>
        <v/>
      </c>
      <c r="K180" s="16">
        <v>5.2</v>
      </c>
      <c r="L180" s="16" t="s">
        <v>30</v>
      </c>
      <c r="M180" s="16" t="s">
        <v>30</v>
      </c>
      <c r="N180" s="16" t="s">
        <v>30</v>
      </c>
      <c r="O180" s="16" t="s">
        <v>30</v>
      </c>
      <c r="P180" s="16" t="s">
        <v>30</v>
      </c>
      <c r="Q180" s="16" t="s">
        <v>30</v>
      </c>
      <c r="R180" s="16">
        <v>180</v>
      </c>
    </row>
    <row r="181" spans="1:18">
      <c r="A181" s="12" t="s">
        <v>249</v>
      </c>
      <c r="B181" s="12" t="s">
        <v>26</v>
      </c>
      <c r="C181" s="2" t="s">
        <v>245</v>
      </c>
      <c r="D181" s="13" t="s">
        <v>35</v>
      </c>
      <c r="E181" s="4">
        <v>467196.0635</v>
      </c>
      <c r="F181" s="4">
        <v>3384147.1046</v>
      </c>
      <c r="G181" s="13">
        <v>38</v>
      </c>
      <c r="H181" s="13" t="s">
        <v>29</v>
      </c>
      <c r="I181" s="13" cm="1">
        <f t="array" ref="I181">各流量段建筑物坡比(B181,D181)</f>
        <v>2500</v>
      </c>
      <c r="J181" s="14" t="str">
        <f t="shared" si="2"/>
        <v/>
      </c>
      <c r="K181" s="16">
        <v>5.2</v>
      </c>
      <c r="L181" s="16" t="s">
        <v>30</v>
      </c>
      <c r="M181" s="16" t="s">
        <v>30</v>
      </c>
      <c r="N181" s="16" t="s">
        <v>30</v>
      </c>
      <c r="O181" s="16" t="s">
        <v>30</v>
      </c>
      <c r="P181" s="16" t="s">
        <v>30</v>
      </c>
      <c r="Q181" s="16" t="s">
        <v>30</v>
      </c>
      <c r="R181" s="16">
        <v>180</v>
      </c>
    </row>
    <row r="182" spans="1:18">
      <c r="A182" s="15" t="s">
        <v>250</v>
      </c>
      <c r="B182" s="12" t="s">
        <v>26</v>
      </c>
      <c r="C182" s="2" t="s">
        <v>251</v>
      </c>
      <c r="D182" s="16" t="s">
        <v>47</v>
      </c>
      <c r="E182" s="4">
        <v>467240.017</v>
      </c>
      <c r="F182" s="4">
        <v>3384156.865</v>
      </c>
      <c r="G182" s="13">
        <v>38</v>
      </c>
      <c r="H182" s="13" t="s">
        <v>29</v>
      </c>
      <c r="I182" s="13" cm="1">
        <f t="array" ref="I182">各流量段建筑物坡比(B182,D182)</f>
        <v>2200</v>
      </c>
      <c r="J182" s="14" t="str">
        <f t="shared" si="2"/>
        <v/>
      </c>
      <c r="K182" s="13">
        <v>5.2</v>
      </c>
      <c r="L182" s="13" t="s">
        <v>30</v>
      </c>
      <c r="M182" s="13"/>
      <c r="N182" s="13"/>
      <c r="O182" s="13">
        <v>0.77</v>
      </c>
    </row>
    <row r="183" spans="1:18">
      <c r="A183" s="12" t="s">
        <v>252</v>
      </c>
      <c r="B183" s="12" t="s">
        <v>26</v>
      </c>
      <c r="C183" s="2" t="s">
        <v>251</v>
      </c>
      <c r="D183" s="16" t="s">
        <v>47</v>
      </c>
      <c r="E183" s="4">
        <v>467471.4516</v>
      </c>
      <c r="F183" s="4">
        <v>3384208.2583</v>
      </c>
      <c r="G183" s="13">
        <v>38</v>
      </c>
      <c r="H183" s="13" t="s">
        <v>29</v>
      </c>
      <c r="I183" s="13" cm="1">
        <f t="array" ref="I183">各流量段建筑物坡比(B183,D183)</f>
        <v>2200</v>
      </c>
      <c r="J183" s="14" t="str">
        <f t="shared" si="2"/>
        <v/>
      </c>
      <c r="K183" s="13">
        <v>5.2</v>
      </c>
      <c r="L183" s="13" t="s">
        <v>30</v>
      </c>
      <c r="M183" s="13"/>
      <c r="N183" s="13"/>
      <c r="O183" s="13">
        <v>0.77</v>
      </c>
    </row>
    <row r="184" spans="1:18">
      <c r="A184" s="15" t="s">
        <v>253</v>
      </c>
      <c r="B184" s="12" t="s">
        <v>26</v>
      </c>
      <c r="C184" s="13" t="s">
        <v>27</v>
      </c>
      <c r="D184" s="13" t="s">
        <v>28</v>
      </c>
      <c r="E184" s="4">
        <v>467518.1556</v>
      </c>
      <c r="F184" s="4">
        <v>3384218.6296</v>
      </c>
      <c r="G184" s="13">
        <v>38</v>
      </c>
      <c r="H184" s="13" t="s">
        <v>29</v>
      </c>
      <c r="I184" s="13" cm="1">
        <f t="array" ref="I184">各流量段建筑物坡比(B184,D184)</f>
        <v>6000</v>
      </c>
      <c r="J184" s="14">
        <f t="shared" si="2"/>
        <v>0</v>
      </c>
      <c r="K184" s="13">
        <v>6.9</v>
      </c>
    </row>
    <row r="185" spans="1:18">
      <c r="A185" s="12" t="s">
        <v>254</v>
      </c>
      <c r="B185" s="12" t="s">
        <v>26</v>
      </c>
      <c r="C185" s="2" t="s">
        <v>255</v>
      </c>
      <c r="D185" s="13" t="s">
        <v>35</v>
      </c>
      <c r="E185" s="4">
        <v>467548.1392</v>
      </c>
      <c r="F185" s="4">
        <v>3384223.977</v>
      </c>
      <c r="G185" s="13">
        <v>38</v>
      </c>
      <c r="H185" s="13" t="s">
        <v>29</v>
      </c>
      <c r="I185" s="13" cm="1">
        <f t="array" ref="I185">各流量段建筑物坡比(B185,D185)</f>
        <v>2500</v>
      </c>
      <c r="J185" s="14" t="str">
        <f t="shared" si="2"/>
        <v/>
      </c>
      <c r="K185" s="16">
        <v>5.2</v>
      </c>
      <c r="L185" s="16" t="s">
        <v>30</v>
      </c>
      <c r="M185" s="16" t="s">
        <v>30</v>
      </c>
      <c r="N185" s="16" t="s">
        <v>30</v>
      </c>
      <c r="O185" s="16" t="s">
        <v>30</v>
      </c>
      <c r="P185" s="16" t="s">
        <v>30</v>
      </c>
      <c r="Q185" s="16" t="s">
        <v>30</v>
      </c>
      <c r="R185" s="16">
        <v>180</v>
      </c>
    </row>
    <row r="186" spans="1:18">
      <c r="A186" s="15" t="s">
        <v>256</v>
      </c>
      <c r="B186" s="12" t="s">
        <v>26</v>
      </c>
      <c r="C186" s="2" t="s">
        <v>255</v>
      </c>
      <c r="D186" s="13" t="s">
        <v>35</v>
      </c>
      <c r="E186" s="4">
        <v>467762.1714</v>
      </c>
      <c r="F186" s="4">
        <v>3384262.1481</v>
      </c>
      <c r="G186" s="13">
        <v>38</v>
      </c>
      <c r="H186" s="13" t="s">
        <v>29</v>
      </c>
      <c r="I186" s="13" cm="1">
        <f t="array" ref="I186">各流量段建筑物坡比(B186,D186)</f>
        <v>2500</v>
      </c>
      <c r="J186" s="14" t="str">
        <f t="shared" si="2"/>
        <v/>
      </c>
      <c r="K186" s="16">
        <v>5.2</v>
      </c>
      <c r="L186" s="16" t="s">
        <v>30</v>
      </c>
      <c r="M186" s="16" t="s">
        <v>30</v>
      </c>
      <c r="N186" s="16" t="s">
        <v>30</v>
      </c>
      <c r="O186" s="16" t="s">
        <v>30</v>
      </c>
      <c r="P186" s="16" t="s">
        <v>30</v>
      </c>
      <c r="Q186" s="16" t="s">
        <v>30</v>
      </c>
      <c r="R186" s="16">
        <v>180</v>
      </c>
    </row>
    <row r="187" spans="1:18">
      <c r="A187" s="12" t="s">
        <v>257</v>
      </c>
      <c r="B187" s="12" t="s">
        <v>26</v>
      </c>
      <c r="C187" s="13" t="s">
        <v>27</v>
      </c>
      <c r="D187" s="13" t="s">
        <v>28</v>
      </c>
      <c r="E187" s="4">
        <v>467824.7816</v>
      </c>
      <c r="F187" s="4">
        <v>3384273.3142</v>
      </c>
      <c r="G187" s="13">
        <v>38</v>
      </c>
      <c r="H187" s="13" t="s">
        <v>29</v>
      </c>
      <c r="I187" s="13" cm="1">
        <f t="array" ref="I187">各流量段建筑物坡比(B187,D187)</f>
        <v>6000</v>
      </c>
      <c r="J187" s="14">
        <f t="shared" si="2"/>
        <v>0</v>
      </c>
      <c r="K187" s="13">
        <v>6.9</v>
      </c>
    </row>
    <row r="188" spans="1:18">
      <c r="A188" s="15" t="s">
        <v>258</v>
      </c>
      <c r="B188" s="12" t="s">
        <v>26</v>
      </c>
      <c r="C188" s="2" t="s">
        <v>259</v>
      </c>
      <c r="D188" s="13" t="s">
        <v>35</v>
      </c>
      <c r="E188" s="4">
        <v>467905.1287</v>
      </c>
      <c r="F188" s="4">
        <v>3384277.2533</v>
      </c>
      <c r="G188" s="13">
        <v>38</v>
      </c>
      <c r="H188" s="13" t="s">
        <v>29</v>
      </c>
      <c r="I188" s="13" cm="1">
        <f t="array" ref="I188">各流量段建筑物坡比(B188,D188)</f>
        <v>2500</v>
      </c>
      <c r="J188" s="14" t="str">
        <f t="shared" si="2"/>
        <v/>
      </c>
      <c r="K188" s="16">
        <v>5.2</v>
      </c>
      <c r="L188" s="16" t="s">
        <v>30</v>
      </c>
      <c r="M188" s="16" t="s">
        <v>30</v>
      </c>
      <c r="N188" s="16" t="s">
        <v>30</v>
      </c>
      <c r="O188" s="16" t="s">
        <v>30</v>
      </c>
      <c r="P188" s="16" t="s">
        <v>30</v>
      </c>
      <c r="Q188" s="16" t="s">
        <v>30</v>
      </c>
      <c r="R188" s="16">
        <v>180</v>
      </c>
    </row>
    <row r="189" spans="1:18">
      <c r="A189" s="12" t="s">
        <v>260</v>
      </c>
      <c r="B189" s="12" t="s">
        <v>26</v>
      </c>
      <c r="C189" s="2" t="s">
        <v>259</v>
      </c>
      <c r="D189" s="13" t="s">
        <v>35</v>
      </c>
      <c r="E189" s="4">
        <v>468314.332</v>
      </c>
      <c r="F189" s="4">
        <v>3384297.3149</v>
      </c>
      <c r="G189" s="13">
        <v>38</v>
      </c>
      <c r="H189" s="13" t="s">
        <v>29</v>
      </c>
      <c r="I189" s="13" cm="1">
        <f t="array" ref="I189">各流量段建筑物坡比(B189,D189)</f>
        <v>2500</v>
      </c>
      <c r="J189" s="14" t="str">
        <f t="shared" si="2"/>
        <v/>
      </c>
      <c r="K189" s="16">
        <v>5.2</v>
      </c>
      <c r="L189" s="16" t="s">
        <v>30</v>
      </c>
      <c r="M189" s="16" t="s">
        <v>30</v>
      </c>
      <c r="N189" s="16" t="s">
        <v>30</v>
      </c>
      <c r="O189" s="16" t="s">
        <v>30</v>
      </c>
      <c r="P189" s="16" t="s">
        <v>30</v>
      </c>
      <c r="Q189" s="16" t="s">
        <v>30</v>
      </c>
      <c r="R189" s="16">
        <v>180</v>
      </c>
    </row>
    <row r="190" spans="1:18">
      <c r="A190" s="15" t="s">
        <v>261</v>
      </c>
      <c r="B190" s="12" t="s">
        <v>26</v>
      </c>
      <c r="C190" s="2" t="s">
        <v>259</v>
      </c>
      <c r="D190" s="13" t="s">
        <v>35</v>
      </c>
      <c r="E190" s="4">
        <v>468408.2689</v>
      </c>
      <c r="F190" s="4">
        <v>3384240.7852</v>
      </c>
      <c r="G190" s="13">
        <v>38</v>
      </c>
      <c r="H190" s="13" t="s">
        <v>29</v>
      </c>
      <c r="I190" s="13" cm="1">
        <f t="array" ref="I190">各流量段建筑物坡比(B190,D190)</f>
        <v>2500</v>
      </c>
      <c r="J190" s="14" t="str">
        <f t="shared" si="2"/>
        <v/>
      </c>
      <c r="K190" s="16">
        <v>5.2</v>
      </c>
      <c r="L190" s="16" t="s">
        <v>30</v>
      </c>
      <c r="M190" s="16" t="s">
        <v>30</v>
      </c>
      <c r="N190" s="16" t="s">
        <v>30</v>
      </c>
      <c r="O190" s="16" t="s">
        <v>30</v>
      </c>
      <c r="P190" s="16" t="s">
        <v>30</v>
      </c>
      <c r="Q190" s="16" t="s">
        <v>30</v>
      </c>
      <c r="R190" s="16">
        <v>180</v>
      </c>
    </row>
    <row r="191" spans="1:18">
      <c r="A191" s="12" t="s">
        <v>262</v>
      </c>
      <c r="B191" s="12" t="s">
        <v>26</v>
      </c>
      <c r="C191" s="2" t="s">
        <v>263</v>
      </c>
      <c r="D191" s="16" t="s">
        <v>47</v>
      </c>
      <c r="E191" s="4">
        <v>468442.1798</v>
      </c>
      <c r="F191" s="4">
        <v>3384220.3782</v>
      </c>
      <c r="G191" s="13">
        <v>38</v>
      </c>
      <c r="H191" s="13" t="s">
        <v>29</v>
      </c>
      <c r="I191" s="13" cm="1">
        <f t="array" ref="I191">各流量段建筑物坡比(B191,D191)</f>
        <v>2200</v>
      </c>
      <c r="J191" s="14" t="str">
        <f t="shared" si="2"/>
        <v/>
      </c>
      <c r="K191" s="13">
        <v>5.2</v>
      </c>
      <c r="L191" s="13" t="s">
        <v>30</v>
      </c>
      <c r="M191" s="13"/>
      <c r="N191" s="13"/>
      <c r="O191" s="13">
        <v>0.77</v>
      </c>
    </row>
    <row r="192" spans="1:18">
      <c r="A192" s="15" t="s">
        <v>264</v>
      </c>
      <c r="B192" s="12" t="s">
        <v>26</v>
      </c>
      <c r="C192" s="2" t="s">
        <v>263</v>
      </c>
      <c r="D192" s="16" t="s">
        <v>47</v>
      </c>
      <c r="E192" s="4">
        <v>468537.3348</v>
      </c>
      <c r="F192" s="4">
        <v>3384163.1155</v>
      </c>
      <c r="G192" s="13">
        <v>38</v>
      </c>
      <c r="H192" s="13" t="s">
        <v>29</v>
      </c>
      <c r="I192" s="13" cm="1">
        <f t="array" ref="I192">各流量段建筑物坡比(B192,D192)</f>
        <v>2200</v>
      </c>
      <c r="J192" s="14" t="str">
        <f t="shared" si="2"/>
        <v/>
      </c>
      <c r="K192" s="13">
        <v>5.2</v>
      </c>
      <c r="L192" s="13" t="s">
        <v>30</v>
      </c>
      <c r="M192" s="13"/>
      <c r="N192" s="13"/>
      <c r="O192" s="13">
        <v>0.77</v>
      </c>
    </row>
    <row r="193" spans="1:18">
      <c r="A193" s="12" t="s">
        <v>265</v>
      </c>
      <c r="B193" s="12" t="s">
        <v>26</v>
      </c>
      <c r="C193" s="2" t="s">
        <v>266</v>
      </c>
      <c r="D193" s="13" t="s">
        <v>35</v>
      </c>
      <c r="E193" s="4">
        <v>468572.0126</v>
      </c>
      <c r="F193" s="4">
        <v>3384142.247</v>
      </c>
      <c r="G193" s="13">
        <v>38</v>
      </c>
      <c r="H193" s="13" t="s">
        <v>29</v>
      </c>
      <c r="I193" s="13" cm="1">
        <f t="array" ref="I193">各流量段建筑物坡比(B193,D193)</f>
        <v>2500</v>
      </c>
      <c r="J193" s="14" t="str">
        <f t="shared" si="2"/>
        <v/>
      </c>
      <c r="K193" s="16">
        <v>5.2</v>
      </c>
      <c r="L193" s="16" t="s">
        <v>30</v>
      </c>
      <c r="M193" s="16" t="s">
        <v>30</v>
      </c>
      <c r="N193" s="16" t="s">
        <v>30</v>
      </c>
      <c r="O193" s="16" t="s">
        <v>30</v>
      </c>
      <c r="P193" s="16" t="s">
        <v>30</v>
      </c>
      <c r="Q193" s="16" t="s">
        <v>30</v>
      </c>
      <c r="R193" s="16">
        <v>180</v>
      </c>
    </row>
    <row r="194" spans="1:18">
      <c r="A194" s="15" t="s">
        <v>267</v>
      </c>
      <c r="B194" s="12" t="s">
        <v>26</v>
      </c>
      <c r="C194" s="2" t="s">
        <v>266</v>
      </c>
      <c r="D194" s="13" t="s">
        <v>35</v>
      </c>
      <c r="E194" s="4">
        <v>468683.2018</v>
      </c>
      <c r="F194" s="4">
        <v>3384075.3353</v>
      </c>
      <c r="G194" s="13">
        <v>38</v>
      </c>
      <c r="H194" s="13" t="s">
        <v>29</v>
      </c>
      <c r="I194" s="13" cm="1">
        <f t="array" ref="I194">各流量段建筑物坡比(B194,D194)</f>
        <v>2500</v>
      </c>
      <c r="J194" s="14" t="str">
        <f t="shared" si="2"/>
        <v/>
      </c>
      <c r="K194" s="16">
        <v>5.2</v>
      </c>
      <c r="L194" s="16" t="s">
        <v>30</v>
      </c>
      <c r="M194" s="16" t="s">
        <v>30</v>
      </c>
      <c r="N194" s="16" t="s">
        <v>30</v>
      </c>
      <c r="O194" s="16" t="s">
        <v>30</v>
      </c>
      <c r="P194" s="16" t="s">
        <v>30</v>
      </c>
      <c r="Q194" s="16" t="s">
        <v>30</v>
      </c>
      <c r="R194" s="16">
        <v>180</v>
      </c>
    </row>
    <row r="195" spans="1:18">
      <c r="A195" s="12" t="s">
        <v>268</v>
      </c>
      <c r="B195" s="12" t="s">
        <v>26</v>
      </c>
      <c r="C195" s="2" t="s">
        <v>266</v>
      </c>
      <c r="D195" s="13" t="s">
        <v>35</v>
      </c>
      <c r="E195" s="4">
        <v>468912.2777</v>
      </c>
      <c r="F195" s="4">
        <v>3384001.5863</v>
      </c>
      <c r="G195" s="13">
        <v>38</v>
      </c>
      <c r="H195" s="13" t="s">
        <v>29</v>
      </c>
      <c r="I195" s="13" cm="1">
        <f t="array" ref="I195">各流量段建筑物坡比(B195,D195)</f>
        <v>2500</v>
      </c>
      <c r="J195" s="14" t="str">
        <f t="shared" si="2"/>
        <v/>
      </c>
      <c r="K195" s="16">
        <v>5.2</v>
      </c>
      <c r="L195" s="16" t="s">
        <v>30</v>
      </c>
      <c r="M195" s="16" t="s">
        <v>30</v>
      </c>
      <c r="N195" s="16" t="s">
        <v>30</v>
      </c>
      <c r="O195" s="16" t="s">
        <v>30</v>
      </c>
      <c r="P195" s="16" t="s">
        <v>30</v>
      </c>
      <c r="Q195" s="16" t="s">
        <v>30</v>
      </c>
      <c r="R195" s="16">
        <v>180</v>
      </c>
    </row>
    <row r="196" s="1" customFormat="1" spans="1:18">
      <c r="A196" s="15" t="s">
        <v>269</v>
      </c>
      <c r="B196" s="17" t="s">
        <v>26</v>
      </c>
      <c r="C196" s="1" t="s">
        <v>270</v>
      </c>
      <c r="D196" s="1" t="s">
        <v>271</v>
      </c>
      <c r="E196" s="18">
        <v>468929.2611</v>
      </c>
      <c r="F196" s="18">
        <v>3383996.1186</v>
      </c>
      <c r="G196" s="19">
        <v>38</v>
      </c>
      <c r="H196" s="19" t="s">
        <v>29</v>
      </c>
      <c r="I196" s="13" t="str" cm="1">
        <f t="array" ref="I196">各流量段建筑物坡比(B196,D196)</f>
        <v/>
      </c>
      <c r="J196" s="14" t="str">
        <f t="shared" ref="J196:J259" si="3">IF(C196="-",IF(ISNUMBER(SEARCH("矩形",D196)),0,IF(ISNUMBER(SEARCH("梯形",D196)),1.5,"")),"")</f>
        <v/>
      </c>
    </row>
    <row r="197" s="1" customFormat="1" spans="1:18">
      <c r="A197" s="12" t="s">
        <v>272</v>
      </c>
      <c r="B197" s="17" t="s">
        <v>26</v>
      </c>
      <c r="C197" s="1" t="s">
        <v>270</v>
      </c>
      <c r="D197" s="1" t="s">
        <v>271</v>
      </c>
      <c r="E197" s="18">
        <v>468929.2611</v>
      </c>
      <c r="F197" s="18">
        <v>3383996.1186</v>
      </c>
      <c r="G197" s="19">
        <v>38</v>
      </c>
      <c r="H197" s="19" t="s">
        <v>29</v>
      </c>
      <c r="I197" s="13" t="str" cm="1">
        <f t="array" ref="I197">各流量段建筑物坡比(B197,D197)</f>
        <v/>
      </c>
      <c r="J197" s="14" t="str">
        <f t="shared" si="3"/>
        <v/>
      </c>
    </row>
    <row r="198" spans="1:18">
      <c r="A198" s="15" t="s">
        <v>273</v>
      </c>
      <c r="B198" s="2">
        <v>2</v>
      </c>
      <c r="C198" s="2" t="s">
        <v>274</v>
      </c>
      <c r="D198" s="13" t="s">
        <v>35</v>
      </c>
      <c r="E198" s="4">
        <v>469072.308</v>
      </c>
      <c r="F198" s="4">
        <v>3383950.0659</v>
      </c>
      <c r="G198" s="2">
        <v>31.9</v>
      </c>
      <c r="H198" s="13" t="s">
        <v>29</v>
      </c>
      <c r="I198" s="13" cm="1">
        <f t="array" ref="I198">各流量段建筑物坡比(B198,D198)</f>
        <v>5500</v>
      </c>
      <c r="J198" s="14" t="str">
        <f t="shared" si="3"/>
        <v/>
      </c>
      <c r="K198" s="2">
        <v>5.6</v>
      </c>
      <c r="R198" s="2">
        <v>180</v>
      </c>
    </row>
    <row r="199" spans="1:18">
      <c r="A199" s="12" t="s">
        <v>275</v>
      </c>
      <c r="B199" s="2">
        <v>2</v>
      </c>
      <c r="C199" s="2" t="s">
        <v>274</v>
      </c>
      <c r="D199" s="13" t="s">
        <v>35</v>
      </c>
      <c r="E199" s="4">
        <v>469205.893</v>
      </c>
      <c r="F199" s="4">
        <v>3383907.0594</v>
      </c>
      <c r="G199" s="2">
        <v>31.9</v>
      </c>
      <c r="H199" s="13" t="s">
        <v>29</v>
      </c>
      <c r="I199" s="13" cm="1">
        <f t="array" ref="I199">各流量段建筑物坡比(B199,D199)</f>
        <v>5500</v>
      </c>
      <c r="J199" s="14" t="str">
        <f t="shared" si="3"/>
        <v/>
      </c>
      <c r="K199" s="2">
        <v>5.6</v>
      </c>
      <c r="R199" s="2">
        <v>180</v>
      </c>
    </row>
    <row r="200" spans="1:18">
      <c r="A200" s="15" t="s">
        <v>276</v>
      </c>
      <c r="B200" s="2">
        <v>2</v>
      </c>
      <c r="C200" s="2" t="s">
        <v>274</v>
      </c>
      <c r="D200" s="13" t="s">
        <v>35</v>
      </c>
      <c r="E200" s="4">
        <v>469238.4096</v>
      </c>
      <c r="F200" s="4">
        <v>3383913.7349</v>
      </c>
      <c r="G200" s="2">
        <v>31.9</v>
      </c>
      <c r="H200" s="13" t="s">
        <v>29</v>
      </c>
      <c r="I200" s="13" cm="1">
        <f t="array" ref="I200">各流量段建筑物坡比(B200,D200)</f>
        <v>5500</v>
      </c>
      <c r="J200" s="14" t="str">
        <f t="shared" si="3"/>
        <v/>
      </c>
      <c r="K200" s="2">
        <v>5.6</v>
      </c>
      <c r="R200" s="2">
        <v>180</v>
      </c>
    </row>
    <row r="201" spans="1:18">
      <c r="A201" s="12" t="s">
        <v>277</v>
      </c>
      <c r="B201" s="2">
        <v>2</v>
      </c>
      <c r="C201" s="2" t="s">
        <v>278</v>
      </c>
      <c r="D201" s="16" t="s">
        <v>47</v>
      </c>
      <c r="E201" s="4">
        <v>469273.3353</v>
      </c>
      <c r="F201" s="4">
        <v>3383920.9049</v>
      </c>
      <c r="G201" s="2">
        <v>31.9</v>
      </c>
      <c r="H201" s="13" t="s">
        <v>29</v>
      </c>
      <c r="I201" s="13" cm="1">
        <f t="array" ref="I201">各流量段建筑物坡比(B201,D201)</f>
        <v>3000</v>
      </c>
      <c r="J201" s="14" t="str">
        <f t="shared" si="3"/>
        <v/>
      </c>
      <c r="K201" s="2">
        <v>5.1</v>
      </c>
      <c r="O201" s="2">
        <v>0.79</v>
      </c>
    </row>
    <row r="202" spans="1:18">
      <c r="A202" s="15" t="s">
        <v>279</v>
      </c>
      <c r="B202" s="2">
        <v>2</v>
      </c>
      <c r="C202" s="2" t="s">
        <v>278</v>
      </c>
      <c r="D202" s="16" t="s">
        <v>47</v>
      </c>
      <c r="E202" s="4">
        <v>469388.3215</v>
      </c>
      <c r="F202" s="4">
        <v>3383944.511</v>
      </c>
      <c r="G202" s="2">
        <v>31.9</v>
      </c>
      <c r="H202" s="13" t="s">
        <v>29</v>
      </c>
      <c r="I202" s="13" cm="1">
        <f t="array" ref="I202">各流量段建筑物坡比(B202,D202)</f>
        <v>3000</v>
      </c>
      <c r="J202" s="14" t="str">
        <f t="shared" si="3"/>
        <v/>
      </c>
      <c r="K202" s="2">
        <v>5.1</v>
      </c>
      <c r="O202" s="2">
        <v>0.79</v>
      </c>
    </row>
    <row r="203" spans="1:18">
      <c r="A203" s="12" t="s">
        <v>280</v>
      </c>
      <c r="B203" s="2">
        <v>2</v>
      </c>
      <c r="C203" s="13" t="s">
        <v>27</v>
      </c>
      <c r="D203" s="13" t="s">
        <v>28</v>
      </c>
      <c r="E203" s="4">
        <v>469477.9764</v>
      </c>
      <c r="F203" s="4">
        <v>3383962.9166</v>
      </c>
      <c r="G203" s="2">
        <v>31.9</v>
      </c>
      <c r="H203" s="13" t="s">
        <v>29</v>
      </c>
      <c r="I203" s="13" cm="1">
        <f t="array" ref="I203">各流量段建筑物坡比(B203,D203)</f>
        <v>6000</v>
      </c>
      <c r="J203" s="14">
        <f t="shared" si="3"/>
        <v>0</v>
      </c>
      <c r="K203" s="13">
        <v>6.9</v>
      </c>
    </row>
    <row r="204" spans="1:18">
      <c r="A204" s="15" t="s">
        <v>281</v>
      </c>
      <c r="B204" s="2">
        <v>2</v>
      </c>
      <c r="C204" s="13" t="s">
        <v>27</v>
      </c>
      <c r="D204" s="13" t="s">
        <v>28</v>
      </c>
      <c r="E204" s="4">
        <v>469523.5734</v>
      </c>
      <c r="F204" s="4">
        <v>3383963.6794</v>
      </c>
      <c r="G204" s="2">
        <v>31.9</v>
      </c>
      <c r="H204" s="13" t="s">
        <v>29</v>
      </c>
      <c r="I204" s="13" cm="1">
        <f t="array" ref="I204">各流量段建筑物坡比(B204,D204)</f>
        <v>6000</v>
      </c>
      <c r="J204" s="14">
        <f t="shared" si="3"/>
        <v>0</v>
      </c>
      <c r="K204" s="13">
        <v>6.9</v>
      </c>
    </row>
    <row r="205" spans="1:18">
      <c r="A205" s="12" t="s">
        <v>282</v>
      </c>
      <c r="B205" s="2">
        <v>2</v>
      </c>
      <c r="C205" s="13" t="s">
        <v>27</v>
      </c>
      <c r="D205" s="13" t="s">
        <v>28</v>
      </c>
      <c r="E205" s="4">
        <v>469577.0426</v>
      </c>
      <c r="F205" s="4">
        <v>3383982.4548</v>
      </c>
      <c r="G205" s="2">
        <v>31.9</v>
      </c>
      <c r="H205" s="13" t="s">
        <v>29</v>
      </c>
      <c r="I205" s="13" cm="1">
        <f t="array" ref="I205">各流量段建筑物坡比(B205,D205)</f>
        <v>6000</v>
      </c>
      <c r="J205" s="14">
        <f t="shared" si="3"/>
        <v>0</v>
      </c>
      <c r="K205" s="13">
        <v>6.9</v>
      </c>
    </row>
    <row r="206" spans="1:18">
      <c r="A206" s="15" t="s">
        <v>283</v>
      </c>
      <c r="B206" s="2">
        <v>2</v>
      </c>
      <c r="C206" s="13" t="s">
        <v>27</v>
      </c>
      <c r="D206" s="13" t="s">
        <v>28</v>
      </c>
      <c r="E206" s="4">
        <v>469659.14</v>
      </c>
      <c r="F206" s="4">
        <v>3383986.7828</v>
      </c>
      <c r="G206" s="2">
        <v>31.9</v>
      </c>
      <c r="H206" s="13" t="s">
        <v>29</v>
      </c>
      <c r="I206" s="13" cm="1">
        <f t="array" ref="I206">各流量段建筑物坡比(B206,D206)</f>
        <v>6000</v>
      </c>
      <c r="J206" s="14">
        <f t="shared" si="3"/>
        <v>0</v>
      </c>
      <c r="K206" s="13">
        <v>6.9</v>
      </c>
    </row>
    <row r="207" spans="1:18">
      <c r="A207" s="12" t="s">
        <v>284</v>
      </c>
      <c r="B207" s="2">
        <v>2</v>
      </c>
      <c r="C207" s="2" t="s">
        <v>285</v>
      </c>
      <c r="D207" s="13" t="s">
        <v>35</v>
      </c>
      <c r="E207" s="4">
        <v>469693.0144</v>
      </c>
      <c r="F207" s="4">
        <v>3384009.3925</v>
      </c>
      <c r="G207" s="2">
        <v>31.9</v>
      </c>
      <c r="H207" s="13" t="s">
        <v>29</v>
      </c>
      <c r="I207" s="13" cm="1">
        <f t="array" ref="I207">各流量段建筑物坡比(B207,D207)</f>
        <v>5500</v>
      </c>
      <c r="J207" s="14" t="str">
        <f t="shared" si="3"/>
        <v/>
      </c>
      <c r="K207" s="2">
        <v>5.6</v>
      </c>
      <c r="R207" s="2">
        <v>180</v>
      </c>
    </row>
    <row r="208" spans="1:18">
      <c r="A208" s="15" t="s">
        <v>286</v>
      </c>
      <c r="B208" s="2">
        <v>2</v>
      </c>
      <c r="C208" s="2" t="s">
        <v>285</v>
      </c>
      <c r="D208" s="13" t="s">
        <v>35</v>
      </c>
      <c r="E208" s="4">
        <v>469802.2934</v>
      </c>
      <c r="F208" s="4">
        <v>3384082.3315</v>
      </c>
      <c r="G208" s="2">
        <v>31.9</v>
      </c>
      <c r="H208" s="13" t="s">
        <v>29</v>
      </c>
      <c r="I208" s="13" cm="1">
        <f t="array" ref="I208">各流量段建筑物坡比(B208,D208)</f>
        <v>5500</v>
      </c>
      <c r="J208" s="14" t="str">
        <f t="shared" si="3"/>
        <v/>
      </c>
      <c r="K208" s="2">
        <v>5.6</v>
      </c>
      <c r="R208" s="2">
        <v>180</v>
      </c>
    </row>
    <row r="209" spans="1:18">
      <c r="A209" s="12" t="s">
        <v>287</v>
      </c>
      <c r="B209" s="2">
        <v>2</v>
      </c>
      <c r="C209" s="2" t="s">
        <v>285</v>
      </c>
      <c r="D209" s="13" t="s">
        <v>35</v>
      </c>
      <c r="E209" s="4">
        <v>470156.7431</v>
      </c>
      <c r="F209" s="4">
        <v>3384074.4435</v>
      </c>
      <c r="G209" s="2">
        <v>31.9</v>
      </c>
      <c r="H209" s="13" t="s">
        <v>29</v>
      </c>
      <c r="I209" s="13" cm="1">
        <f t="array" ref="I209">各流量段建筑物坡比(B209,D209)</f>
        <v>5500</v>
      </c>
      <c r="J209" s="14" t="str">
        <f t="shared" si="3"/>
        <v/>
      </c>
      <c r="K209" s="2">
        <v>5.6</v>
      </c>
      <c r="R209" s="2">
        <v>180</v>
      </c>
    </row>
    <row r="210" spans="1:18">
      <c r="A210" s="15" t="s">
        <v>288</v>
      </c>
      <c r="B210" s="2">
        <v>2</v>
      </c>
      <c r="C210" s="2" t="s">
        <v>285</v>
      </c>
      <c r="D210" s="13" t="s">
        <v>35</v>
      </c>
      <c r="E210" s="4">
        <v>470240.6901</v>
      </c>
      <c r="F210" s="4">
        <v>3384047.0119</v>
      </c>
      <c r="G210" s="2">
        <v>31.9</v>
      </c>
      <c r="H210" s="13" t="s">
        <v>29</v>
      </c>
      <c r="I210" s="13" cm="1">
        <f t="array" ref="I210">各流量段建筑物坡比(B210,D210)</f>
        <v>5500</v>
      </c>
      <c r="J210" s="14" t="str">
        <f t="shared" si="3"/>
        <v/>
      </c>
      <c r="K210" s="2">
        <v>5.6</v>
      </c>
      <c r="R210" s="2">
        <v>180</v>
      </c>
    </row>
    <row r="211" spans="1:18">
      <c r="A211" s="12" t="s">
        <v>289</v>
      </c>
      <c r="B211" s="2">
        <v>2</v>
      </c>
      <c r="C211" s="13" t="s">
        <v>27</v>
      </c>
      <c r="D211" s="13" t="s">
        <v>28</v>
      </c>
      <c r="E211" s="4">
        <v>470315.0975</v>
      </c>
      <c r="F211" s="4">
        <v>3384022.6977</v>
      </c>
      <c r="G211" s="2">
        <v>31.9</v>
      </c>
      <c r="H211" s="13" t="s">
        <v>29</v>
      </c>
      <c r="I211" s="13" cm="1">
        <f t="array" ref="I211">各流量段建筑物坡比(B211,D211)</f>
        <v>6000</v>
      </c>
      <c r="J211" s="14">
        <f t="shared" si="3"/>
        <v>0</v>
      </c>
      <c r="K211" s="13">
        <v>6.9</v>
      </c>
    </row>
    <row r="212" spans="1:18">
      <c r="A212" s="15" t="s">
        <v>290</v>
      </c>
      <c r="B212" s="2">
        <v>2</v>
      </c>
      <c r="C212" s="2" t="s">
        <v>291</v>
      </c>
      <c r="D212" s="16" t="s">
        <v>47</v>
      </c>
      <c r="E212" s="4">
        <v>470353.7996</v>
      </c>
      <c r="F212" s="4">
        <v>3384017.9923</v>
      </c>
      <c r="G212" s="2">
        <v>31.9</v>
      </c>
      <c r="H212" s="13" t="s">
        <v>29</v>
      </c>
      <c r="I212" s="13" cm="1">
        <f t="array" ref="I212">各流量段建筑物坡比(B212,D212)</f>
        <v>3000</v>
      </c>
      <c r="J212" s="14" t="str">
        <f t="shared" si="3"/>
        <v/>
      </c>
      <c r="K212" s="2">
        <v>5.1</v>
      </c>
      <c r="O212" s="2">
        <v>0.79</v>
      </c>
    </row>
    <row r="213" spans="1:18">
      <c r="A213" s="12" t="s">
        <v>292</v>
      </c>
      <c r="B213" s="2">
        <v>2</v>
      </c>
      <c r="C213" s="2" t="s">
        <v>291</v>
      </c>
      <c r="D213" s="16" t="s">
        <v>47</v>
      </c>
      <c r="E213" s="4">
        <v>470420.622</v>
      </c>
      <c r="F213" s="4">
        <v>3384009.8682</v>
      </c>
      <c r="G213" s="2">
        <v>31.9</v>
      </c>
      <c r="H213" s="13" t="s">
        <v>29</v>
      </c>
      <c r="I213" s="13" cm="1">
        <f t="array" ref="I213">各流量段建筑物坡比(B213,D213)</f>
        <v>3000</v>
      </c>
      <c r="J213" s="14" t="str">
        <f t="shared" si="3"/>
        <v/>
      </c>
      <c r="K213" s="2">
        <v>5.1</v>
      </c>
      <c r="O213" s="2">
        <v>0.79</v>
      </c>
    </row>
    <row r="214" spans="1:18">
      <c r="A214" s="15" t="s">
        <v>293</v>
      </c>
      <c r="B214" s="2">
        <v>2</v>
      </c>
      <c r="C214" s="2" t="s">
        <v>294</v>
      </c>
      <c r="D214" s="13" t="s">
        <v>35</v>
      </c>
      <c r="E214" s="4">
        <v>470472.9688</v>
      </c>
      <c r="F214" s="4">
        <v>3384003.5039</v>
      </c>
      <c r="G214" s="2">
        <v>31.9</v>
      </c>
      <c r="H214" s="13" t="s">
        <v>29</v>
      </c>
      <c r="I214" s="13" cm="1">
        <f t="array" ref="I214">各流量段建筑物坡比(B214,D214)</f>
        <v>5500</v>
      </c>
      <c r="J214" s="14" t="str">
        <f t="shared" si="3"/>
        <v/>
      </c>
      <c r="K214" s="2">
        <v>5.6</v>
      </c>
      <c r="R214" s="2">
        <v>180</v>
      </c>
    </row>
    <row r="215" spans="1:18">
      <c r="A215" s="12" t="s">
        <v>295</v>
      </c>
      <c r="B215" s="2">
        <v>2</v>
      </c>
      <c r="C215" s="2" t="s">
        <v>294</v>
      </c>
      <c r="D215" s="13" t="s">
        <v>35</v>
      </c>
      <c r="E215" s="4">
        <v>470551.3653</v>
      </c>
      <c r="F215" s="4">
        <v>3383993.9726</v>
      </c>
      <c r="G215" s="2">
        <v>31.9</v>
      </c>
      <c r="H215" s="13" t="s">
        <v>29</v>
      </c>
      <c r="I215" s="13" cm="1">
        <f t="array" ref="I215">各流量段建筑物坡比(B215,D215)</f>
        <v>5500</v>
      </c>
      <c r="J215" s="14" t="str">
        <f t="shared" si="3"/>
        <v/>
      </c>
      <c r="K215" s="2">
        <v>5.6</v>
      </c>
      <c r="R215" s="2">
        <v>180</v>
      </c>
    </row>
    <row r="216" spans="1:18">
      <c r="A216" s="15" t="s">
        <v>296</v>
      </c>
      <c r="B216" s="2">
        <v>2</v>
      </c>
      <c r="C216" s="2" t="s">
        <v>294</v>
      </c>
      <c r="D216" s="13" t="s">
        <v>35</v>
      </c>
      <c r="E216" s="4">
        <v>471365.2555</v>
      </c>
      <c r="F216" s="4">
        <v>3383617.1895</v>
      </c>
      <c r="G216" s="2">
        <v>31.9</v>
      </c>
      <c r="H216" s="13" t="s">
        <v>29</v>
      </c>
      <c r="I216" s="13" cm="1">
        <f t="array" ref="I216">各流量段建筑物坡比(B216,D216)</f>
        <v>5500</v>
      </c>
      <c r="J216" s="14" t="str">
        <f t="shared" si="3"/>
        <v/>
      </c>
      <c r="K216" s="2">
        <v>5.6</v>
      </c>
      <c r="R216" s="2">
        <v>180</v>
      </c>
    </row>
    <row r="217" spans="1:18">
      <c r="A217" s="12" t="s">
        <v>297</v>
      </c>
      <c r="B217" s="2">
        <v>2</v>
      </c>
      <c r="C217" s="2" t="s">
        <v>294</v>
      </c>
      <c r="D217" s="13" t="s">
        <v>35</v>
      </c>
      <c r="E217" s="4">
        <v>471560.7823</v>
      </c>
      <c r="F217" s="4">
        <v>3383448.0701</v>
      </c>
      <c r="G217" s="2">
        <v>31.9</v>
      </c>
      <c r="H217" s="13" t="s">
        <v>29</v>
      </c>
      <c r="I217" s="13" cm="1">
        <f t="array" ref="I217">各流量段建筑物坡比(B217,D217)</f>
        <v>5500</v>
      </c>
      <c r="J217" s="14" t="str">
        <f t="shared" si="3"/>
        <v/>
      </c>
      <c r="K217" s="2">
        <v>5.6</v>
      </c>
      <c r="R217" s="2">
        <v>180</v>
      </c>
    </row>
    <row r="218" spans="1:18">
      <c r="A218" s="15" t="s">
        <v>298</v>
      </c>
      <c r="B218" s="2">
        <v>2</v>
      </c>
      <c r="C218" s="2" t="s">
        <v>294</v>
      </c>
      <c r="D218" s="13" t="s">
        <v>35</v>
      </c>
      <c r="E218" s="4">
        <v>471679.5136</v>
      </c>
      <c r="F218" s="4">
        <v>3383309.5507</v>
      </c>
      <c r="G218" s="2">
        <v>31.9</v>
      </c>
      <c r="H218" s="13" t="s">
        <v>29</v>
      </c>
      <c r="I218" s="13" cm="1">
        <f t="array" ref="I218">各流量段建筑物坡比(B218,D218)</f>
        <v>5500</v>
      </c>
      <c r="J218" s="14" t="str">
        <f t="shared" si="3"/>
        <v/>
      </c>
      <c r="K218" s="2">
        <v>5.6</v>
      </c>
      <c r="R218" s="2">
        <v>180</v>
      </c>
    </row>
    <row r="219" spans="1:18">
      <c r="A219" s="12" t="s">
        <v>299</v>
      </c>
      <c r="B219" s="2">
        <v>2</v>
      </c>
      <c r="C219" s="13" t="s">
        <v>27</v>
      </c>
      <c r="D219" s="13" t="s">
        <v>28</v>
      </c>
      <c r="E219" s="4">
        <v>471702.9624</v>
      </c>
      <c r="F219" s="4">
        <v>3383282.1939</v>
      </c>
      <c r="G219" s="2">
        <v>31.9</v>
      </c>
      <c r="H219" s="13" t="s">
        <v>29</v>
      </c>
      <c r="I219" s="13" cm="1">
        <f t="array" ref="I219">各流量段建筑物坡比(B219,D219)</f>
        <v>6000</v>
      </c>
      <c r="J219" s="14">
        <f t="shared" si="3"/>
        <v>0</v>
      </c>
      <c r="K219" s="13">
        <v>6.9</v>
      </c>
    </row>
    <row r="220" spans="1:18">
      <c r="A220" s="15" t="s">
        <v>300</v>
      </c>
      <c r="B220" s="2">
        <v>2</v>
      </c>
      <c r="C220" s="13" t="s">
        <v>27</v>
      </c>
      <c r="D220" s="13" t="s">
        <v>28</v>
      </c>
      <c r="E220" s="4">
        <v>471741.1329</v>
      </c>
      <c r="F220" s="4">
        <v>3383272.7583</v>
      </c>
      <c r="G220" s="2">
        <v>31.9</v>
      </c>
      <c r="H220" s="13" t="s">
        <v>29</v>
      </c>
      <c r="I220" s="13" cm="1">
        <f t="array" ref="I220">各流量段建筑物坡比(B220,D220)</f>
        <v>6000</v>
      </c>
      <c r="J220" s="14">
        <f t="shared" si="3"/>
        <v>0</v>
      </c>
      <c r="K220" s="13">
        <v>6.9</v>
      </c>
    </row>
    <row r="221" spans="1:18">
      <c r="A221" s="12" t="s">
        <v>301</v>
      </c>
      <c r="B221" s="2">
        <v>2</v>
      </c>
      <c r="C221" s="2" t="s">
        <v>302</v>
      </c>
      <c r="D221" s="13" t="s">
        <v>35</v>
      </c>
      <c r="E221" s="4">
        <v>471779.9048</v>
      </c>
      <c r="F221" s="4">
        <v>3383175.2951</v>
      </c>
      <c r="G221" s="2">
        <v>31.9</v>
      </c>
      <c r="H221" s="13" t="s">
        <v>29</v>
      </c>
      <c r="I221" s="13" cm="1">
        <f t="array" ref="I221">各流量段建筑物坡比(B221,D221)</f>
        <v>5500</v>
      </c>
      <c r="J221" s="14" t="str">
        <f t="shared" si="3"/>
        <v/>
      </c>
      <c r="K221" s="2">
        <v>5.6</v>
      </c>
      <c r="R221" s="2">
        <v>180</v>
      </c>
    </row>
    <row r="222" spans="1:18">
      <c r="A222" s="15" t="s">
        <v>303</v>
      </c>
      <c r="B222" s="2">
        <v>2</v>
      </c>
      <c r="C222" s="2" t="s">
        <v>302</v>
      </c>
      <c r="D222" s="13" t="s">
        <v>35</v>
      </c>
      <c r="E222" s="4">
        <v>471819.2636</v>
      </c>
      <c r="F222" s="4">
        <v>3383076.3565</v>
      </c>
      <c r="G222" s="2">
        <v>31.9</v>
      </c>
      <c r="H222" s="13" t="s">
        <v>29</v>
      </c>
      <c r="I222" s="13" cm="1">
        <f t="array" ref="I222">各流量段建筑物坡比(B222,D222)</f>
        <v>5500</v>
      </c>
      <c r="J222" s="14" t="str">
        <f t="shared" si="3"/>
        <v/>
      </c>
      <c r="K222" s="2">
        <v>5.6</v>
      </c>
      <c r="R222" s="2">
        <v>180</v>
      </c>
    </row>
    <row r="223" spans="1:18">
      <c r="A223" s="12" t="s">
        <v>304</v>
      </c>
      <c r="B223" s="2">
        <v>2</v>
      </c>
      <c r="C223" s="13" t="s">
        <v>27</v>
      </c>
      <c r="D223" s="13" t="s">
        <v>28</v>
      </c>
      <c r="E223" s="4">
        <v>471832.0643</v>
      </c>
      <c r="F223" s="4">
        <v>3383044.1788</v>
      </c>
      <c r="G223" s="2">
        <v>31.9</v>
      </c>
      <c r="H223" s="13" t="s">
        <v>29</v>
      </c>
      <c r="I223" s="13" cm="1">
        <f t="array" ref="I223">各流量段建筑物坡比(B223,D223)</f>
        <v>6000</v>
      </c>
      <c r="J223" s="14">
        <f t="shared" si="3"/>
        <v>0</v>
      </c>
      <c r="K223" s="13">
        <v>6.9</v>
      </c>
    </row>
    <row r="224" spans="1:18">
      <c r="A224" s="15" t="s">
        <v>305</v>
      </c>
      <c r="B224" s="2">
        <v>2</v>
      </c>
      <c r="C224" s="13" t="s">
        <v>27</v>
      </c>
      <c r="D224" s="13" t="s">
        <v>28</v>
      </c>
      <c r="E224" s="4">
        <v>471869.2601</v>
      </c>
      <c r="F224" s="4">
        <v>3382968.808</v>
      </c>
      <c r="G224" s="2">
        <v>31.9</v>
      </c>
      <c r="H224" s="13" t="s">
        <v>29</v>
      </c>
      <c r="I224" s="13" cm="1">
        <f t="array" ref="I224">各流量段建筑物坡比(B224,D224)</f>
        <v>6000</v>
      </c>
      <c r="J224" s="14">
        <f t="shared" si="3"/>
        <v>0</v>
      </c>
      <c r="K224" s="13">
        <v>6.9</v>
      </c>
    </row>
    <row r="225" spans="1:18">
      <c r="A225" s="12" t="s">
        <v>306</v>
      </c>
      <c r="B225" s="2">
        <v>2</v>
      </c>
      <c r="C225" s="13" t="s">
        <v>27</v>
      </c>
      <c r="D225" s="13" t="s">
        <v>28</v>
      </c>
      <c r="E225" s="4">
        <v>471939.1576</v>
      </c>
      <c r="F225" s="4">
        <v>3382921.0901</v>
      </c>
      <c r="G225" s="2">
        <v>31.9</v>
      </c>
      <c r="H225" s="13" t="s">
        <v>29</v>
      </c>
      <c r="I225" s="13" cm="1">
        <f t="array" ref="I225">各流量段建筑物坡比(B225,D225)</f>
        <v>6000</v>
      </c>
      <c r="J225" s="14">
        <f t="shared" si="3"/>
        <v>0</v>
      </c>
      <c r="K225" s="13">
        <v>6.9</v>
      </c>
    </row>
    <row r="226" spans="1:18">
      <c r="A226" s="15" t="s">
        <v>307</v>
      </c>
      <c r="B226" s="2">
        <v>2</v>
      </c>
      <c r="C226" s="2" t="s">
        <v>308</v>
      </c>
      <c r="D226" s="13" t="s">
        <v>35</v>
      </c>
      <c r="E226" s="4">
        <v>471957.2992</v>
      </c>
      <c r="F226" s="4">
        <v>3382895.2967</v>
      </c>
      <c r="G226" s="2">
        <v>31.9</v>
      </c>
      <c r="H226" s="13" t="s">
        <v>29</v>
      </c>
      <c r="I226" s="13" cm="1">
        <f t="array" ref="I226">各流量段建筑物坡比(B226,D226)</f>
        <v>5500</v>
      </c>
      <c r="J226" s="14" t="str">
        <f t="shared" si="3"/>
        <v/>
      </c>
      <c r="K226" s="2">
        <v>5.6</v>
      </c>
      <c r="R226" s="2">
        <v>180</v>
      </c>
    </row>
    <row r="227" spans="1:18">
      <c r="A227" s="12" t="s">
        <v>309</v>
      </c>
      <c r="B227" s="2">
        <v>2</v>
      </c>
      <c r="C227" s="2" t="s">
        <v>308</v>
      </c>
      <c r="D227" s="13" t="s">
        <v>35</v>
      </c>
      <c r="E227" s="4">
        <v>472047.7315</v>
      </c>
      <c r="F227" s="4">
        <v>3382766.7219</v>
      </c>
      <c r="G227" s="2">
        <v>31.9</v>
      </c>
      <c r="H227" s="13" t="s">
        <v>29</v>
      </c>
      <c r="I227" s="13" cm="1">
        <f t="array" ref="I227">各流量段建筑物坡比(B227,D227)</f>
        <v>5500</v>
      </c>
      <c r="J227" s="14" t="str">
        <f t="shared" si="3"/>
        <v/>
      </c>
      <c r="K227" s="2">
        <v>5.6</v>
      </c>
      <c r="R227" s="2">
        <v>180</v>
      </c>
    </row>
    <row r="228" spans="1:18">
      <c r="A228" s="15" t="s">
        <v>310</v>
      </c>
      <c r="B228" s="2">
        <v>2</v>
      </c>
      <c r="C228" s="13" t="s">
        <v>27</v>
      </c>
      <c r="D228" s="13" t="s">
        <v>28</v>
      </c>
      <c r="E228" s="4">
        <v>472114.7288</v>
      </c>
      <c r="F228" s="4">
        <v>3382671.4665</v>
      </c>
      <c r="G228" s="2">
        <v>31.9</v>
      </c>
      <c r="H228" s="13" t="s">
        <v>29</v>
      </c>
      <c r="I228" s="13" cm="1">
        <f t="array" ref="I228">各流量段建筑物坡比(B228,D228)</f>
        <v>6000</v>
      </c>
      <c r="J228" s="14">
        <f t="shared" si="3"/>
        <v>0</v>
      </c>
      <c r="K228" s="13">
        <v>6.9</v>
      </c>
    </row>
    <row r="229" spans="1:18">
      <c r="A229" s="12" t="s">
        <v>311</v>
      </c>
      <c r="B229" s="2">
        <v>2</v>
      </c>
      <c r="C229" s="13" t="s">
        <v>27</v>
      </c>
      <c r="D229" s="13" t="s">
        <v>28</v>
      </c>
      <c r="E229" s="4">
        <v>472265.8847</v>
      </c>
      <c r="F229" s="4">
        <v>3382595.7379</v>
      </c>
      <c r="G229" s="2">
        <v>31.9</v>
      </c>
      <c r="H229" s="13" t="s">
        <v>29</v>
      </c>
      <c r="I229" s="13" cm="1">
        <f t="array" ref="I229">各流量段建筑物坡比(B229,D229)</f>
        <v>6000</v>
      </c>
      <c r="J229" s="14">
        <f t="shared" si="3"/>
        <v>0</v>
      </c>
      <c r="K229" s="13">
        <v>6.9</v>
      </c>
    </row>
    <row r="230" spans="1:18">
      <c r="A230" s="15" t="s">
        <v>312</v>
      </c>
      <c r="B230" s="2">
        <v>2</v>
      </c>
      <c r="C230" s="2" t="s">
        <v>313</v>
      </c>
      <c r="D230" s="13" t="s">
        <v>35</v>
      </c>
      <c r="E230" s="4">
        <v>472286.783</v>
      </c>
      <c r="F230" s="4">
        <v>3382566.1897</v>
      </c>
      <c r="G230" s="2">
        <v>31.9</v>
      </c>
      <c r="H230" s="13" t="s">
        <v>29</v>
      </c>
      <c r="I230" s="13" cm="1">
        <f t="array" ref="I230">各流量段建筑物坡比(B230,D230)</f>
        <v>5500</v>
      </c>
      <c r="J230" s="14" t="str">
        <f t="shared" si="3"/>
        <v/>
      </c>
      <c r="K230" s="2">
        <v>5.6</v>
      </c>
      <c r="R230" s="2">
        <v>180</v>
      </c>
    </row>
    <row r="231" spans="1:18">
      <c r="A231" s="12" t="s">
        <v>314</v>
      </c>
      <c r="B231" s="2">
        <v>2</v>
      </c>
      <c r="C231" s="2" t="s">
        <v>313</v>
      </c>
      <c r="D231" s="13" t="s">
        <v>35</v>
      </c>
      <c r="E231" s="4">
        <v>472361.5596</v>
      </c>
      <c r="F231" s="4">
        <v>3382460.4629</v>
      </c>
      <c r="G231" s="2">
        <v>31.9</v>
      </c>
      <c r="H231" s="13" t="s">
        <v>29</v>
      </c>
      <c r="I231" s="13" cm="1">
        <f t="array" ref="I231">各流量段建筑物坡比(B231,D231)</f>
        <v>5500</v>
      </c>
      <c r="J231" s="14" t="str">
        <f t="shared" si="3"/>
        <v/>
      </c>
      <c r="K231" s="2">
        <v>5.6</v>
      </c>
      <c r="R231" s="2">
        <v>180</v>
      </c>
    </row>
    <row r="232" spans="1:18">
      <c r="A232" s="15" t="s">
        <v>315</v>
      </c>
      <c r="B232" s="2">
        <v>2</v>
      </c>
      <c r="C232" s="13" t="s">
        <v>27</v>
      </c>
      <c r="D232" s="13" t="s">
        <v>28</v>
      </c>
      <c r="E232" s="4">
        <v>472385.2076</v>
      </c>
      <c r="F232" s="4">
        <v>3382427.027</v>
      </c>
      <c r="G232" s="2">
        <v>31.9</v>
      </c>
      <c r="H232" s="13" t="s">
        <v>29</v>
      </c>
      <c r="I232" s="13" cm="1">
        <f t="array" ref="I232">各流量段建筑物坡比(B232,D232)</f>
        <v>6000</v>
      </c>
      <c r="J232" s="14">
        <f t="shared" si="3"/>
        <v>0</v>
      </c>
      <c r="K232" s="13">
        <v>6.9</v>
      </c>
    </row>
    <row r="233" spans="1:18">
      <c r="A233" s="12" t="s">
        <v>316</v>
      </c>
      <c r="B233" s="2">
        <v>2</v>
      </c>
      <c r="C233" s="13" t="s">
        <v>27</v>
      </c>
      <c r="D233" s="13" t="s">
        <v>28</v>
      </c>
      <c r="E233" s="4">
        <v>472560.6593</v>
      </c>
      <c r="F233" s="4">
        <v>3382340.7054</v>
      </c>
      <c r="G233" s="2">
        <v>31.9</v>
      </c>
      <c r="H233" s="13" t="s">
        <v>29</v>
      </c>
      <c r="I233" s="13" cm="1">
        <f t="array" ref="I233">各流量段建筑物坡比(B233,D233)</f>
        <v>6000</v>
      </c>
      <c r="J233" s="14">
        <f t="shared" si="3"/>
        <v>0</v>
      </c>
      <c r="K233" s="13">
        <v>6.9</v>
      </c>
    </row>
    <row r="234" spans="1:18">
      <c r="A234" s="15" t="s">
        <v>317</v>
      </c>
      <c r="B234" s="2">
        <v>2</v>
      </c>
      <c r="C234" s="2" t="s">
        <v>318</v>
      </c>
      <c r="D234" s="13" t="s">
        <v>35</v>
      </c>
      <c r="E234" s="4">
        <v>472582.827</v>
      </c>
      <c r="F234" s="4">
        <v>3382331.6238</v>
      </c>
      <c r="G234" s="2">
        <v>31.9</v>
      </c>
      <c r="H234" s="13" t="s">
        <v>29</v>
      </c>
      <c r="I234" s="13" cm="1">
        <f t="array" ref="I234">各流量段建筑物坡比(B234,D234)</f>
        <v>5500</v>
      </c>
      <c r="J234" s="14" t="str">
        <f t="shared" si="3"/>
        <v/>
      </c>
      <c r="K234" s="2">
        <v>5.6</v>
      </c>
      <c r="R234" s="2">
        <v>180</v>
      </c>
    </row>
    <row r="235" spans="1:18">
      <c r="A235" s="12" t="s">
        <v>319</v>
      </c>
      <c r="B235" s="2">
        <v>2</v>
      </c>
      <c r="C235" s="2" t="s">
        <v>318</v>
      </c>
      <c r="D235" s="13" t="s">
        <v>35</v>
      </c>
      <c r="E235" s="4">
        <v>472836.7471</v>
      </c>
      <c r="F235" s="4">
        <v>3382227.598</v>
      </c>
      <c r="G235" s="2">
        <v>31.9</v>
      </c>
      <c r="H235" s="13" t="s">
        <v>29</v>
      </c>
      <c r="I235" s="13" cm="1">
        <f t="array" ref="I235">各流量段建筑物坡比(B235,D235)</f>
        <v>5500</v>
      </c>
      <c r="J235" s="14" t="str">
        <f t="shared" si="3"/>
        <v/>
      </c>
      <c r="K235" s="2">
        <v>5.6</v>
      </c>
      <c r="R235" s="2">
        <v>180</v>
      </c>
    </row>
    <row r="236" spans="1:18">
      <c r="A236" s="15" t="s">
        <v>320</v>
      </c>
      <c r="B236" s="2">
        <v>2</v>
      </c>
      <c r="C236" s="13" t="s">
        <v>27</v>
      </c>
      <c r="D236" s="13" t="s">
        <v>28</v>
      </c>
      <c r="E236" s="4">
        <v>472884.6368</v>
      </c>
      <c r="F236" s="4">
        <v>3382207.9785</v>
      </c>
      <c r="G236" s="2">
        <v>31.9</v>
      </c>
      <c r="H236" s="13" t="s">
        <v>29</v>
      </c>
      <c r="I236" s="13" cm="1">
        <f t="array" ref="I236">各流量段建筑物坡比(B236,D236)</f>
        <v>6000</v>
      </c>
      <c r="J236" s="14">
        <f t="shared" si="3"/>
        <v>0</v>
      </c>
      <c r="K236" s="13">
        <v>6.9</v>
      </c>
    </row>
    <row r="237" spans="1:18">
      <c r="A237" s="12" t="s">
        <v>321</v>
      </c>
      <c r="B237" s="2">
        <v>2</v>
      </c>
      <c r="C237" s="13" t="s">
        <v>27</v>
      </c>
      <c r="D237" s="13" t="s">
        <v>28</v>
      </c>
      <c r="E237" s="4">
        <v>472934.7022</v>
      </c>
      <c r="F237" s="4">
        <v>3382201.8065</v>
      </c>
      <c r="G237" s="2">
        <v>31.9</v>
      </c>
      <c r="H237" s="13" t="s">
        <v>29</v>
      </c>
      <c r="I237" s="13" cm="1">
        <f t="array" ref="I237">各流量段建筑物坡比(B237,D237)</f>
        <v>6000</v>
      </c>
      <c r="J237" s="14">
        <f t="shared" si="3"/>
        <v>0</v>
      </c>
      <c r="K237" s="13">
        <v>6.9</v>
      </c>
    </row>
    <row r="238" spans="1:18">
      <c r="A238" s="15" t="s">
        <v>322</v>
      </c>
      <c r="B238" s="2">
        <v>2</v>
      </c>
      <c r="C238" s="13" t="s">
        <v>27</v>
      </c>
      <c r="D238" s="13" t="s">
        <v>28</v>
      </c>
      <c r="E238" s="4">
        <v>473047.9387</v>
      </c>
      <c r="F238" s="4">
        <v>3382143.6566</v>
      </c>
      <c r="G238" s="2">
        <v>31.9</v>
      </c>
      <c r="H238" s="13" t="s">
        <v>29</v>
      </c>
      <c r="I238" s="13" cm="1">
        <f t="array" ref="I238">各流量段建筑物坡比(B238,D238)</f>
        <v>6000</v>
      </c>
      <c r="J238" s="14">
        <f t="shared" si="3"/>
        <v>0</v>
      </c>
      <c r="K238" s="13">
        <v>6.9</v>
      </c>
    </row>
    <row r="239" spans="1:18">
      <c r="A239" s="12" t="s">
        <v>323</v>
      </c>
      <c r="B239" s="2">
        <v>2</v>
      </c>
      <c r="C239" s="13" t="s">
        <v>27</v>
      </c>
      <c r="D239" s="13" t="s">
        <v>28</v>
      </c>
      <c r="E239" s="4">
        <v>473101.9391</v>
      </c>
      <c r="F239" s="4">
        <v>3382154.8835</v>
      </c>
      <c r="G239" s="2">
        <v>31.9</v>
      </c>
      <c r="H239" s="13" t="s">
        <v>29</v>
      </c>
      <c r="I239" s="13" cm="1">
        <f t="array" ref="I239">各流量段建筑物坡比(B239,D239)</f>
        <v>6000</v>
      </c>
      <c r="J239" s="14">
        <f t="shared" si="3"/>
        <v>0</v>
      </c>
      <c r="K239" s="13">
        <v>6.9</v>
      </c>
    </row>
    <row r="240" spans="1:18">
      <c r="A240" s="15" t="s">
        <v>324</v>
      </c>
      <c r="B240" s="2">
        <v>2</v>
      </c>
      <c r="C240" s="13" t="s">
        <v>27</v>
      </c>
      <c r="D240" s="13" t="s">
        <v>28</v>
      </c>
      <c r="E240" s="4">
        <v>473165.76</v>
      </c>
      <c r="F240" s="4">
        <v>3382140.8404</v>
      </c>
      <c r="G240" s="2">
        <v>31.9</v>
      </c>
      <c r="H240" s="13" t="s">
        <v>29</v>
      </c>
      <c r="I240" s="13" cm="1">
        <f t="array" ref="I240">各流量段建筑物坡比(B240,D240)</f>
        <v>6000</v>
      </c>
      <c r="J240" s="14">
        <f t="shared" si="3"/>
        <v>0</v>
      </c>
      <c r="K240" s="13">
        <v>6.9</v>
      </c>
    </row>
    <row r="241" spans="1:18">
      <c r="A241" s="12" t="s">
        <v>325</v>
      </c>
      <c r="B241" s="2">
        <v>2</v>
      </c>
      <c r="C241" s="2" t="s">
        <v>326</v>
      </c>
      <c r="D241" s="13" t="s">
        <v>35</v>
      </c>
      <c r="E241" s="4">
        <v>473232.497</v>
      </c>
      <c r="F241" s="4">
        <v>3382108.1286</v>
      </c>
      <c r="G241" s="2">
        <v>31.9</v>
      </c>
      <c r="H241" s="13" t="s">
        <v>29</v>
      </c>
      <c r="I241" s="13" cm="1">
        <f t="array" ref="I241">各流量段建筑物坡比(B241,D241)</f>
        <v>5500</v>
      </c>
      <c r="J241" s="14" t="str">
        <f t="shared" si="3"/>
        <v/>
      </c>
      <c r="K241" s="2">
        <v>5.6</v>
      </c>
      <c r="R241" s="2">
        <v>180</v>
      </c>
    </row>
    <row r="242" spans="1:18">
      <c r="A242" s="15" t="s">
        <v>327</v>
      </c>
      <c r="B242" s="2">
        <v>2</v>
      </c>
      <c r="C242" s="2" t="s">
        <v>326</v>
      </c>
      <c r="D242" s="13" t="s">
        <v>35</v>
      </c>
      <c r="E242" s="4">
        <v>473297.327</v>
      </c>
      <c r="F242" s="4">
        <v>3382076.3516</v>
      </c>
      <c r="G242" s="2">
        <v>31.9</v>
      </c>
      <c r="H242" s="13" t="s">
        <v>29</v>
      </c>
      <c r="I242" s="13" cm="1">
        <f t="array" ref="I242">各流量段建筑物坡比(B242,D242)</f>
        <v>5500</v>
      </c>
      <c r="J242" s="14" t="str">
        <f t="shared" si="3"/>
        <v/>
      </c>
      <c r="K242" s="2">
        <v>5.6</v>
      </c>
      <c r="R242" s="2">
        <v>180</v>
      </c>
    </row>
    <row r="243" spans="1:18">
      <c r="A243" s="12" t="s">
        <v>328</v>
      </c>
      <c r="B243" s="2">
        <v>2</v>
      </c>
      <c r="C243" s="2" t="s">
        <v>326</v>
      </c>
      <c r="D243" s="13" t="s">
        <v>35</v>
      </c>
      <c r="E243" s="4">
        <v>473584.3967</v>
      </c>
      <c r="F243" s="4">
        <v>3382084.6089</v>
      </c>
      <c r="G243" s="2">
        <v>31.9</v>
      </c>
      <c r="H243" s="13" t="s">
        <v>29</v>
      </c>
      <c r="I243" s="13" cm="1">
        <f t="array" ref="I243">各流量段建筑物坡比(B243,D243)</f>
        <v>5500</v>
      </c>
      <c r="J243" s="14" t="str">
        <f t="shared" si="3"/>
        <v/>
      </c>
      <c r="K243" s="2">
        <v>5.6</v>
      </c>
      <c r="R243" s="2">
        <v>180</v>
      </c>
    </row>
    <row r="244" spans="1:18">
      <c r="A244" s="15" t="s">
        <v>329</v>
      </c>
      <c r="B244" s="2">
        <v>2</v>
      </c>
      <c r="C244" s="13" t="s">
        <v>27</v>
      </c>
      <c r="D244" s="13" t="s">
        <v>28</v>
      </c>
      <c r="E244" s="4">
        <v>473610.4372</v>
      </c>
      <c r="F244" s="4">
        <v>3382085.3579</v>
      </c>
      <c r="G244" s="2">
        <v>31.9</v>
      </c>
      <c r="H244" s="13" t="s">
        <v>29</v>
      </c>
      <c r="I244" s="13" cm="1">
        <f t="array" ref="I244">各流量段建筑物坡比(B244,D244)</f>
        <v>6000</v>
      </c>
      <c r="J244" s="14">
        <f t="shared" si="3"/>
        <v>0</v>
      </c>
      <c r="K244" s="13">
        <v>6.9</v>
      </c>
    </row>
    <row r="245" spans="1:18">
      <c r="A245" s="12" t="s">
        <v>330</v>
      </c>
      <c r="B245" s="2">
        <v>2</v>
      </c>
      <c r="C245" s="13" t="s">
        <v>27</v>
      </c>
      <c r="D245" s="13" t="s">
        <v>28</v>
      </c>
      <c r="E245" s="4">
        <v>473670.7164</v>
      </c>
      <c r="F245" s="4">
        <v>3382096.1257</v>
      </c>
      <c r="G245" s="2">
        <v>31.9</v>
      </c>
      <c r="H245" s="13" t="s">
        <v>29</v>
      </c>
      <c r="I245" s="13" cm="1">
        <f t="array" ref="I245">各流量段建筑物坡比(B245,D245)</f>
        <v>6000</v>
      </c>
      <c r="J245" s="14">
        <f t="shared" si="3"/>
        <v>0</v>
      </c>
      <c r="K245" s="13">
        <v>6.9</v>
      </c>
    </row>
    <row r="246" spans="1:18">
      <c r="A246" s="15" t="s">
        <v>331</v>
      </c>
      <c r="B246" s="2">
        <v>2</v>
      </c>
      <c r="C246" s="13" t="s">
        <v>27</v>
      </c>
      <c r="D246" s="13" t="s">
        <v>28</v>
      </c>
      <c r="E246" s="4">
        <v>473763.1194</v>
      </c>
      <c r="F246" s="4">
        <v>3382084.9457</v>
      </c>
      <c r="G246" s="2">
        <v>31.9</v>
      </c>
      <c r="H246" s="13" t="s">
        <v>29</v>
      </c>
      <c r="I246" s="13" cm="1">
        <f t="array" ref="I246">各流量段建筑物坡比(B246,D246)</f>
        <v>6000</v>
      </c>
      <c r="J246" s="14">
        <f t="shared" si="3"/>
        <v>0</v>
      </c>
      <c r="K246" s="13">
        <v>6.9</v>
      </c>
    </row>
    <row r="247" spans="1:18">
      <c r="A247" s="12" t="s">
        <v>332</v>
      </c>
      <c r="B247" s="2">
        <v>2</v>
      </c>
      <c r="C247" s="13" t="s">
        <v>27</v>
      </c>
      <c r="D247" s="13" t="s">
        <v>28</v>
      </c>
      <c r="E247" s="4">
        <v>473879.762</v>
      </c>
      <c r="F247" s="4">
        <v>3382096.401</v>
      </c>
      <c r="G247" s="2">
        <v>31.9</v>
      </c>
      <c r="H247" s="13" t="s">
        <v>29</v>
      </c>
      <c r="I247" s="13" cm="1">
        <f t="array" ref="I247">各流量段建筑物坡比(B247,D247)</f>
        <v>6000</v>
      </c>
      <c r="J247" s="14">
        <f t="shared" si="3"/>
        <v>0</v>
      </c>
      <c r="K247" s="13">
        <v>6.9</v>
      </c>
    </row>
    <row r="248" spans="1:18">
      <c r="A248" s="15" t="s">
        <v>333</v>
      </c>
      <c r="B248" s="2">
        <v>2</v>
      </c>
      <c r="C248" s="2" t="s">
        <v>334</v>
      </c>
      <c r="D248" s="16" t="s">
        <v>47</v>
      </c>
      <c r="E248" s="4">
        <v>473973.9601</v>
      </c>
      <c r="F248" s="4">
        <v>3382065.7081</v>
      </c>
      <c r="G248" s="2">
        <v>31.9</v>
      </c>
      <c r="H248" s="13" t="s">
        <v>29</v>
      </c>
      <c r="I248" s="13" cm="1">
        <f t="array" ref="I248">各流量段建筑物坡比(B248,D248)</f>
        <v>3000</v>
      </c>
      <c r="J248" s="14" t="str">
        <f t="shared" si="3"/>
        <v/>
      </c>
      <c r="K248" s="2">
        <v>5.1</v>
      </c>
      <c r="O248" s="2">
        <v>0.79</v>
      </c>
    </row>
    <row r="249" spans="1:18">
      <c r="A249" s="12" t="s">
        <v>335</v>
      </c>
      <c r="B249" s="2">
        <v>2</v>
      </c>
      <c r="C249" s="2" t="s">
        <v>334</v>
      </c>
      <c r="D249" s="16" t="s">
        <v>47</v>
      </c>
      <c r="E249" s="4">
        <v>474349.1058</v>
      </c>
      <c r="F249" s="4">
        <v>3381943.4731</v>
      </c>
      <c r="G249" s="2">
        <v>31.9</v>
      </c>
      <c r="H249" s="13" t="s">
        <v>29</v>
      </c>
      <c r="I249" s="13" cm="1">
        <f t="array" ref="I249">各流量段建筑物坡比(B249,D249)</f>
        <v>3000</v>
      </c>
      <c r="J249" s="14" t="str">
        <f t="shared" si="3"/>
        <v/>
      </c>
      <c r="K249" s="2">
        <v>5.1</v>
      </c>
      <c r="O249" s="2">
        <v>0.79</v>
      </c>
    </row>
    <row r="250" spans="1:18">
      <c r="A250" s="15" t="s">
        <v>336</v>
      </c>
      <c r="B250" s="2">
        <v>2</v>
      </c>
      <c r="C250" s="13" t="s">
        <v>27</v>
      </c>
      <c r="D250" s="13" t="s">
        <v>28</v>
      </c>
      <c r="E250" s="4">
        <v>474375.9903</v>
      </c>
      <c r="F250" s="4">
        <v>3381934.7132</v>
      </c>
      <c r="G250" s="2">
        <v>31.9</v>
      </c>
      <c r="H250" s="13" t="s">
        <v>29</v>
      </c>
      <c r="I250" s="13" cm="1">
        <f t="array" ref="I250">各流量段建筑物坡比(B250,D250)</f>
        <v>6000</v>
      </c>
      <c r="J250" s="14">
        <f t="shared" si="3"/>
        <v>0</v>
      </c>
      <c r="K250" s="13">
        <v>6.9</v>
      </c>
    </row>
    <row r="251" spans="1:18">
      <c r="A251" s="12" t="s">
        <v>337</v>
      </c>
      <c r="B251" s="2">
        <v>2</v>
      </c>
      <c r="C251" s="13" t="s">
        <v>27</v>
      </c>
      <c r="D251" s="13" t="s">
        <v>28</v>
      </c>
      <c r="E251" s="4">
        <v>474458.9313</v>
      </c>
      <c r="F251" s="4">
        <v>3381860.7959</v>
      </c>
      <c r="G251" s="2">
        <v>31.9</v>
      </c>
      <c r="H251" s="13" t="s">
        <v>29</v>
      </c>
      <c r="I251" s="13" cm="1">
        <f t="array" ref="I251">各流量段建筑物坡比(B251,D251)</f>
        <v>6000</v>
      </c>
      <c r="J251" s="14">
        <f t="shared" si="3"/>
        <v>0</v>
      </c>
      <c r="K251" s="13">
        <v>6.9</v>
      </c>
    </row>
    <row r="252" spans="1:18">
      <c r="A252" s="15" t="s">
        <v>338</v>
      </c>
      <c r="B252" s="2">
        <v>2</v>
      </c>
      <c r="C252" s="2" t="s">
        <v>339</v>
      </c>
      <c r="D252" s="16" t="s">
        <v>47</v>
      </c>
      <c r="E252" s="4">
        <v>474487.6579</v>
      </c>
      <c r="F252" s="4">
        <v>3381828.4899</v>
      </c>
      <c r="G252" s="2">
        <v>31.9</v>
      </c>
      <c r="H252" s="13" t="s">
        <v>29</v>
      </c>
      <c r="I252" s="13" cm="1">
        <f t="array" ref="I252">各流量段建筑物坡比(B252,D252)</f>
        <v>3000</v>
      </c>
      <c r="J252" s="14" t="str">
        <f t="shared" si="3"/>
        <v/>
      </c>
      <c r="K252" s="2">
        <v>5.1</v>
      </c>
      <c r="O252" s="2">
        <v>0.79</v>
      </c>
    </row>
    <row r="253" spans="1:18">
      <c r="A253" s="12" t="s">
        <v>340</v>
      </c>
      <c r="B253" s="2">
        <v>2</v>
      </c>
      <c r="C253" s="2" t="s">
        <v>339</v>
      </c>
      <c r="D253" s="16" t="s">
        <v>47</v>
      </c>
      <c r="E253" s="4">
        <v>474590.4642</v>
      </c>
      <c r="F253" s="4">
        <v>3381712.8733</v>
      </c>
      <c r="G253" s="2">
        <v>31.9</v>
      </c>
      <c r="H253" s="13" t="s">
        <v>29</v>
      </c>
      <c r="I253" s="13" cm="1">
        <f t="array" ref="I253">各流量段建筑物坡比(B253,D253)</f>
        <v>3000</v>
      </c>
      <c r="J253" s="14" t="str">
        <f t="shared" si="3"/>
        <v/>
      </c>
      <c r="K253" s="2">
        <v>5.1</v>
      </c>
      <c r="O253" s="2">
        <v>0.79</v>
      </c>
    </row>
    <row r="254" spans="1:18">
      <c r="A254" s="15" t="s">
        <v>341</v>
      </c>
      <c r="B254" s="2">
        <v>2</v>
      </c>
      <c r="C254" s="13" t="s">
        <v>27</v>
      </c>
      <c r="D254" s="13" t="s">
        <v>28</v>
      </c>
      <c r="E254" s="4">
        <v>474610.7874</v>
      </c>
      <c r="F254" s="4">
        <v>3381690.0177</v>
      </c>
      <c r="G254" s="2">
        <v>31.9</v>
      </c>
      <c r="H254" s="13" t="s">
        <v>29</v>
      </c>
      <c r="I254" s="13" cm="1">
        <f t="array" ref="I254">各流量段建筑物坡比(B254,D254)</f>
        <v>6000</v>
      </c>
      <c r="J254" s="14">
        <f t="shared" si="3"/>
        <v>0</v>
      </c>
      <c r="K254" s="13">
        <v>6.9</v>
      </c>
    </row>
    <row r="255" spans="1:18">
      <c r="A255" s="12" t="s">
        <v>342</v>
      </c>
      <c r="B255" s="2">
        <v>2</v>
      </c>
      <c r="C255" s="2" t="s">
        <v>343</v>
      </c>
      <c r="D255" s="16" t="s">
        <v>47</v>
      </c>
      <c r="E255" s="4">
        <v>474649.3721</v>
      </c>
      <c r="F255" s="4">
        <v>3381688.5218</v>
      </c>
      <c r="G255" s="2">
        <v>31.9</v>
      </c>
      <c r="H255" s="13" t="s">
        <v>29</v>
      </c>
      <c r="I255" s="13" cm="1">
        <f t="array" ref="I255">各流量段建筑物坡比(B255,D255)</f>
        <v>3000</v>
      </c>
      <c r="J255" s="14" t="str">
        <f t="shared" si="3"/>
        <v/>
      </c>
      <c r="K255" s="2">
        <v>5.1</v>
      </c>
      <c r="O255" s="2">
        <v>0.79</v>
      </c>
    </row>
    <row r="256" spans="1:18">
      <c r="A256" s="15" t="s">
        <v>344</v>
      </c>
      <c r="B256" s="2">
        <v>2</v>
      </c>
      <c r="C256" s="2" t="s">
        <v>343</v>
      </c>
      <c r="D256" s="16" t="s">
        <v>47</v>
      </c>
      <c r="E256" s="4">
        <v>474829.449</v>
      </c>
      <c r="F256" s="4">
        <v>3381681.5403</v>
      </c>
      <c r="G256" s="2">
        <v>31.9</v>
      </c>
      <c r="H256" s="13" t="s">
        <v>29</v>
      </c>
      <c r="I256" s="13" cm="1">
        <f t="array" ref="I256">各流量段建筑物坡比(B256,D256)</f>
        <v>3000</v>
      </c>
      <c r="J256" s="14" t="str">
        <f t="shared" si="3"/>
        <v/>
      </c>
      <c r="K256" s="2">
        <v>5.1</v>
      </c>
      <c r="O256" s="2">
        <v>0.79</v>
      </c>
    </row>
    <row r="257" spans="1:15">
      <c r="A257" s="12" t="s">
        <v>345</v>
      </c>
      <c r="B257" s="2">
        <v>2</v>
      </c>
      <c r="C257" s="13" t="s">
        <v>27</v>
      </c>
      <c r="D257" s="13" t="s">
        <v>28</v>
      </c>
      <c r="E257" s="4">
        <v>474884.3958</v>
      </c>
      <c r="F257" s="4">
        <v>3381679.41</v>
      </c>
      <c r="G257" s="2">
        <v>31.9</v>
      </c>
      <c r="H257" s="13" t="s">
        <v>29</v>
      </c>
      <c r="I257" s="13" cm="1">
        <f t="array" ref="I257">各流量段建筑物坡比(B257,D257)</f>
        <v>6000</v>
      </c>
      <c r="J257" s="14">
        <f t="shared" si="3"/>
        <v>0</v>
      </c>
      <c r="K257" s="13">
        <v>6.9</v>
      </c>
    </row>
    <row r="258" spans="1:15">
      <c r="A258" s="15" t="s">
        <v>346</v>
      </c>
      <c r="B258" s="2">
        <v>2</v>
      </c>
      <c r="C258" s="2" t="s">
        <v>347</v>
      </c>
      <c r="D258" s="16" t="s">
        <v>47</v>
      </c>
      <c r="E258" s="4">
        <v>474935.0399</v>
      </c>
      <c r="F258" s="4">
        <v>3381615.1407</v>
      </c>
      <c r="G258" s="2">
        <v>31.9</v>
      </c>
      <c r="H258" s="13" t="s">
        <v>29</v>
      </c>
      <c r="I258" s="13" cm="1">
        <f t="array" ref="I258">各流量段建筑物坡比(B258,D258)</f>
        <v>3000</v>
      </c>
      <c r="J258" s="14" t="str">
        <f t="shared" si="3"/>
        <v/>
      </c>
      <c r="K258" s="2">
        <v>5.1</v>
      </c>
      <c r="O258" s="2">
        <v>0.79</v>
      </c>
    </row>
    <row r="259" spans="1:15">
      <c r="A259" s="12" t="s">
        <v>348</v>
      </c>
      <c r="B259" s="2">
        <v>2</v>
      </c>
      <c r="C259" s="2" t="s">
        <v>347</v>
      </c>
      <c r="D259" s="16" t="s">
        <v>47</v>
      </c>
      <c r="E259" s="4">
        <v>475014.6117</v>
      </c>
      <c r="F259" s="4">
        <v>3381514.161</v>
      </c>
      <c r="G259" s="2">
        <v>31.9</v>
      </c>
      <c r="H259" s="13" t="s">
        <v>29</v>
      </c>
      <c r="I259" s="13" cm="1">
        <f t="array" ref="I259">各流量段建筑物坡比(B259,D259)</f>
        <v>3000</v>
      </c>
      <c r="J259" s="14" t="str">
        <f t="shared" si="3"/>
        <v/>
      </c>
      <c r="K259" s="2">
        <v>5.1</v>
      </c>
      <c r="O259" s="2">
        <v>0.79</v>
      </c>
    </row>
    <row r="260" spans="1:15">
      <c r="A260" s="15" t="s">
        <v>349</v>
      </c>
      <c r="B260" s="2">
        <v>2</v>
      </c>
      <c r="C260" s="13" t="s">
        <v>27</v>
      </c>
      <c r="D260" s="13" t="s">
        <v>28</v>
      </c>
      <c r="E260" s="4">
        <v>475044.7358</v>
      </c>
      <c r="F260" s="4">
        <v>3381475.9324</v>
      </c>
      <c r="G260" s="2">
        <v>31.9</v>
      </c>
      <c r="H260" s="13" t="s">
        <v>29</v>
      </c>
      <c r="I260" s="13" cm="1">
        <f t="array" ref="I260">各流量段建筑物坡比(B260,D260)</f>
        <v>6000</v>
      </c>
      <c r="J260" s="14">
        <f t="shared" ref="J260:J323" si="4">IF(C260="-",IF(ISNUMBER(SEARCH("矩形",D260)),0,IF(ISNUMBER(SEARCH("梯形",D260)),1.5,"")),"")</f>
        <v>0</v>
      </c>
      <c r="K260" s="13">
        <v>6.9</v>
      </c>
    </row>
    <row r="261" spans="1:15">
      <c r="A261" s="12" t="s">
        <v>350</v>
      </c>
      <c r="B261" s="2">
        <v>2</v>
      </c>
      <c r="C261" s="13" t="s">
        <v>27</v>
      </c>
      <c r="D261" s="13" t="s">
        <v>28</v>
      </c>
      <c r="E261" s="4">
        <v>475057.5557</v>
      </c>
      <c r="F261" s="4">
        <v>3381423.8245</v>
      </c>
      <c r="G261" s="2">
        <v>31.9</v>
      </c>
      <c r="H261" s="13" t="s">
        <v>29</v>
      </c>
      <c r="I261" s="13" cm="1">
        <f t="array" ref="I261">各流量段建筑物坡比(B261,D261)</f>
        <v>6000</v>
      </c>
      <c r="J261" s="14">
        <f t="shared" si="4"/>
        <v>0</v>
      </c>
      <c r="K261" s="13">
        <v>6.9</v>
      </c>
    </row>
    <row r="262" spans="1:15">
      <c r="A262" s="15" t="s">
        <v>351</v>
      </c>
      <c r="B262" s="2">
        <v>2</v>
      </c>
      <c r="C262" s="13" t="s">
        <v>27</v>
      </c>
      <c r="D262" s="13" t="s">
        <v>28</v>
      </c>
      <c r="E262" s="4">
        <v>475102.1676</v>
      </c>
      <c r="F262" s="4">
        <v>3381327.2971</v>
      </c>
      <c r="G262" s="2">
        <v>31.9</v>
      </c>
      <c r="H262" s="13" t="s">
        <v>29</v>
      </c>
      <c r="I262" s="13" cm="1">
        <f t="array" ref="I262">各流量段建筑物坡比(B262,D262)</f>
        <v>6000</v>
      </c>
      <c r="J262" s="14">
        <f t="shared" si="4"/>
        <v>0</v>
      </c>
      <c r="K262" s="13">
        <v>6.9</v>
      </c>
    </row>
    <row r="263" spans="1:15">
      <c r="A263" s="12" t="s">
        <v>352</v>
      </c>
      <c r="B263" s="2">
        <v>2</v>
      </c>
      <c r="C263" s="2" t="s">
        <v>353</v>
      </c>
      <c r="D263" s="16" t="s">
        <v>47</v>
      </c>
      <c r="E263" s="4">
        <v>475145.0917</v>
      </c>
      <c r="F263" s="4">
        <v>3381271.5193</v>
      </c>
      <c r="G263" s="2">
        <v>31.9</v>
      </c>
      <c r="H263" s="13" t="s">
        <v>29</v>
      </c>
      <c r="I263" s="13" cm="1">
        <f t="array" ref="I263">各流量段建筑物坡比(B263,D263)</f>
        <v>3000</v>
      </c>
      <c r="J263" s="14" t="str">
        <f t="shared" si="4"/>
        <v/>
      </c>
      <c r="K263" s="2">
        <v>5.1</v>
      </c>
      <c r="O263" s="2">
        <v>0.79</v>
      </c>
    </row>
    <row r="264" spans="1:15">
      <c r="A264" s="15" t="s">
        <v>354</v>
      </c>
      <c r="B264" s="2">
        <v>2</v>
      </c>
      <c r="C264" s="2" t="s">
        <v>353</v>
      </c>
      <c r="D264" s="16" t="s">
        <v>47</v>
      </c>
      <c r="E264" s="4">
        <v>475205.5627</v>
      </c>
      <c r="F264" s="4">
        <v>3381192.94</v>
      </c>
      <c r="G264" s="2">
        <v>31.9</v>
      </c>
      <c r="H264" s="13" t="s">
        <v>29</v>
      </c>
      <c r="I264" s="13" cm="1">
        <f t="array" ref="I264">各流量段建筑物坡比(B264,D264)</f>
        <v>3000</v>
      </c>
      <c r="J264" s="14" t="str">
        <f t="shared" si="4"/>
        <v/>
      </c>
      <c r="K264" s="2">
        <v>5.1</v>
      </c>
      <c r="O264" s="2">
        <v>0.79</v>
      </c>
    </row>
    <row r="265" spans="1:15">
      <c r="A265" s="12" t="s">
        <v>355</v>
      </c>
      <c r="B265" s="2">
        <v>2</v>
      </c>
      <c r="C265" s="13" t="s">
        <v>27</v>
      </c>
      <c r="D265" s="13" t="s">
        <v>28</v>
      </c>
      <c r="E265" s="4">
        <v>475221.481</v>
      </c>
      <c r="F265" s="4">
        <v>3381172.255</v>
      </c>
      <c r="G265" s="2">
        <v>31.9</v>
      </c>
      <c r="H265" s="13" t="s">
        <v>29</v>
      </c>
      <c r="I265" s="13" cm="1">
        <f t="array" ref="I265">各流量段建筑物坡比(B265,D265)</f>
        <v>6000</v>
      </c>
      <c r="J265" s="14">
        <f t="shared" si="4"/>
        <v>0</v>
      </c>
      <c r="K265" s="13">
        <v>6.9</v>
      </c>
    </row>
    <row r="266" spans="1:15">
      <c r="A266" s="15" t="s">
        <v>356</v>
      </c>
      <c r="B266" s="2">
        <v>2</v>
      </c>
      <c r="C266" s="2" t="s">
        <v>357</v>
      </c>
      <c r="D266" s="13" t="s">
        <v>81</v>
      </c>
      <c r="E266" s="4">
        <v>475241.6018</v>
      </c>
      <c r="F266" s="4">
        <v>3381096.472</v>
      </c>
      <c r="G266" s="2">
        <v>31.9</v>
      </c>
      <c r="H266" s="13" t="s">
        <v>29</v>
      </c>
      <c r="I266" s="13" t="str" cm="1">
        <f t="array" ref="I266">各流量段建筑物坡比(B266,D266)</f>
        <v/>
      </c>
      <c r="J266" s="14" t="str">
        <f t="shared" si="4"/>
        <v/>
      </c>
    </row>
    <row r="267" spans="1:15">
      <c r="A267" s="12" t="s">
        <v>358</v>
      </c>
      <c r="B267" s="2">
        <v>2</v>
      </c>
      <c r="C267" s="2" t="s">
        <v>357</v>
      </c>
      <c r="D267" s="13" t="s">
        <v>81</v>
      </c>
      <c r="E267" s="4">
        <v>475260.8889</v>
      </c>
      <c r="F267" s="4">
        <v>3381023.8292</v>
      </c>
      <c r="G267" s="2">
        <v>31.9</v>
      </c>
      <c r="H267" s="13" t="s">
        <v>29</v>
      </c>
      <c r="I267" s="13" t="str" cm="1">
        <f t="array" ref="I267">各流量段建筑物坡比(B267,D267)</f>
        <v/>
      </c>
      <c r="J267" s="14" t="str">
        <f t="shared" si="4"/>
        <v/>
      </c>
    </row>
    <row r="268" spans="1:15">
      <c r="A268" s="15" t="s">
        <v>359</v>
      </c>
      <c r="B268" s="2">
        <v>2</v>
      </c>
      <c r="C268" s="2" t="s">
        <v>357</v>
      </c>
      <c r="D268" s="13" t="s">
        <v>81</v>
      </c>
      <c r="E268" s="4">
        <v>475513.2176</v>
      </c>
      <c r="F268" s="4">
        <v>3380941.0795</v>
      </c>
      <c r="G268" s="2">
        <v>31.9</v>
      </c>
      <c r="H268" s="13" t="s">
        <v>29</v>
      </c>
      <c r="I268" s="13" t="str" cm="1">
        <f t="array" ref="I268">各流量段建筑物坡比(B268,D268)</f>
        <v/>
      </c>
      <c r="J268" s="14" t="str">
        <f t="shared" si="4"/>
        <v/>
      </c>
    </row>
    <row r="269" spans="1:15">
      <c r="A269" s="12" t="s">
        <v>360</v>
      </c>
      <c r="B269" s="2">
        <v>2</v>
      </c>
      <c r="C269" s="2" t="s">
        <v>357</v>
      </c>
      <c r="D269" s="13" t="s">
        <v>81</v>
      </c>
      <c r="E269" s="4">
        <v>475646.9836</v>
      </c>
      <c r="F269" s="4">
        <v>3380747.3577</v>
      </c>
      <c r="G269" s="2">
        <v>31.9</v>
      </c>
      <c r="H269" s="13" t="s">
        <v>29</v>
      </c>
      <c r="I269" s="13" t="str" cm="1">
        <f t="array" ref="I269">各流量段建筑物坡比(B269,D269)</f>
        <v/>
      </c>
      <c r="J269" s="14" t="str">
        <f t="shared" si="4"/>
        <v/>
      </c>
    </row>
    <row r="270" spans="1:15">
      <c r="A270" s="15" t="s">
        <v>361</v>
      </c>
      <c r="B270" s="2">
        <v>2</v>
      </c>
      <c r="C270" s="2" t="s">
        <v>357</v>
      </c>
      <c r="D270" s="13" t="s">
        <v>81</v>
      </c>
      <c r="E270" s="4">
        <v>475666.653</v>
      </c>
      <c r="F270" s="4">
        <v>3380393.201</v>
      </c>
      <c r="G270" s="2">
        <v>31.9</v>
      </c>
      <c r="H270" s="13" t="s">
        <v>29</v>
      </c>
      <c r="I270" s="13" t="str" cm="1">
        <f t="array" ref="I270">各流量段建筑物坡比(B270,D270)</f>
        <v/>
      </c>
      <c r="J270" s="14" t="str">
        <f t="shared" si="4"/>
        <v/>
      </c>
    </row>
    <row r="271" spans="1:15">
      <c r="A271" s="12" t="s">
        <v>362</v>
      </c>
      <c r="B271" s="2">
        <v>2</v>
      </c>
      <c r="C271" s="2" t="s">
        <v>357</v>
      </c>
      <c r="D271" s="13" t="s">
        <v>81</v>
      </c>
      <c r="E271" s="4">
        <v>475770.6804</v>
      </c>
      <c r="F271" s="4">
        <v>3380261.349</v>
      </c>
      <c r="G271" s="2">
        <v>31.9</v>
      </c>
      <c r="H271" s="13" t="s">
        <v>29</v>
      </c>
      <c r="I271" s="13" t="str" cm="1">
        <f t="array" ref="I271">各流量段建筑物坡比(B271,D271)</f>
        <v/>
      </c>
      <c r="J271" s="14" t="str">
        <f t="shared" si="4"/>
        <v/>
      </c>
    </row>
    <row r="272" spans="1:15">
      <c r="A272" s="15" t="s">
        <v>363</v>
      </c>
      <c r="B272" s="2">
        <v>2</v>
      </c>
      <c r="C272" s="2" t="s">
        <v>357</v>
      </c>
      <c r="D272" s="13" t="s">
        <v>81</v>
      </c>
      <c r="E272" s="4">
        <v>475939.9772</v>
      </c>
      <c r="F272" s="4">
        <v>3380144.7202</v>
      </c>
      <c r="G272" s="2">
        <v>31.9</v>
      </c>
      <c r="H272" s="13" t="s">
        <v>29</v>
      </c>
      <c r="I272" s="13" t="str" cm="1">
        <f t="array" ref="I272">各流量段建筑物坡比(B272,D272)</f>
        <v/>
      </c>
      <c r="J272" s="14" t="str">
        <f t="shared" si="4"/>
        <v/>
      </c>
    </row>
    <row r="273" spans="1:18">
      <c r="A273" s="12" t="s">
        <v>364</v>
      </c>
      <c r="B273" s="2">
        <v>2</v>
      </c>
      <c r="C273" s="2" t="s">
        <v>357</v>
      </c>
      <c r="D273" s="13" t="s">
        <v>81</v>
      </c>
      <c r="E273" s="4">
        <v>476327.8184</v>
      </c>
      <c r="F273" s="4">
        <v>3380064.1138</v>
      </c>
      <c r="G273" s="2">
        <v>31.9</v>
      </c>
      <c r="H273" s="13" t="s">
        <v>29</v>
      </c>
      <c r="I273" s="13" t="str" cm="1">
        <f t="array" ref="I273">各流量段建筑物坡比(B273,D273)</f>
        <v/>
      </c>
      <c r="J273" s="14" t="str">
        <f t="shared" si="4"/>
        <v/>
      </c>
    </row>
    <row r="274" spans="1:18">
      <c r="A274" s="15" t="s">
        <v>365</v>
      </c>
      <c r="B274" s="2">
        <v>2</v>
      </c>
      <c r="C274" s="2" t="s">
        <v>357</v>
      </c>
      <c r="D274" s="13" t="s">
        <v>81</v>
      </c>
      <c r="E274" s="4">
        <v>476504.8633</v>
      </c>
      <c r="F274" s="4">
        <v>3379945.1403</v>
      </c>
      <c r="G274" s="2">
        <v>31.9</v>
      </c>
      <c r="H274" s="13" t="s">
        <v>29</v>
      </c>
      <c r="I274" s="13" t="str" cm="1">
        <f t="array" ref="I274">各流量段建筑物坡比(B274,D274)</f>
        <v/>
      </c>
      <c r="J274" s="14" t="str">
        <f t="shared" si="4"/>
        <v/>
      </c>
    </row>
    <row r="275" spans="1:18">
      <c r="A275" s="12" t="s">
        <v>366</v>
      </c>
      <c r="B275" s="2">
        <v>2</v>
      </c>
      <c r="C275" s="2" t="s">
        <v>357</v>
      </c>
      <c r="D275" s="13" t="s">
        <v>81</v>
      </c>
      <c r="E275" s="4">
        <v>476667.1586</v>
      </c>
      <c r="F275" s="4">
        <v>3379668.2011</v>
      </c>
      <c r="G275" s="2">
        <v>31.9</v>
      </c>
      <c r="H275" s="13" t="s">
        <v>29</v>
      </c>
      <c r="I275" s="13" t="str" cm="1">
        <f t="array" ref="I275">各流量段建筑物坡比(B275,D275)</f>
        <v/>
      </c>
      <c r="J275" s="14" t="str">
        <f t="shared" si="4"/>
        <v/>
      </c>
    </row>
    <row r="276" spans="1:18">
      <c r="A276" s="15" t="s">
        <v>367</v>
      </c>
      <c r="B276" s="2">
        <v>2</v>
      </c>
      <c r="C276" s="2" t="s">
        <v>357</v>
      </c>
      <c r="D276" s="13" t="s">
        <v>81</v>
      </c>
      <c r="E276" s="4">
        <v>476919.7161</v>
      </c>
      <c r="F276" s="4">
        <v>3379617.4408</v>
      </c>
      <c r="G276" s="2">
        <v>31.9</v>
      </c>
      <c r="H276" s="13" t="s">
        <v>29</v>
      </c>
      <c r="I276" s="13" t="str" cm="1">
        <f t="array" ref="I276">各流量段建筑物坡比(B276,D276)</f>
        <v/>
      </c>
      <c r="J276" s="14" t="str">
        <f t="shared" si="4"/>
        <v/>
      </c>
    </row>
    <row r="277" spans="1:18">
      <c r="A277" s="12" t="s">
        <v>368</v>
      </c>
      <c r="B277" s="2">
        <v>2</v>
      </c>
      <c r="C277" s="2" t="s">
        <v>357</v>
      </c>
      <c r="D277" s="13" t="s">
        <v>81</v>
      </c>
      <c r="E277" s="4">
        <v>477129.3598</v>
      </c>
      <c r="F277" s="4">
        <v>3379601.46</v>
      </c>
      <c r="G277" s="2">
        <v>31.9</v>
      </c>
      <c r="H277" s="13" t="s">
        <v>29</v>
      </c>
      <c r="I277" s="13" t="str" cm="1">
        <f t="array" ref="I277">各流量段建筑物坡比(B277,D277)</f>
        <v/>
      </c>
      <c r="J277" s="14" t="str">
        <f t="shared" si="4"/>
        <v/>
      </c>
    </row>
    <row r="278" spans="1:18">
      <c r="A278" s="15" t="s">
        <v>369</v>
      </c>
      <c r="B278" s="2">
        <v>2</v>
      </c>
      <c r="C278" s="2" t="s">
        <v>357</v>
      </c>
      <c r="D278" s="13" t="s">
        <v>81</v>
      </c>
      <c r="E278" s="4">
        <v>477310.9196</v>
      </c>
      <c r="F278" s="4">
        <v>3379636.9672</v>
      </c>
      <c r="G278" s="2">
        <v>31.9</v>
      </c>
      <c r="H278" s="13" t="s">
        <v>29</v>
      </c>
      <c r="I278" s="13" t="str" cm="1">
        <f t="array" ref="I278">各流量段建筑物坡比(B278,D278)</f>
        <v/>
      </c>
      <c r="J278" s="14" t="str">
        <f t="shared" si="4"/>
        <v/>
      </c>
    </row>
    <row r="279" spans="1:18">
      <c r="A279" s="12" t="s">
        <v>370</v>
      </c>
      <c r="B279" s="2">
        <v>2</v>
      </c>
      <c r="C279" s="2" t="s">
        <v>357</v>
      </c>
      <c r="D279" s="13" t="s">
        <v>81</v>
      </c>
      <c r="E279" s="4">
        <v>477399.7684</v>
      </c>
      <c r="F279" s="4">
        <v>3379763.9882</v>
      </c>
      <c r="G279" s="2">
        <v>31.9</v>
      </c>
      <c r="H279" s="13" t="s">
        <v>29</v>
      </c>
      <c r="I279" s="13" t="str" cm="1">
        <f t="array" ref="I279">各流量段建筑物坡比(B279,D279)</f>
        <v/>
      </c>
      <c r="J279" s="14" t="str">
        <f t="shared" si="4"/>
        <v/>
      </c>
    </row>
    <row r="280" spans="1:18">
      <c r="A280" s="15" t="s">
        <v>371</v>
      </c>
      <c r="B280" s="2">
        <v>2</v>
      </c>
      <c r="C280" s="2" t="s">
        <v>357</v>
      </c>
      <c r="D280" s="13" t="s">
        <v>81</v>
      </c>
      <c r="E280" s="4">
        <v>477558.6445</v>
      </c>
      <c r="F280" s="4">
        <v>3379825.9567</v>
      </c>
      <c r="G280" s="2">
        <v>31.9</v>
      </c>
      <c r="H280" s="13" t="s">
        <v>29</v>
      </c>
      <c r="I280" s="13" t="str" cm="1">
        <f t="array" ref="I280">各流量段建筑物坡比(B280,D280)</f>
        <v/>
      </c>
      <c r="J280" s="14" t="str">
        <f t="shared" si="4"/>
        <v/>
      </c>
    </row>
    <row r="281" spans="1:18">
      <c r="A281" s="12" t="s">
        <v>372</v>
      </c>
      <c r="B281" s="2">
        <v>2</v>
      </c>
      <c r="C281" s="2" t="s">
        <v>357</v>
      </c>
      <c r="D281" s="13" t="s">
        <v>81</v>
      </c>
      <c r="E281" s="4">
        <v>477710.1265</v>
      </c>
      <c r="F281" s="4">
        <v>3379804.0612</v>
      </c>
      <c r="G281" s="2">
        <v>31.9</v>
      </c>
      <c r="H281" s="13" t="s">
        <v>29</v>
      </c>
      <c r="I281" s="13" t="str" cm="1">
        <f t="array" ref="I281">各流量段建筑物坡比(B281,D281)</f>
        <v/>
      </c>
      <c r="J281" s="14" t="str">
        <f t="shared" si="4"/>
        <v/>
      </c>
    </row>
    <row r="282" spans="1:18">
      <c r="A282" s="15" t="s">
        <v>373</v>
      </c>
      <c r="B282" s="2">
        <v>2</v>
      </c>
      <c r="C282" s="2" t="s">
        <v>357</v>
      </c>
      <c r="D282" s="13" t="s">
        <v>81</v>
      </c>
      <c r="E282" s="4">
        <v>477827.8049</v>
      </c>
      <c r="F282" s="4">
        <v>3379818.087</v>
      </c>
      <c r="G282" s="2">
        <v>31.9</v>
      </c>
      <c r="H282" s="13" t="s">
        <v>29</v>
      </c>
      <c r="I282" s="13" t="str" cm="1">
        <f t="array" ref="I282">各流量段建筑物坡比(B282,D282)</f>
        <v/>
      </c>
      <c r="J282" s="14" t="str">
        <f t="shared" si="4"/>
        <v/>
      </c>
    </row>
    <row r="283" spans="1:18">
      <c r="A283" s="12" t="s">
        <v>374</v>
      </c>
      <c r="B283" s="2">
        <v>2</v>
      </c>
      <c r="C283" s="13" t="s">
        <v>27</v>
      </c>
      <c r="D283" s="13" t="s">
        <v>28</v>
      </c>
      <c r="E283" s="4">
        <v>478041.7976</v>
      </c>
      <c r="F283" s="4">
        <v>3379843.5924</v>
      </c>
      <c r="G283" s="2">
        <v>31.9</v>
      </c>
      <c r="H283" s="13" t="s">
        <v>29</v>
      </c>
      <c r="I283" s="13" cm="1">
        <f t="array" ref="I283">各流量段建筑物坡比(B283,D283)</f>
        <v>6000</v>
      </c>
      <c r="J283" s="14">
        <f t="shared" si="4"/>
        <v>0</v>
      </c>
      <c r="K283" s="13">
        <v>6.9</v>
      </c>
    </row>
    <row r="284" spans="1:18">
      <c r="A284" s="15" t="s">
        <v>375</v>
      </c>
      <c r="B284" s="2">
        <v>2</v>
      </c>
      <c r="C284" s="13" t="s">
        <v>27</v>
      </c>
      <c r="D284" s="13" t="s">
        <v>28</v>
      </c>
      <c r="E284" s="4">
        <v>478142.057</v>
      </c>
      <c r="F284" s="4">
        <v>3379771.3467</v>
      </c>
      <c r="G284" s="2">
        <v>31.9</v>
      </c>
      <c r="H284" s="13" t="s">
        <v>29</v>
      </c>
      <c r="I284" s="13" cm="1">
        <f t="array" ref="I284">各流量段建筑物坡比(B284,D284)</f>
        <v>6000</v>
      </c>
      <c r="J284" s="14">
        <f t="shared" si="4"/>
        <v>0</v>
      </c>
      <c r="K284" s="13">
        <v>6.9</v>
      </c>
    </row>
    <row r="285" spans="1:18">
      <c r="A285" s="12" t="s">
        <v>376</v>
      </c>
      <c r="B285" s="2">
        <v>2</v>
      </c>
      <c r="C285" s="13" t="s">
        <v>27</v>
      </c>
      <c r="D285" s="13" t="s">
        <v>28</v>
      </c>
      <c r="E285" s="4">
        <v>478198.1904</v>
      </c>
      <c r="F285" s="4">
        <v>3379683.7377</v>
      </c>
      <c r="G285" s="2">
        <v>31.9</v>
      </c>
      <c r="H285" s="13" t="s">
        <v>29</v>
      </c>
      <c r="I285" s="13" cm="1">
        <f t="array" ref="I285">各流量段建筑物坡比(B285,D285)</f>
        <v>6000</v>
      </c>
      <c r="J285" s="14">
        <f t="shared" si="4"/>
        <v>0</v>
      </c>
      <c r="K285" s="13">
        <v>6.9</v>
      </c>
    </row>
    <row r="286" spans="1:18">
      <c r="A286" s="15" t="s">
        <v>377</v>
      </c>
      <c r="B286" s="2">
        <v>2</v>
      </c>
      <c r="C286" s="2" t="s">
        <v>378</v>
      </c>
      <c r="D286" s="13" t="s">
        <v>35</v>
      </c>
      <c r="E286" s="4">
        <v>478264.447</v>
      </c>
      <c r="F286" s="4">
        <v>3379648.4099</v>
      </c>
      <c r="G286" s="2">
        <v>31.9</v>
      </c>
      <c r="H286" s="13" t="s">
        <v>29</v>
      </c>
      <c r="I286" s="13" cm="1">
        <f t="array" ref="I286">各流量段建筑物坡比(B286,D286)</f>
        <v>5500</v>
      </c>
      <c r="J286" s="14" t="str">
        <f t="shared" si="4"/>
        <v/>
      </c>
      <c r="K286" s="2">
        <v>5.6</v>
      </c>
      <c r="R286" s="2">
        <v>180</v>
      </c>
    </row>
    <row r="287" spans="1:18">
      <c r="A287" s="12" t="s">
        <v>379</v>
      </c>
      <c r="B287" s="2">
        <v>2</v>
      </c>
      <c r="C287" s="2" t="s">
        <v>378</v>
      </c>
      <c r="D287" s="13" t="s">
        <v>35</v>
      </c>
      <c r="E287" s="4">
        <v>478523.6175</v>
      </c>
      <c r="F287" s="4">
        <v>3379510.2211</v>
      </c>
      <c r="G287" s="2">
        <v>31.9</v>
      </c>
      <c r="H287" s="13" t="s">
        <v>29</v>
      </c>
      <c r="I287" s="13" cm="1">
        <f t="array" ref="I287">各流量段建筑物坡比(B287,D287)</f>
        <v>5500</v>
      </c>
      <c r="J287" s="14" t="str">
        <f t="shared" si="4"/>
        <v/>
      </c>
      <c r="K287" s="2">
        <v>5.6</v>
      </c>
      <c r="R287" s="2">
        <v>180</v>
      </c>
    </row>
    <row r="288" spans="1:18">
      <c r="A288" s="15" t="s">
        <v>380</v>
      </c>
      <c r="B288" s="2">
        <v>2</v>
      </c>
      <c r="C288" s="2" t="s">
        <v>378</v>
      </c>
      <c r="D288" s="13" t="s">
        <v>35</v>
      </c>
      <c r="E288" s="4">
        <v>478580.7661</v>
      </c>
      <c r="F288" s="4">
        <v>3378970.0082</v>
      </c>
      <c r="G288" s="2">
        <v>31.9</v>
      </c>
      <c r="H288" s="13" t="s">
        <v>29</v>
      </c>
      <c r="I288" s="13" cm="1">
        <f t="array" ref="I288">各流量段建筑物坡比(B288,D288)</f>
        <v>5500</v>
      </c>
      <c r="J288" s="14" t="str">
        <f t="shared" si="4"/>
        <v/>
      </c>
      <c r="K288" s="2">
        <v>5.6</v>
      </c>
      <c r="R288" s="2">
        <v>180</v>
      </c>
    </row>
    <row r="289" spans="1:18">
      <c r="A289" s="12" t="s">
        <v>381</v>
      </c>
      <c r="B289" s="2">
        <v>2</v>
      </c>
      <c r="C289" s="2" t="s">
        <v>378</v>
      </c>
      <c r="D289" s="13" t="s">
        <v>35</v>
      </c>
      <c r="E289" s="4">
        <v>478777.0131</v>
      </c>
      <c r="F289" s="4">
        <v>3378581.0772</v>
      </c>
      <c r="G289" s="2">
        <v>31.9</v>
      </c>
      <c r="H289" s="13" t="s">
        <v>29</v>
      </c>
      <c r="I289" s="13" cm="1">
        <f t="array" ref="I289">各流量段建筑物坡比(B289,D289)</f>
        <v>5500</v>
      </c>
      <c r="J289" s="14" t="str">
        <f t="shared" si="4"/>
        <v/>
      </c>
      <c r="K289" s="2">
        <v>5.6</v>
      </c>
      <c r="R289" s="2">
        <v>180</v>
      </c>
    </row>
    <row r="290" spans="1:18">
      <c r="A290" s="15" t="s">
        <v>382</v>
      </c>
      <c r="B290" s="2">
        <v>2</v>
      </c>
      <c r="C290" s="13" t="s">
        <v>27</v>
      </c>
      <c r="D290" s="13" t="s">
        <v>28</v>
      </c>
      <c r="E290" s="4">
        <v>478833.8309</v>
      </c>
      <c r="F290" s="4">
        <v>3378468.4731</v>
      </c>
      <c r="G290" s="2">
        <v>31.9</v>
      </c>
      <c r="H290" s="13" t="s">
        <v>29</v>
      </c>
      <c r="I290" s="13" cm="1">
        <f t="array" ref="I290">各流量段建筑物坡比(B290,D290)</f>
        <v>6000</v>
      </c>
      <c r="J290" s="14">
        <f t="shared" si="4"/>
        <v>0</v>
      </c>
      <c r="K290" s="13">
        <v>6.9</v>
      </c>
    </row>
    <row r="291" spans="1:18">
      <c r="A291" s="12" t="s">
        <v>383</v>
      </c>
      <c r="B291" s="2">
        <v>2</v>
      </c>
      <c r="C291" s="2" t="s">
        <v>384</v>
      </c>
      <c r="D291" s="13" t="s">
        <v>35</v>
      </c>
      <c r="E291" s="4">
        <v>478853.5472</v>
      </c>
      <c r="F291" s="4">
        <v>3378415.4202</v>
      </c>
      <c r="G291" s="2">
        <v>31.9</v>
      </c>
      <c r="H291" s="13" t="s">
        <v>29</v>
      </c>
      <c r="I291" s="13" cm="1">
        <f t="array" ref="I291">各流量段建筑物坡比(B291,D291)</f>
        <v>5500</v>
      </c>
      <c r="J291" s="14" t="str">
        <f t="shared" si="4"/>
        <v/>
      </c>
      <c r="K291" s="2">
        <v>5.6</v>
      </c>
      <c r="R291" s="2">
        <v>180</v>
      </c>
    </row>
    <row r="292" spans="1:18">
      <c r="A292" s="15" t="s">
        <v>385</v>
      </c>
      <c r="B292" s="2">
        <v>2</v>
      </c>
      <c r="C292" s="2" t="s">
        <v>384</v>
      </c>
      <c r="D292" s="13" t="s">
        <v>35</v>
      </c>
      <c r="E292" s="4">
        <v>478898.5557</v>
      </c>
      <c r="F292" s="4">
        <v>3378294.3105</v>
      </c>
      <c r="G292" s="2">
        <v>31.9</v>
      </c>
      <c r="H292" s="13" t="s">
        <v>29</v>
      </c>
      <c r="I292" s="13" cm="1">
        <f t="array" ref="I292">各流量段建筑物坡比(B292,D292)</f>
        <v>5500</v>
      </c>
      <c r="J292" s="14" t="str">
        <f t="shared" si="4"/>
        <v/>
      </c>
      <c r="K292" s="2">
        <v>5.6</v>
      </c>
      <c r="R292" s="2">
        <v>180</v>
      </c>
    </row>
    <row r="293" spans="1:18">
      <c r="A293" s="12" t="s">
        <v>386</v>
      </c>
      <c r="B293" s="2">
        <v>2</v>
      </c>
      <c r="C293" s="13" t="s">
        <v>27</v>
      </c>
      <c r="D293" s="13" t="s">
        <v>28</v>
      </c>
      <c r="E293" s="4">
        <v>478908.8974</v>
      </c>
      <c r="F293" s="4">
        <v>3378266.4831</v>
      </c>
      <c r="G293" s="2">
        <v>31.9</v>
      </c>
      <c r="H293" s="13" t="s">
        <v>29</v>
      </c>
      <c r="I293" s="13" cm="1">
        <f t="array" ref="I293">各流量段建筑物坡比(B293,D293)</f>
        <v>6000</v>
      </c>
      <c r="J293" s="14">
        <f t="shared" si="4"/>
        <v>0</v>
      </c>
      <c r="K293" s="13">
        <v>6.9</v>
      </c>
    </row>
    <row r="294" spans="1:18">
      <c r="A294" s="15" t="s">
        <v>387</v>
      </c>
      <c r="B294" s="2">
        <v>2</v>
      </c>
      <c r="C294" s="2" t="s">
        <v>388</v>
      </c>
      <c r="D294" s="13" t="s">
        <v>35</v>
      </c>
      <c r="E294" s="4">
        <v>478927.9938</v>
      </c>
      <c r="F294" s="4">
        <v>3378227.2751</v>
      </c>
      <c r="G294" s="2">
        <v>31.9</v>
      </c>
      <c r="H294" s="13" t="s">
        <v>29</v>
      </c>
      <c r="I294" s="13" cm="1">
        <f t="array" ref="I294">各流量段建筑物坡比(B294,D294)</f>
        <v>5500</v>
      </c>
      <c r="J294" s="14" t="str">
        <f t="shared" si="4"/>
        <v/>
      </c>
      <c r="K294" s="2">
        <v>5.6</v>
      </c>
      <c r="R294" s="2">
        <v>180</v>
      </c>
    </row>
    <row r="295" spans="1:18">
      <c r="A295" s="12" t="s">
        <v>389</v>
      </c>
      <c r="B295" s="2">
        <v>2</v>
      </c>
      <c r="C295" s="2" t="s">
        <v>388</v>
      </c>
      <c r="D295" s="13" t="s">
        <v>35</v>
      </c>
      <c r="E295" s="4">
        <v>479000.9961</v>
      </c>
      <c r="F295" s="4">
        <v>3378077.3896</v>
      </c>
      <c r="G295" s="2">
        <v>31.9</v>
      </c>
      <c r="H295" s="13" t="s">
        <v>29</v>
      </c>
      <c r="I295" s="13" cm="1">
        <f t="array" ref="I295">各流量段建筑物坡比(B295,D295)</f>
        <v>5500</v>
      </c>
      <c r="J295" s="14" t="str">
        <f t="shared" si="4"/>
        <v/>
      </c>
      <c r="K295" s="2">
        <v>5.6</v>
      </c>
      <c r="R295" s="2">
        <v>180</v>
      </c>
    </row>
    <row r="296" spans="1:18">
      <c r="A296" s="15" t="s">
        <v>390</v>
      </c>
      <c r="B296" s="2">
        <v>2</v>
      </c>
      <c r="C296" s="2" t="s">
        <v>388</v>
      </c>
      <c r="D296" s="13" t="s">
        <v>35</v>
      </c>
      <c r="E296" s="4">
        <v>479045.3642</v>
      </c>
      <c r="F296" s="4">
        <v>3378045.7252</v>
      </c>
      <c r="G296" s="2">
        <v>31.9</v>
      </c>
      <c r="H296" s="13" t="s">
        <v>29</v>
      </c>
      <c r="I296" s="13" cm="1">
        <f t="array" ref="I296">各流量段建筑物坡比(B296,D296)</f>
        <v>5500</v>
      </c>
      <c r="J296" s="14" t="str">
        <f t="shared" si="4"/>
        <v/>
      </c>
      <c r="K296" s="2">
        <v>5.6</v>
      </c>
      <c r="R296" s="2">
        <v>180</v>
      </c>
    </row>
    <row r="297" spans="1:18">
      <c r="A297" s="12" t="s">
        <v>391</v>
      </c>
      <c r="B297" s="2">
        <v>2</v>
      </c>
      <c r="C297" s="2" t="s">
        <v>392</v>
      </c>
      <c r="D297" s="16" t="s">
        <v>47</v>
      </c>
      <c r="E297" s="4">
        <v>479069.8889</v>
      </c>
      <c r="F297" s="4">
        <v>3378028.2225</v>
      </c>
      <c r="G297" s="2">
        <v>31.9</v>
      </c>
      <c r="H297" s="13" t="s">
        <v>29</v>
      </c>
      <c r="I297" s="13" cm="1">
        <f t="array" ref="I297">各流量段建筑物坡比(B297,D297)</f>
        <v>3000</v>
      </c>
      <c r="J297" s="14" t="str">
        <f t="shared" si="4"/>
        <v/>
      </c>
      <c r="K297" s="2">
        <v>5.1</v>
      </c>
      <c r="O297" s="2">
        <v>0.79</v>
      </c>
    </row>
    <row r="298" spans="1:18">
      <c r="A298" s="15" t="s">
        <v>393</v>
      </c>
      <c r="B298" s="2">
        <v>2</v>
      </c>
      <c r="C298" s="2" t="s">
        <v>394</v>
      </c>
      <c r="D298" s="16" t="s">
        <v>47</v>
      </c>
      <c r="E298" s="4">
        <v>479192.3219</v>
      </c>
      <c r="F298" s="4">
        <v>3377940.8451</v>
      </c>
      <c r="G298" s="2">
        <v>31.9</v>
      </c>
      <c r="H298" s="13" t="s">
        <v>29</v>
      </c>
      <c r="I298" s="13" cm="1">
        <f t="array" ref="I298">各流量段建筑物坡比(B298,D298)</f>
        <v>3000</v>
      </c>
      <c r="J298" s="14" t="str">
        <f t="shared" si="4"/>
        <v/>
      </c>
      <c r="K298" s="2">
        <v>5.1</v>
      </c>
      <c r="O298" s="2">
        <v>0.79</v>
      </c>
    </row>
    <row r="299" spans="1:18">
      <c r="A299" s="12" t="s">
        <v>395</v>
      </c>
      <c r="B299" s="2">
        <v>2</v>
      </c>
      <c r="C299" s="13" t="s">
        <v>27</v>
      </c>
      <c r="D299" s="13" t="s">
        <v>28</v>
      </c>
      <c r="E299" s="4">
        <v>479206.4636</v>
      </c>
      <c r="F299" s="4">
        <v>3377930.7525</v>
      </c>
      <c r="G299" s="2">
        <v>31.9</v>
      </c>
      <c r="H299" s="13" t="s">
        <v>29</v>
      </c>
      <c r="I299" s="13" cm="1">
        <f t="array" ref="I299">各流量段建筑物坡比(B299,D299)</f>
        <v>6000</v>
      </c>
      <c r="J299" s="14">
        <f t="shared" si="4"/>
        <v>0</v>
      </c>
      <c r="K299" s="13">
        <v>6.9</v>
      </c>
    </row>
    <row r="300" spans="1:18">
      <c r="A300" s="15" t="s">
        <v>396</v>
      </c>
      <c r="B300" s="2">
        <v>2</v>
      </c>
      <c r="C300" s="13" t="s">
        <v>27</v>
      </c>
      <c r="D300" s="13" t="s">
        <v>28</v>
      </c>
      <c r="E300" s="4">
        <v>479271.9837</v>
      </c>
      <c r="F300" s="4">
        <v>3377913.6136</v>
      </c>
      <c r="G300" s="2">
        <v>31.9</v>
      </c>
      <c r="H300" s="13" t="s">
        <v>29</v>
      </c>
      <c r="I300" s="13" cm="1">
        <f t="array" ref="I300">各流量段建筑物坡比(B300,D300)</f>
        <v>6000</v>
      </c>
      <c r="J300" s="14">
        <f t="shared" si="4"/>
        <v>0</v>
      </c>
      <c r="K300" s="13">
        <v>6.9</v>
      </c>
    </row>
    <row r="301" spans="1:18">
      <c r="A301" s="12" t="s">
        <v>397</v>
      </c>
      <c r="B301" s="2">
        <v>2</v>
      </c>
      <c r="C301" s="2" t="s">
        <v>398</v>
      </c>
      <c r="D301" s="2" t="s">
        <v>44</v>
      </c>
      <c r="E301" s="4">
        <v>479279.4653</v>
      </c>
      <c r="F301" s="4">
        <v>3377909.5195</v>
      </c>
      <c r="G301" s="2">
        <v>31.9</v>
      </c>
      <c r="H301" s="13" t="s">
        <v>29</v>
      </c>
      <c r="I301" s="13" t="str" cm="1">
        <f t="array" ref="I301">各流量段建筑物坡比(B301,D301)</f>
        <v/>
      </c>
      <c r="J301" s="14" t="str">
        <f t="shared" si="4"/>
        <v/>
      </c>
    </row>
    <row r="302" spans="1:18">
      <c r="A302" s="15" t="s">
        <v>399</v>
      </c>
      <c r="B302" s="2">
        <v>2</v>
      </c>
      <c r="C302" s="2" t="s">
        <v>398</v>
      </c>
      <c r="D302" s="2" t="s">
        <v>44</v>
      </c>
      <c r="E302" s="4">
        <v>479279.4653</v>
      </c>
      <c r="F302" s="4">
        <v>3377909.5195</v>
      </c>
      <c r="G302" s="2">
        <v>31.9</v>
      </c>
      <c r="H302" s="13" t="s">
        <v>29</v>
      </c>
      <c r="I302" s="13" t="str" cm="1">
        <f t="array" ref="I302">各流量段建筑物坡比(B302,D302)</f>
        <v/>
      </c>
      <c r="J302" s="14" t="str">
        <f t="shared" si="4"/>
        <v/>
      </c>
    </row>
    <row r="303" spans="1:18">
      <c r="A303" s="12" t="s">
        <v>400</v>
      </c>
      <c r="B303" s="2">
        <v>2</v>
      </c>
      <c r="C303" s="2" t="s">
        <v>398</v>
      </c>
      <c r="D303" s="16" t="s">
        <v>47</v>
      </c>
      <c r="E303" s="4">
        <v>479282.8462</v>
      </c>
      <c r="F303" s="4">
        <v>3377907.6694</v>
      </c>
      <c r="G303" s="2">
        <v>31.9</v>
      </c>
      <c r="H303" s="13" t="s">
        <v>29</v>
      </c>
      <c r="I303" s="13" cm="1">
        <f t="array" ref="I303">各流量段建筑物坡比(B303,D303)</f>
        <v>3000</v>
      </c>
      <c r="J303" s="14" t="str">
        <f t="shared" si="4"/>
        <v/>
      </c>
      <c r="K303" s="2">
        <v>5.1</v>
      </c>
      <c r="O303" s="2">
        <v>0.79</v>
      </c>
    </row>
    <row r="304" spans="1:18">
      <c r="A304" s="15" t="s">
        <v>401</v>
      </c>
      <c r="B304" s="2">
        <v>2</v>
      </c>
      <c r="C304" s="2" t="s">
        <v>398</v>
      </c>
      <c r="D304" s="16" t="s">
        <v>47</v>
      </c>
      <c r="E304" s="4">
        <v>479708.5986</v>
      </c>
      <c r="F304" s="4">
        <v>3377674.6907</v>
      </c>
      <c r="G304" s="2">
        <v>31.9</v>
      </c>
      <c r="H304" s="13" t="s">
        <v>29</v>
      </c>
      <c r="I304" s="13" cm="1">
        <f t="array" ref="I304">各流量段建筑物坡比(B304,D304)</f>
        <v>3000</v>
      </c>
      <c r="J304" s="14" t="str">
        <f t="shared" si="4"/>
        <v/>
      </c>
      <c r="K304" s="2">
        <v>5.1</v>
      </c>
      <c r="O304" s="2">
        <v>0.79</v>
      </c>
    </row>
    <row r="305" spans="1:18">
      <c r="A305" s="12" t="s">
        <v>402</v>
      </c>
      <c r="B305" s="2">
        <v>2</v>
      </c>
      <c r="C305" s="2" t="s">
        <v>398</v>
      </c>
      <c r="D305" s="16" t="s">
        <v>47</v>
      </c>
      <c r="E305" s="4">
        <v>480169.8579</v>
      </c>
      <c r="F305" s="4">
        <v>3377551.1329</v>
      </c>
      <c r="G305" s="2">
        <v>31.9</v>
      </c>
      <c r="H305" s="13" t="s">
        <v>29</v>
      </c>
      <c r="I305" s="13" cm="1">
        <f t="array" ref="I305">各流量段建筑物坡比(B305,D305)</f>
        <v>3000</v>
      </c>
      <c r="J305" s="14" t="str">
        <f t="shared" si="4"/>
        <v/>
      </c>
      <c r="K305" s="2">
        <v>5.1</v>
      </c>
      <c r="O305" s="2">
        <v>0.79</v>
      </c>
    </row>
    <row r="306" spans="1:18">
      <c r="A306" s="15" t="s">
        <v>403</v>
      </c>
      <c r="B306" s="2">
        <v>2</v>
      </c>
      <c r="C306" s="2" t="s">
        <v>404</v>
      </c>
      <c r="D306" s="2" t="s">
        <v>44</v>
      </c>
      <c r="E306" s="4">
        <v>480195.3242</v>
      </c>
      <c r="F306" s="4">
        <v>3377544.3112</v>
      </c>
      <c r="G306" s="2">
        <v>31.9</v>
      </c>
      <c r="H306" s="13" t="s">
        <v>29</v>
      </c>
      <c r="I306" s="13" t="str" cm="1">
        <f t="array" ref="I306">各流量段建筑物坡比(B306,D306)</f>
        <v/>
      </c>
      <c r="J306" s="14" t="str">
        <f t="shared" si="4"/>
        <v/>
      </c>
    </row>
    <row r="307" spans="1:18">
      <c r="A307" s="12" t="s">
        <v>405</v>
      </c>
      <c r="B307" s="2">
        <v>2</v>
      </c>
      <c r="C307" s="2" t="s">
        <v>404</v>
      </c>
      <c r="D307" s="2" t="s">
        <v>44</v>
      </c>
      <c r="E307" s="4">
        <v>480195.3242</v>
      </c>
      <c r="F307" s="4">
        <v>3377544.3112</v>
      </c>
      <c r="G307" s="2">
        <v>31.9</v>
      </c>
      <c r="H307" s="13" t="s">
        <v>29</v>
      </c>
      <c r="I307" s="13" t="str" cm="1">
        <f t="array" ref="I307">各流量段建筑物坡比(B307,D307)</f>
        <v/>
      </c>
      <c r="J307" s="14" t="str">
        <f t="shared" si="4"/>
        <v/>
      </c>
    </row>
    <row r="308" spans="1:18">
      <c r="A308" s="15" t="s">
        <v>406</v>
      </c>
      <c r="B308" s="2">
        <v>2</v>
      </c>
      <c r="C308" s="2" t="s">
        <v>404</v>
      </c>
      <c r="D308" s="16" t="s">
        <v>47</v>
      </c>
      <c r="E308" s="4">
        <v>480204.4311</v>
      </c>
      <c r="F308" s="4">
        <v>3377541.8718</v>
      </c>
      <c r="G308" s="2">
        <v>31.9</v>
      </c>
      <c r="H308" s="13" t="s">
        <v>29</v>
      </c>
      <c r="I308" s="13" cm="1">
        <f t="array" ref="I308">各流量段建筑物坡比(B308,D308)</f>
        <v>3000</v>
      </c>
      <c r="J308" s="14" t="str">
        <f t="shared" si="4"/>
        <v/>
      </c>
      <c r="K308" s="2">
        <v>5.1</v>
      </c>
      <c r="O308" s="2">
        <v>0.79</v>
      </c>
    </row>
    <row r="309" spans="1:18">
      <c r="A309" s="12" t="s">
        <v>407</v>
      </c>
      <c r="B309" s="2">
        <v>2</v>
      </c>
      <c r="C309" s="2" t="s">
        <v>404</v>
      </c>
      <c r="D309" s="16" t="s">
        <v>47</v>
      </c>
      <c r="E309" s="4">
        <v>480514.3678</v>
      </c>
      <c r="F309" s="4">
        <v>3377458.8489</v>
      </c>
      <c r="G309" s="2">
        <v>31.9</v>
      </c>
      <c r="H309" s="13" t="s">
        <v>29</v>
      </c>
      <c r="I309" s="13" cm="1">
        <f t="array" ref="I309">各流量段建筑物坡比(B309,D309)</f>
        <v>3000</v>
      </c>
      <c r="J309" s="14" t="str">
        <f t="shared" si="4"/>
        <v/>
      </c>
      <c r="K309" s="2">
        <v>5.1</v>
      </c>
      <c r="O309" s="2">
        <v>0.79</v>
      </c>
    </row>
    <row r="310" spans="1:18">
      <c r="A310" s="15" t="s">
        <v>408</v>
      </c>
      <c r="B310" s="2">
        <v>2</v>
      </c>
      <c r="C310" s="2" t="s">
        <v>404</v>
      </c>
      <c r="D310" s="16" t="s">
        <v>47</v>
      </c>
      <c r="E310" s="4">
        <v>480719.8954</v>
      </c>
      <c r="F310" s="4">
        <v>3377049.5915</v>
      </c>
      <c r="G310" s="2">
        <v>31.9</v>
      </c>
      <c r="H310" s="13" t="s">
        <v>29</v>
      </c>
      <c r="I310" s="13" cm="1">
        <f t="array" ref="I310">各流量段建筑物坡比(B310,D310)</f>
        <v>3000</v>
      </c>
      <c r="J310" s="14" t="str">
        <f t="shared" si="4"/>
        <v/>
      </c>
      <c r="K310" s="2">
        <v>5.1</v>
      </c>
      <c r="O310" s="2">
        <v>0.79</v>
      </c>
    </row>
    <row r="311" spans="1:18">
      <c r="A311" s="12" t="s">
        <v>409</v>
      </c>
      <c r="B311" s="2">
        <v>2</v>
      </c>
      <c r="C311" s="13" t="s">
        <v>27</v>
      </c>
      <c r="D311" s="13" t="s">
        <v>28</v>
      </c>
      <c r="E311" s="4">
        <v>480733.4995</v>
      </c>
      <c r="F311" s="4">
        <v>3377022.5024</v>
      </c>
      <c r="G311" s="2">
        <v>31.9</v>
      </c>
      <c r="H311" s="13" t="s">
        <v>29</v>
      </c>
      <c r="I311" s="13" cm="1">
        <f t="array" ref="I311">各流量段建筑物坡比(B311,D311)</f>
        <v>6000</v>
      </c>
      <c r="J311" s="14">
        <f t="shared" si="4"/>
        <v>0</v>
      </c>
      <c r="K311" s="13">
        <v>6.9</v>
      </c>
    </row>
    <row r="312" spans="1:18">
      <c r="A312" s="15" t="s">
        <v>410</v>
      </c>
      <c r="B312" s="2">
        <v>2</v>
      </c>
      <c r="C312" s="13" t="s">
        <v>27</v>
      </c>
      <c r="D312" s="13" t="s">
        <v>28</v>
      </c>
      <c r="E312" s="4">
        <v>480804.877</v>
      </c>
      <c r="F312" s="4">
        <v>3377012.9189</v>
      </c>
      <c r="G312" s="2">
        <v>31.9</v>
      </c>
      <c r="H312" s="13" t="s">
        <v>29</v>
      </c>
      <c r="I312" s="13" cm="1">
        <f t="array" ref="I312">各流量段建筑物坡比(B312,D312)</f>
        <v>6000</v>
      </c>
      <c r="J312" s="14">
        <f t="shared" si="4"/>
        <v>0</v>
      </c>
      <c r="K312" s="13">
        <v>6.9</v>
      </c>
    </row>
    <row r="313" spans="1:18">
      <c r="A313" s="12" t="s">
        <v>411</v>
      </c>
      <c r="B313" s="2">
        <v>2</v>
      </c>
      <c r="C313" s="13" t="s">
        <v>27</v>
      </c>
      <c r="D313" s="13" t="s">
        <v>28</v>
      </c>
      <c r="E313" s="4">
        <v>480898.9979</v>
      </c>
      <c r="F313" s="4">
        <v>3377076.9333</v>
      </c>
      <c r="G313" s="2">
        <v>31.9</v>
      </c>
      <c r="H313" s="13" t="s">
        <v>29</v>
      </c>
      <c r="I313" s="13" cm="1">
        <f t="array" ref="I313">各流量段建筑物坡比(B313,D313)</f>
        <v>6000</v>
      </c>
      <c r="J313" s="14">
        <f t="shared" si="4"/>
        <v>0</v>
      </c>
      <c r="K313" s="13">
        <v>6.9</v>
      </c>
    </row>
    <row r="314" spans="1:18">
      <c r="A314" s="15" t="s">
        <v>412</v>
      </c>
      <c r="B314" s="2">
        <v>2</v>
      </c>
      <c r="C314" s="13" t="s">
        <v>27</v>
      </c>
      <c r="D314" s="13" t="s">
        <v>28</v>
      </c>
      <c r="E314" s="4">
        <v>481066.2972</v>
      </c>
      <c r="F314" s="4">
        <v>3377020.176</v>
      </c>
      <c r="G314" s="2">
        <v>31.9</v>
      </c>
      <c r="H314" s="13" t="s">
        <v>29</v>
      </c>
      <c r="I314" s="13" cm="1">
        <f t="array" ref="I314">各流量段建筑物坡比(B314,D314)</f>
        <v>6000</v>
      </c>
      <c r="J314" s="14">
        <f t="shared" si="4"/>
        <v>0</v>
      </c>
      <c r="K314" s="13">
        <v>6.9</v>
      </c>
    </row>
    <row r="315" spans="1:18">
      <c r="A315" s="12" t="s">
        <v>413</v>
      </c>
      <c r="B315" s="2">
        <v>2</v>
      </c>
      <c r="C315" s="13" t="s">
        <v>27</v>
      </c>
      <c r="D315" s="13" t="s">
        <v>28</v>
      </c>
      <c r="E315" s="4">
        <v>481136.5085</v>
      </c>
      <c r="F315" s="4">
        <v>3377051.1693</v>
      </c>
      <c r="G315" s="2">
        <v>31.9</v>
      </c>
      <c r="H315" s="13" t="s">
        <v>29</v>
      </c>
      <c r="I315" s="13" cm="1">
        <f t="array" ref="I315">各流量段建筑物坡比(B315,D315)</f>
        <v>6000</v>
      </c>
      <c r="J315" s="14">
        <f t="shared" si="4"/>
        <v>0</v>
      </c>
      <c r="K315" s="13">
        <v>6.9</v>
      </c>
    </row>
    <row r="316" spans="1:18">
      <c r="A316" s="15" t="s">
        <v>414</v>
      </c>
      <c r="B316" s="2">
        <v>2</v>
      </c>
      <c r="C316" s="13" t="s">
        <v>27</v>
      </c>
      <c r="D316" s="13" t="s">
        <v>28</v>
      </c>
      <c r="E316" s="4">
        <v>481198.8308</v>
      </c>
      <c r="F316" s="4">
        <v>3377031.704</v>
      </c>
      <c r="G316" s="2">
        <v>31.9</v>
      </c>
      <c r="H316" s="13" t="s">
        <v>29</v>
      </c>
      <c r="I316" s="13" cm="1">
        <f t="array" ref="I316">各流量段建筑物坡比(B316,D316)</f>
        <v>6000</v>
      </c>
      <c r="J316" s="14">
        <f t="shared" si="4"/>
        <v>0</v>
      </c>
      <c r="K316" s="13">
        <v>6.9</v>
      </c>
    </row>
    <row r="317" spans="1:18">
      <c r="A317" s="12" t="s">
        <v>415</v>
      </c>
      <c r="B317" s="2">
        <v>2</v>
      </c>
      <c r="C317" s="13" t="s">
        <v>27</v>
      </c>
      <c r="D317" s="13" t="s">
        <v>28</v>
      </c>
      <c r="E317" s="4">
        <v>481251.9824</v>
      </c>
      <c r="F317" s="4">
        <v>3376975.7633</v>
      </c>
      <c r="G317" s="2">
        <v>31.9</v>
      </c>
      <c r="H317" s="13" t="s">
        <v>29</v>
      </c>
      <c r="I317" s="13" cm="1">
        <f t="array" ref="I317">各流量段建筑物坡比(B317,D317)</f>
        <v>6000</v>
      </c>
      <c r="J317" s="14">
        <f t="shared" si="4"/>
        <v>0</v>
      </c>
      <c r="K317" s="13">
        <v>6.9</v>
      </c>
    </row>
    <row r="318" spans="1:18">
      <c r="A318" s="15" t="s">
        <v>416</v>
      </c>
      <c r="B318" s="2">
        <v>2</v>
      </c>
      <c r="C318" s="2" t="s">
        <v>417</v>
      </c>
      <c r="D318" s="13" t="s">
        <v>35</v>
      </c>
      <c r="E318" s="4">
        <v>481291.5442</v>
      </c>
      <c r="F318" s="4">
        <v>3376965.6601</v>
      </c>
      <c r="G318" s="2">
        <v>31.9</v>
      </c>
      <c r="H318" s="13" t="s">
        <v>29</v>
      </c>
      <c r="I318" s="13" cm="1">
        <f t="array" ref="I318">各流量段建筑物坡比(B318,D318)</f>
        <v>5500</v>
      </c>
      <c r="J318" s="14" t="str">
        <f t="shared" si="4"/>
        <v/>
      </c>
      <c r="K318" s="2">
        <v>5.6</v>
      </c>
      <c r="R318" s="2">
        <v>180</v>
      </c>
    </row>
    <row r="319" spans="1:18">
      <c r="A319" s="12" t="s">
        <v>418</v>
      </c>
      <c r="B319" s="2">
        <v>2</v>
      </c>
      <c r="C319" s="2" t="s">
        <v>417</v>
      </c>
      <c r="D319" s="13" t="s">
        <v>35</v>
      </c>
      <c r="E319" s="4">
        <v>481794.4166</v>
      </c>
      <c r="F319" s="4">
        <v>3376837.2376</v>
      </c>
      <c r="G319" s="2">
        <v>31.9</v>
      </c>
      <c r="H319" s="13" t="s">
        <v>29</v>
      </c>
      <c r="I319" s="13" cm="1">
        <f t="array" ref="I319">各流量段建筑物坡比(B319,D319)</f>
        <v>5500</v>
      </c>
      <c r="J319" s="14" t="str">
        <f t="shared" si="4"/>
        <v/>
      </c>
      <c r="K319" s="2">
        <v>5.6</v>
      </c>
      <c r="R319" s="2">
        <v>180</v>
      </c>
    </row>
    <row r="320" spans="1:18">
      <c r="A320" s="15" t="s">
        <v>419</v>
      </c>
      <c r="B320" s="2">
        <v>2</v>
      </c>
      <c r="C320" s="13" t="s">
        <v>27</v>
      </c>
      <c r="D320" s="13" t="s">
        <v>28</v>
      </c>
      <c r="E320" s="4">
        <v>481830.4795</v>
      </c>
      <c r="F320" s="4">
        <v>3376828.0279</v>
      </c>
      <c r="G320" s="2">
        <v>31.9</v>
      </c>
      <c r="H320" s="13" t="s">
        <v>29</v>
      </c>
      <c r="I320" s="13" cm="1">
        <f t="array" ref="I320">各流量段建筑物坡比(B320,D320)</f>
        <v>6000</v>
      </c>
      <c r="J320" s="14">
        <f t="shared" si="4"/>
        <v>0</v>
      </c>
      <c r="K320" s="13">
        <v>6.9</v>
      </c>
    </row>
    <row r="321" spans="1:18">
      <c r="A321" s="12" t="s">
        <v>420</v>
      </c>
      <c r="B321" s="2">
        <v>2</v>
      </c>
      <c r="C321" s="13" t="s">
        <v>27</v>
      </c>
      <c r="D321" s="13" t="s">
        <v>28</v>
      </c>
      <c r="E321" s="4">
        <v>481898.4306</v>
      </c>
      <c r="F321" s="4">
        <v>3376849.7158</v>
      </c>
      <c r="G321" s="2">
        <v>31.9</v>
      </c>
      <c r="H321" s="13" t="s">
        <v>29</v>
      </c>
      <c r="I321" s="13" cm="1">
        <f t="array" ref="I321">各流量段建筑物坡比(B321,D321)</f>
        <v>6000</v>
      </c>
      <c r="J321" s="14">
        <f t="shared" si="4"/>
        <v>0</v>
      </c>
      <c r="K321" s="13">
        <v>6.9</v>
      </c>
    </row>
    <row r="322" spans="1:18">
      <c r="A322" s="15" t="s">
        <v>421</v>
      </c>
      <c r="B322" s="2">
        <v>2</v>
      </c>
      <c r="C322" s="13" t="s">
        <v>27</v>
      </c>
      <c r="D322" s="13" t="s">
        <v>28</v>
      </c>
      <c r="E322" s="4">
        <v>481962.7307</v>
      </c>
      <c r="F322" s="4">
        <v>3376847.4129</v>
      </c>
      <c r="G322" s="2">
        <v>31.9</v>
      </c>
      <c r="H322" s="13" t="s">
        <v>29</v>
      </c>
      <c r="I322" s="13" cm="1">
        <f t="array" ref="I322">各流量段建筑物坡比(B322,D322)</f>
        <v>6000</v>
      </c>
      <c r="J322" s="14">
        <f t="shared" si="4"/>
        <v>0</v>
      </c>
      <c r="K322" s="13">
        <v>6.9</v>
      </c>
    </row>
    <row r="323" spans="1:18">
      <c r="A323" s="12" t="s">
        <v>422</v>
      </c>
      <c r="B323" s="2">
        <v>2</v>
      </c>
      <c r="C323" s="13" t="s">
        <v>27</v>
      </c>
      <c r="D323" s="13" t="s">
        <v>28</v>
      </c>
      <c r="E323" s="4">
        <v>482069.1109</v>
      </c>
      <c r="F323" s="4">
        <v>3376821.4362</v>
      </c>
      <c r="G323" s="2">
        <v>31.9</v>
      </c>
      <c r="H323" s="13" t="s">
        <v>29</v>
      </c>
      <c r="I323" s="13" cm="1">
        <f t="array" ref="I323">各流量段建筑物坡比(B323,D323)</f>
        <v>6000</v>
      </c>
      <c r="J323" s="14">
        <f t="shared" si="4"/>
        <v>0</v>
      </c>
      <c r="K323" s="13">
        <v>6.9</v>
      </c>
    </row>
    <row r="324" spans="1:18">
      <c r="A324" s="15" t="s">
        <v>423</v>
      </c>
      <c r="B324" s="2">
        <v>2</v>
      </c>
      <c r="C324" s="2" t="s">
        <v>424</v>
      </c>
      <c r="D324" s="13" t="s">
        <v>35</v>
      </c>
      <c r="E324" s="4">
        <v>482099.1418</v>
      </c>
      <c r="F324" s="4">
        <v>3376819.7634</v>
      </c>
      <c r="G324" s="2">
        <v>31.9</v>
      </c>
      <c r="H324" s="13" t="s">
        <v>29</v>
      </c>
      <c r="I324" s="13" cm="1">
        <f t="array" ref="I324">各流量段建筑物坡比(B324,D324)</f>
        <v>5500</v>
      </c>
      <c r="J324" s="14" t="str">
        <f t="shared" ref="J324:J387" si="5">IF(C324="-",IF(ISNUMBER(SEARCH("矩形",D324)),0,IF(ISNUMBER(SEARCH("梯形",D324)),1.5,"")),"")</f>
        <v/>
      </c>
      <c r="K324" s="2">
        <v>5.6</v>
      </c>
      <c r="R324" s="2">
        <v>180</v>
      </c>
    </row>
    <row r="325" spans="1:18">
      <c r="A325" s="12" t="s">
        <v>425</v>
      </c>
      <c r="B325" s="2">
        <v>2</v>
      </c>
      <c r="C325" s="2" t="s">
        <v>424</v>
      </c>
      <c r="D325" s="13" t="s">
        <v>35</v>
      </c>
      <c r="E325" s="4">
        <v>482388.917</v>
      </c>
      <c r="F325" s="4">
        <v>3376803.6218</v>
      </c>
      <c r="G325" s="2">
        <v>31.9</v>
      </c>
      <c r="H325" s="13" t="s">
        <v>29</v>
      </c>
      <c r="I325" s="13" cm="1">
        <f t="array" ref="I325">各流量段建筑物坡比(B325,D325)</f>
        <v>5500</v>
      </c>
      <c r="J325" s="14" t="str">
        <f t="shared" si="5"/>
        <v/>
      </c>
      <c r="K325" s="2">
        <v>5.6</v>
      </c>
      <c r="R325" s="2">
        <v>180</v>
      </c>
    </row>
    <row r="326" spans="1:18">
      <c r="A326" s="15" t="s">
        <v>426</v>
      </c>
      <c r="B326" s="2">
        <v>2</v>
      </c>
      <c r="C326" s="13" t="s">
        <v>27</v>
      </c>
      <c r="D326" s="13" t="s">
        <v>28</v>
      </c>
      <c r="E326" s="4">
        <v>482422.6728</v>
      </c>
      <c r="F326" s="4">
        <v>3376801.7415</v>
      </c>
      <c r="G326" s="2">
        <v>31.9</v>
      </c>
      <c r="H326" s="13" t="s">
        <v>29</v>
      </c>
      <c r="I326" s="13" cm="1">
        <f t="array" ref="I326">各流量段建筑物坡比(B326,D326)</f>
        <v>6000</v>
      </c>
      <c r="J326" s="14">
        <f t="shared" si="5"/>
        <v>0</v>
      </c>
      <c r="K326" s="13">
        <v>6.9</v>
      </c>
    </row>
    <row r="327" spans="1:18">
      <c r="A327" s="12" t="s">
        <v>427</v>
      </c>
      <c r="B327" s="2">
        <v>2</v>
      </c>
      <c r="C327" s="13" t="s">
        <v>27</v>
      </c>
      <c r="D327" s="13" t="s">
        <v>28</v>
      </c>
      <c r="E327" s="4">
        <v>482521.4369</v>
      </c>
      <c r="F327" s="4">
        <v>3376832.6163</v>
      </c>
      <c r="G327" s="2">
        <v>31.9</v>
      </c>
      <c r="H327" s="13" t="s">
        <v>29</v>
      </c>
      <c r="I327" s="13" cm="1">
        <f t="array" ref="I327">各流量段建筑物坡比(B327,D327)</f>
        <v>6000</v>
      </c>
      <c r="J327" s="14">
        <f t="shared" si="5"/>
        <v>0</v>
      </c>
      <c r="K327" s="13">
        <v>6.9</v>
      </c>
    </row>
    <row r="328" spans="1:18">
      <c r="A328" s="15" t="s">
        <v>428</v>
      </c>
      <c r="B328" s="2">
        <v>2</v>
      </c>
      <c r="C328" s="13" t="s">
        <v>27</v>
      </c>
      <c r="D328" s="13" t="s">
        <v>28</v>
      </c>
      <c r="E328" s="4">
        <v>482581.8997</v>
      </c>
      <c r="F328" s="4">
        <v>3376828.0058</v>
      </c>
      <c r="G328" s="2">
        <v>31.9</v>
      </c>
      <c r="H328" s="13" t="s">
        <v>29</v>
      </c>
      <c r="I328" s="13" cm="1">
        <f t="array" ref="I328">各流量段建筑物坡比(B328,D328)</f>
        <v>6000</v>
      </c>
      <c r="J328" s="14">
        <f t="shared" si="5"/>
        <v>0</v>
      </c>
      <c r="K328" s="13">
        <v>6.9</v>
      </c>
    </row>
    <row r="329" spans="1:18">
      <c r="A329" s="12" t="s">
        <v>429</v>
      </c>
      <c r="B329" s="2">
        <v>2</v>
      </c>
      <c r="C329" s="13" t="s">
        <v>27</v>
      </c>
      <c r="D329" s="13" t="s">
        <v>28</v>
      </c>
      <c r="E329" s="4">
        <v>482631.1459</v>
      </c>
      <c r="F329" s="4">
        <v>3376847.5283</v>
      </c>
      <c r="G329" s="2">
        <v>31.9</v>
      </c>
      <c r="H329" s="13" t="s">
        <v>29</v>
      </c>
      <c r="I329" s="13" cm="1">
        <f t="array" ref="I329">各流量段建筑物坡比(B329,D329)</f>
        <v>6000</v>
      </c>
      <c r="J329" s="14">
        <f t="shared" si="5"/>
        <v>0</v>
      </c>
      <c r="K329" s="13">
        <v>6.9</v>
      </c>
    </row>
    <row r="330" spans="1:18">
      <c r="A330" s="15" t="s">
        <v>430</v>
      </c>
      <c r="B330" s="2">
        <v>2</v>
      </c>
      <c r="C330" s="2" t="s">
        <v>431</v>
      </c>
      <c r="D330" s="13" t="s">
        <v>35</v>
      </c>
      <c r="E330" s="4">
        <v>482662.459</v>
      </c>
      <c r="F330" s="4">
        <v>3376855.3972</v>
      </c>
      <c r="G330" s="2">
        <v>31.9</v>
      </c>
      <c r="H330" s="13" t="s">
        <v>29</v>
      </c>
      <c r="I330" s="13" cm="1">
        <f t="array" ref="I330">各流量段建筑物坡比(B330,D330)</f>
        <v>5500</v>
      </c>
      <c r="J330" s="14" t="str">
        <f t="shared" si="5"/>
        <v/>
      </c>
      <c r="K330" s="2">
        <v>5.6</v>
      </c>
      <c r="R330" s="2">
        <v>180</v>
      </c>
    </row>
    <row r="331" spans="1:18">
      <c r="A331" s="12" t="s">
        <v>432</v>
      </c>
      <c r="B331" s="2">
        <v>2</v>
      </c>
      <c r="C331" s="2" t="s">
        <v>431</v>
      </c>
      <c r="D331" s="13" t="s">
        <v>35</v>
      </c>
      <c r="E331" s="4">
        <v>482976.6976</v>
      </c>
      <c r="F331" s="4">
        <v>3376934.3644</v>
      </c>
      <c r="G331" s="2">
        <v>31.9</v>
      </c>
      <c r="H331" s="13" t="s">
        <v>29</v>
      </c>
      <c r="I331" s="13" cm="1">
        <f t="array" ref="I331">各流量段建筑物坡比(B331,D331)</f>
        <v>5500</v>
      </c>
      <c r="J331" s="14" t="str">
        <f t="shared" si="5"/>
        <v/>
      </c>
      <c r="K331" s="2">
        <v>5.6</v>
      </c>
      <c r="R331" s="2">
        <v>180</v>
      </c>
    </row>
    <row r="332" spans="1:18">
      <c r="A332" s="15" t="s">
        <v>433</v>
      </c>
      <c r="B332" s="2">
        <v>2</v>
      </c>
      <c r="C332" s="2" t="s">
        <v>431</v>
      </c>
      <c r="D332" s="13" t="s">
        <v>35</v>
      </c>
      <c r="E332" s="4">
        <v>483011.5121</v>
      </c>
      <c r="F332" s="4">
        <v>3376936.7235</v>
      </c>
      <c r="G332" s="2">
        <v>31.9</v>
      </c>
      <c r="H332" s="13" t="s">
        <v>29</v>
      </c>
      <c r="I332" s="13" cm="1">
        <f t="array" ref="I332">各流量段建筑物坡比(B332,D332)</f>
        <v>5500</v>
      </c>
      <c r="J332" s="14" t="str">
        <f t="shared" si="5"/>
        <v/>
      </c>
      <c r="K332" s="2">
        <v>5.6</v>
      </c>
      <c r="R332" s="2">
        <v>180</v>
      </c>
    </row>
    <row r="333" spans="1:18">
      <c r="A333" s="12" t="s">
        <v>434</v>
      </c>
      <c r="B333" s="2">
        <v>2</v>
      </c>
      <c r="C333" s="13" t="s">
        <v>27</v>
      </c>
      <c r="D333" s="13" t="s">
        <v>28</v>
      </c>
      <c r="E333" s="4">
        <v>483119.0614</v>
      </c>
      <c r="F333" s="4">
        <v>3376944.0113</v>
      </c>
      <c r="G333" s="2">
        <v>31.9</v>
      </c>
      <c r="H333" s="13" t="s">
        <v>29</v>
      </c>
      <c r="I333" s="13" cm="1">
        <f t="array" ref="I333">各流量段建筑物坡比(B333,D333)</f>
        <v>6000</v>
      </c>
      <c r="J333" s="14">
        <f t="shared" si="5"/>
        <v>0</v>
      </c>
      <c r="K333" s="13">
        <v>6.9</v>
      </c>
    </row>
    <row r="334" spans="1:18">
      <c r="A334" s="15" t="s">
        <v>435</v>
      </c>
      <c r="B334" s="2">
        <v>2</v>
      </c>
      <c r="C334" s="13" t="s">
        <v>27</v>
      </c>
      <c r="D334" s="13" t="s">
        <v>28</v>
      </c>
      <c r="E334" s="4">
        <v>483185.922</v>
      </c>
      <c r="F334" s="4">
        <v>3376996.4114</v>
      </c>
      <c r="G334" s="2">
        <v>31.9</v>
      </c>
      <c r="H334" s="13" t="s">
        <v>29</v>
      </c>
      <c r="I334" s="13" cm="1">
        <f t="array" ref="I334">各流量段建筑物坡比(B334,D334)</f>
        <v>6000</v>
      </c>
      <c r="J334" s="14">
        <f t="shared" si="5"/>
        <v>0</v>
      </c>
      <c r="K334" s="13">
        <v>6.9</v>
      </c>
    </row>
    <row r="335" spans="1:18">
      <c r="A335" s="12" t="s">
        <v>436</v>
      </c>
      <c r="B335" s="2">
        <v>2</v>
      </c>
      <c r="C335" s="13" t="s">
        <v>27</v>
      </c>
      <c r="D335" s="13" t="s">
        <v>28</v>
      </c>
      <c r="E335" s="4">
        <v>483277.8123</v>
      </c>
      <c r="F335" s="4">
        <v>3376982.4226</v>
      </c>
      <c r="G335" s="2">
        <v>31.9</v>
      </c>
      <c r="H335" s="13" t="s">
        <v>29</v>
      </c>
      <c r="I335" s="13" cm="1">
        <f t="array" ref="I335">各流量段建筑物坡比(B335,D335)</f>
        <v>6000</v>
      </c>
      <c r="J335" s="14">
        <f t="shared" si="5"/>
        <v>0</v>
      </c>
      <c r="K335" s="13">
        <v>6.9</v>
      </c>
    </row>
    <row r="336" spans="1:18">
      <c r="A336" s="15" t="s">
        <v>437</v>
      </c>
      <c r="B336" s="2">
        <v>2</v>
      </c>
      <c r="C336" s="13" t="s">
        <v>27</v>
      </c>
      <c r="D336" s="13" t="s">
        <v>28</v>
      </c>
      <c r="E336" s="4">
        <v>483353.6469</v>
      </c>
      <c r="F336" s="4">
        <v>3376922.1522</v>
      </c>
      <c r="G336" s="2">
        <v>31.9</v>
      </c>
      <c r="H336" s="13" t="s">
        <v>29</v>
      </c>
      <c r="I336" s="13" cm="1">
        <f t="array" ref="I336">各流量段建筑物坡比(B336,D336)</f>
        <v>6000</v>
      </c>
      <c r="J336" s="14">
        <f t="shared" si="5"/>
        <v>0</v>
      </c>
      <c r="K336" s="13">
        <v>6.9</v>
      </c>
    </row>
    <row r="337" spans="1:18">
      <c r="A337" s="12" t="s">
        <v>438</v>
      </c>
      <c r="B337" s="2">
        <v>2</v>
      </c>
      <c r="C337" s="2" t="s">
        <v>439</v>
      </c>
      <c r="D337" s="13" t="s">
        <v>35</v>
      </c>
      <c r="E337" s="4">
        <v>483386.9674</v>
      </c>
      <c r="F337" s="4">
        <v>3376905.8088</v>
      </c>
      <c r="G337" s="2">
        <v>31.9</v>
      </c>
      <c r="H337" s="13" t="s">
        <v>29</v>
      </c>
      <c r="I337" s="13" cm="1">
        <f t="array" ref="I337">各流量段建筑物坡比(B337,D337)</f>
        <v>5500</v>
      </c>
      <c r="J337" s="14" t="str">
        <f t="shared" si="5"/>
        <v/>
      </c>
      <c r="K337" s="2">
        <v>5.6</v>
      </c>
      <c r="R337" s="2">
        <v>180</v>
      </c>
    </row>
    <row r="338" spans="1:18">
      <c r="A338" s="15" t="s">
        <v>440</v>
      </c>
      <c r="B338" s="2">
        <v>2</v>
      </c>
      <c r="C338" s="2" t="s">
        <v>439</v>
      </c>
      <c r="D338" s="13" t="s">
        <v>35</v>
      </c>
      <c r="E338" s="4">
        <v>483753.2576</v>
      </c>
      <c r="F338" s="4">
        <v>3376726.1468</v>
      </c>
      <c r="G338" s="2">
        <v>31.9</v>
      </c>
      <c r="H338" s="13" t="s">
        <v>29</v>
      </c>
      <c r="I338" s="13" cm="1">
        <f t="array" ref="I338">各流量段建筑物坡比(B338,D338)</f>
        <v>5500</v>
      </c>
      <c r="J338" s="14" t="str">
        <f t="shared" si="5"/>
        <v/>
      </c>
      <c r="K338" s="2">
        <v>5.6</v>
      </c>
      <c r="R338" s="2">
        <v>180</v>
      </c>
    </row>
    <row r="339" spans="1:18">
      <c r="A339" s="12" t="s">
        <v>441</v>
      </c>
      <c r="B339" s="2">
        <v>2</v>
      </c>
      <c r="C339" s="13" t="s">
        <v>27</v>
      </c>
      <c r="D339" s="13" t="s">
        <v>28</v>
      </c>
      <c r="E339" s="4">
        <v>483836.3078</v>
      </c>
      <c r="F339" s="4">
        <v>3376685.4114</v>
      </c>
      <c r="G339" s="2">
        <v>31.9</v>
      </c>
      <c r="H339" s="13" t="s">
        <v>29</v>
      </c>
      <c r="I339" s="13" cm="1">
        <f t="array" ref="I339">各流量段建筑物坡比(B339,D339)</f>
        <v>6000</v>
      </c>
      <c r="J339" s="14">
        <f t="shared" si="5"/>
        <v>0</v>
      </c>
      <c r="K339" s="13">
        <v>6.9</v>
      </c>
    </row>
    <row r="340" spans="1:18">
      <c r="A340" s="15" t="s">
        <v>442</v>
      </c>
      <c r="B340" s="2">
        <v>2</v>
      </c>
      <c r="C340" s="13" t="s">
        <v>27</v>
      </c>
      <c r="D340" s="13" t="s">
        <v>28</v>
      </c>
      <c r="E340" s="4">
        <v>483975.179</v>
      </c>
      <c r="F340" s="4">
        <v>3376580.3886</v>
      </c>
      <c r="G340" s="2">
        <v>31.9</v>
      </c>
      <c r="H340" s="13" t="s">
        <v>29</v>
      </c>
      <c r="I340" s="13" cm="1">
        <f t="array" ref="I340">各流量段建筑物坡比(B340,D340)</f>
        <v>6000</v>
      </c>
      <c r="J340" s="14">
        <f t="shared" si="5"/>
        <v>0</v>
      </c>
      <c r="K340" s="13">
        <v>6.9</v>
      </c>
    </row>
    <row r="341" spans="1:18">
      <c r="A341" s="12" t="s">
        <v>443</v>
      </c>
      <c r="B341" s="2">
        <v>2</v>
      </c>
      <c r="C341" s="2" t="s">
        <v>444</v>
      </c>
      <c r="D341" s="16" t="s">
        <v>47</v>
      </c>
      <c r="E341" s="4">
        <v>484045.5253</v>
      </c>
      <c r="F341" s="4">
        <v>3376485.3638</v>
      </c>
      <c r="G341" s="2">
        <v>31.9</v>
      </c>
      <c r="H341" s="13" t="s">
        <v>29</v>
      </c>
      <c r="I341" s="13" cm="1">
        <f t="array" ref="I341">各流量段建筑物坡比(B341,D341)</f>
        <v>3000</v>
      </c>
      <c r="J341" s="14" t="str">
        <f t="shared" si="5"/>
        <v/>
      </c>
      <c r="K341" s="2">
        <v>5.1</v>
      </c>
      <c r="O341" s="2">
        <v>0.79</v>
      </c>
    </row>
    <row r="342" spans="1:18">
      <c r="A342" s="15" t="s">
        <v>445</v>
      </c>
      <c r="B342" s="2">
        <v>2</v>
      </c>
      <c r="C342" s="2" t="s">
        <v>444</v>
      </c>
      <c r="D342" s="16" t="s">
        <v>47</v>
      </c>
      <c r="E342" s="4">
        <v>484201.3867</v>
      </c>
      <c r="F342" s="4">
        <v>3376274.8242</v>
      </c>
      <c r="G342" s="2">
        <v>31.9</v>
      </c>
      <c r="H342" s="13" t="s">
        <v>29</v>
      </c>
      <c r="I342" s="13" cm="1">
        <f t="array" ref="I342">各流量段建筑物坡比(B342,D342)</f>
        <v>3000</v>
      </c>
      <c r="J342" s="14" t="str">
        <f t="shared" si="5"/>
        <v/>
      </c>
      <c r="K342" s="2">
        <v>5.1</v>
      </c>
      <c r="O342" s="2">
        <v>0.79</v>
      </c>
    </row>
    <row r="343" spans="1:18">
      <c r="A343" s="12" t="s">
        <v>446</v>
      </c>
      <c r="B343" s="2">
        <v>2</v>
      </c>
      <c r="C343" s="13" t="s">
        <v>27</v>
      </c>
      <c r="D343" s="13" t="s">
        <v>28</v>
      </c>
      <c r="E343" s="4">
        <v>484221.3032</v>
      </c>
      <c r="F343" s="4">
        <v>3376247.9207</v>
      </c>
      <c r="G343" s="2">
        <v>31.9</v>
      </c>
      <c r="H343" s="13" t="s">
        <v>29</v>
      </c>
      <c r="I343" s="13" cm="1">
        <f t="array" ref="I343">各流量段建筑物坡比(B343,D343)</f>
        <v>6000</v>
      </c>
      <c r="J343" s="14">
        <f t="shared" si="5"/>
        <v>0</v>
      </c>
      <c r="K343" s="13">
        <v>6.9</v>
      </c>
    </row>
    <row r="344" spans="1:18">
      <c r="A344" s="15" t="s">
        <v>447</v>
      </c>
      <c r="B344" s="2">
        <v>2</v>
      </c>
      <c r="C344" s="13" t="s">
        <v>27</v>
      </c>
      <c r="D344" s="13" t="s">
        <v>28</v>
      </c>
      <c r="E344" s="4">
        <v>484292.5703</v>
      </c>
      <c r="F344" s="4">
        <v>3376198.111</v>
      </c>
      <c r="G344" s="2">
        <v>31.9</v>
      </c>
      <c r="H344" s="13" t="s">
        <v>29</v>
      </c>
      <c r="I344" s="13" cm="1">
        <f t="array" ref="I344">各流量段建筑物坡比(B344,D344)</f>
        <v>6000</v>
      </c>
      <c r="J344" s="14">
        <f t="shared" si="5"/>
        <v>0</v>
      </c>
      <c r="K344" s="13">
        <v>6.9</v>
      </c>
    </row>
    <row r="345" spans="1:18">
      <c r="A345" s="12" t="s">
        <v>448</v>
      </c>
      <c r="B345" s="2">
        <v>2</v>
      </c>
      <c r="C345" s="2" t="s">
        <v>449</v>
      </c>
      <c r="D345" s="13" t="s">
        <v>35</v>
      </c>
      <c r="E345" s="4">
        <v>484413.323</v>
      </c>
      <c r="F345" s="4">
        <v>3376165.5182</v>
      </c>
      <c r="G345" s="2">
        <v>31.9</v>
      </c>
      <c r="H345" s="13" t="s">
        <v>29</v>
      </c>
      <c r="I345" s="13" cm="1">
        <f t="array" ref="I345">各流量段建筑物坡比(B345,D345)</f>
        <v>5500</v>
      </c>
      <c r="J345" s="14" t="str">
        <f t="shared" si="5"/>
        <v/>
      </c>
      <c r="K345" s="2">
        <v>5.6</v>
      </c>
      <c r="R345" s="2">
        <v>180</v>
      </c>
    </row>
    <row r="346" spans="1:18">
      <c r="A346" s="15" t="s">
        <v>450</v>
      </c>
      <c r="B346" s="2">
        <v>2</v>
      </c>
      <c r="C346" s="2" t="s">
        <v>449</v>
      </c>
      <c r="D346" s="13" t="s">
        <v>35</v>
      </c>
      <c r="E346" s="4">
        <v>484826.9602</v>
      </c>
      <c r="F346" s="4">
        <v>3376053.872</v>
      </c>
      <c r="G346" s="2">
        <v>31.9</v>
      </c>
      <c r="H346" s="13" t="s">
        <v>29</v>
      </c>
      <c r="I346" s="13" cm="1">
        <f t="array" ref="I346">各流量段建筑物坡比(B346,D346)</f>
        <v>5500</v>
      </c>
      <c r="J346" s="14" t="str">
        <f t="shared" si="5"/>
        <v/>
      </c>
      <c r="K346" s="2">
        <v>5.6</v>
      </c>
      <c r="R346" s="2">
        <v>180</v>
      </c>
    </row>
    <row r="347" spans="1:18">
      <c r="A347" s="12" t="s">
        <v>451</v>
      </c>
      <c r="B347" s="2">
        <v>2</v>
      </c>
      <c r="C347" s="2" t="s">
        <v>452</v>
      </c>
      <c r="D347" s="16" t="s">
        <v>47</v>
      </c>
      <c r="E347" s="4">
        <v>484858.2439</v>
      </c>
      <c r="F347" s="4">
        <v>3376045.428</v>
      </c>
      <c r="G347" s="2">
        <v>31.9</v>
      </c>
      <c r="H347" s="13" t="s">
        <v>29</v>
      </c>
      <c r="I347" s="13" cm="1">
        <f t="array" ref="I347">各流量段建筑物坡比(B347,D347)</f>
        <v>3000</v>
      </c>
      <c r="J347" s="14" t="str">
        <f t="shared" si="5"/>
        <v/>
      </c>
      <c r="K347" s="2">
        <v>5.1</v>
      </c>
      <c r="O347" s="2">
        <v>0.79</v>
      </c>
    </row>
    <row r="348" spans="1:18">
      <c r="A348" s="15" t="s">
        <v>453</v>
      </c>
      <c r="B348" s="2">
        <v>2</v>
      </c>
      <c r="C348" s="2" t="s">
        <v>452</v>
      </c>
      <c r="D348" s="16" t="s">
        <v>47</v>
      </c>
      <c r="E348" s="4">
        <v>485044.0958</v>
      </c>
      <c r="F348" s="4">
        <v>3375995.2641</v>
      </c>
      <c r="G348" s="2">
        <v>31.9</v>
      </c>
      <c r="H348" s="13" t="s">
        <v>29</v>
      </c>
      <c r="I348" s="13" cm="1">
        <f t="array" ref="I348">各流量段建筑物坡比(B348,D348)</f>
        <v>3000</v>
      </c>
      <c r="J348" s="14" t="str">
        <f t="shared" si="5"/>
        <v/>
      </c>
      <c r="K348" s="2">
        <v>5.1</v>
      </c>
      <c r="O348" s="2">
        <v>0.79</v>
      </c>
    </row>
    <row r="349" spans="1:18">
      <c r="A349" s="12" t="s">
        <v>454</v>
      </c>
      <c r="B349" s="2">
        <v>2</v>
      </c>
      <c r="C349" s="2" t="s">
        <v>455</v>
      </c>
      <c r="D349" s="13" t="s">
        <v>35</v>
      </c>
      <c r="E349" s="4">
        <v>485084.5267</v>
      </c>
      <c r="F349" s="4">
        <v>3375984.3513</v>
      </c>
      <c r="G349" s="2">
        <v>31.9</v>
      </c>
      <c r="H349" s="13" t="s">
        <v>29</v>
      </c>
      <c r="I349" s="13" cm="1">
        <f t="array" ref="I349">各流量段建筑物坡比(B349,D349)</f>
        <v>5500</v>
      </c>
      <c r="J349" s="14" t="str">
        <f t="shared" si="5"/>
        <v/>
      </c>
      <c r="K349" s="2">
        <v>5.6</v>
      </c>
      <c r="R349" s="2">
        <v>180</v>
      </c>
    </row>
    <row r="350" spans="1:18">
      <c r="A350" s="15" t="s">
        <v>456</v>
      </c>
      <c r="B350" s="2">
        <v>2</v>
      </c>
      <c r="C350" s="2" t="s">
        <v>455</v>
      </c>
      <c r="D350" s="13" t="s">
        <v>35</v>
      </c>
      <c r="E350" s="4">
        <v>485175.4918</v>
      </c>
      <c r="F350" s="4">
        <v>3375959.7985</v>
      </c>
      <c r="G350" s="2">
        <v>31.9</v>
      </c>
      <c r="H350" s="13" t="s">
        <v>29</v>
      </c>
      <c r="I350" s="13" cm="1">
        <f t="array" ref="I350">各流量段建筑物坡比(B350,D350)</f>
        <v>5500</v>
      </c>
      <c r="J350" s="14" t="str">
        <f t="shared" si="5"/>
        <v/>
      </c>
      <c r="K350" s="2">
        <v>5.6</v>
      </c>
      <c r="R350" s="2">
        <v>180</v>
      </c>
    </row>
    <row r="351" spans="1:18">
      <c r="A351" s="12" t="s">
        <v>457</v>
      </c>
      <c r="B351" s="2">
        <v>2</v>
      </c>
      <c r="C351" s="2" t="s">
        <v>455</v>
      </c>
      <c r="D351" s="13" t="s">
        <v>35</v>
      </c>
      <c r="E351" s="4">
        <v>485597.1978</v>
      </c>
      <c r="F351" s="4">
        <v>3375668.175</v>
      </c>
      <c r="G351" s="2">
        <v>31.9</v>
      </c>
      <c r="H351" s="13" t="s">
        <v>29</v>
      </c>
      <c r="I351" s="13" cm="1">
        <f t="array" ref="I351">各流量段建筑物坡比(B351,D351)</f>
        <v>5500</v>
      </c>
      <c r="J351" s="14" t="str">
        <f t="shared" si="5"/>
        <v/>
      </c>
      <c r="K351" s="2">
        <v>5.6</v>
      </c>
      <c r="R351" s="2">
        <v>180</v>
      </c>
    </row>
    <row r="352" spans="1:18">
      <c r="A352" s="15" t="s">
        <v>458</v>
      </c>
      <c r="B352" s="2">
        <v>2</v>
      </c>
      <c r="C352" s="2" t="s">
        <v>459</v>
      </c>
      <c r="D352" s="16" t="s">
        <v>47</v>
      </c>
      <c r="E352" s="4">
        <v>485609.0388</v>
      </c>
      <c r="F352" s="4">
        <v>3375659.9866</v>
      </c>
      <c r="G352" s="2">
        <v>31.9</v>
      </c>
      <c r="H352" s="13" t="s">
        <v>29</v>
      </c>
      <c r="I352" s="13" cm="1">
        <f t="array" ref="I352">各流量段建筑物坡比(B352,D352)</f>
        <v>3000</v>
      </c>
      <c r="J352" s="14" t="str">
        <f t="shared" si="5"/>
        <v/>
      </c>
      <c r="K352" s="2">
        <v>5.1</v>
      </c>
      <c r="O352" s="2">
        <v>0.79</v>
      </c>
    </row>
    <row r="353" spans="1:18">
      <c r="A353" s="12" t="s">
        <v>460</v>
      </c>
      <c r="B353" s="2">
        <v>2</v>
      </c>
      <c r="C353" s="2" t="s">
        <v>459</v>
      </c>
      <c r="D353" s="16" t="s">
        <v>47</v>
      </c>
      <c r="E353" s="4">
        <v>485831.463</v>
      </c>
      <c r="F353" s="4">
        <v>3375506.1729</v>
      </c>
      <c r="G353" s="2">
        <v>31.9</v>
      </c>
      <c r="H353" s="13" t="s">
        <v>29</v>
      </c>
      <c r="I353" s="13" cm="1">
        <f t="array" ref="I353">各流量段建筑物坡比(B353,D353)</f>
        <v>3000</v>
      </c>
      <c r="J353" s="14" t="str">
        <f t="shared" si="5"/>
        <v/>
      </c>
      <c r="K353" s="2">
        <v>5.1</v>
      </c>
      <c r="O353" s="2">
        <v>0.79</v>
      </c>
    </row>
    <row r="354" spans="1:18">
      <c r="A354" s="15" t="s">
        <v>461</v>
      </c>
      <c r="B354" s="2">
        <v>2</v>
      </c>
      <c r="C354" s="2" t="s">
        <v>462</v>
      </c>
      <c r="D354" s="13" t="s">
        <v>35</v>
      </c>
      <c r="E354" s="4">
        <v>485851.7555</v>
      </c>
      <c r="F354" s="4">
        <v>3375492.1399</v>
      </c>
      <c r="G354" s="2">
        <v>31.9</v>
      </c>
      <c r="H354" s="13" t="s">
        <v>29</v>
      </c>
      <c r="I354" s="13" cm="1">
        <f t="array" ref="I354">各流量段建筑物坡比(B354,D354)</f>
        <v>5500</v>
      </c>
      <c r="J354" s="14" t="str">
        <f t="shared" si="5"/>
        <v/>
      </c>
      <c r="K354" s="2">
        <v>5.6</v>
      </c>
      <c r="R354" s="2">
        <v>180</v>
      </c>
    </row>
    <row r="355" spans="1:18">
      <c r="A355" s="12" t="s">
        <v>463</v>
      </c>
      <c r="B355" s="2">
        <v>2</v>
      </c>
      <c r="C355" s="2" t="s">
        <v>462</v>
      </c>
      <c r="D355" s="13" t="s">
        <v>35</v>
      </c>
      <c r="E355" s="4">
        <v>486294.2462</v>
      </c>
      <c r="F355" s="4">
        <v>3375186.1431</v>
      </c>
      <c r="G355" s="2">
        <v>31.9</v>
      </c>
      <c r="H355" s="13" t="s">
        <v>29</v>
      </c>
      <c r="I355" s="13" cm="1">
        <f t="array" ref="I355">各流量段建筑物坡比(B355,D355)</f>
        <v>5500</v>
      </c>
      <c r="J355" s="14" t="str">
        <f t="shared" si="5"/>
        <v/>
      </c>
      <c r="K355" s="2">
        <v>5.6</v>
      </c>
      <c r="R355" s="2">
        <v>180</v>
      </c>
    </row>
    <row r="356" spans="1:18">
      <c r="A356" s="15" t="s">
        <v>464</v>
      </c>
      <c r="B356" s="2">
        <v>2</v>
      </c>
      <c r="C356" s="13" t="s">
        <v>27</v>
      </c>
      <c r="D356" s="13" t="s">
        <v>28</v>
      </c>
      <c r="E356" s="4">
        <v>486370.1106</v>
      </c>
      <c r="F356" s="4">
        <v>3375133.6804</v>
      </c>
      <c r="G356" s="2">
        <v>31.9</v>
      </c>
      <c r="H356" s="13" t="s">
        <v>29</v>
      </c>
      <c r="I356" s="13" cm="1">
        <f t="array" ref="I356">各流量段建筑物坡比(B356,D356)</f>
        <v>6000</v>
      </c>
      <c r="J356" s="14">
        <f t="shared" si="5"/>
        <v>0</v>
      </c>
      <c r="K356" s="13">
        <v>6.9</v>
      </c>
    </row>
    <row r="357" spans="1:18">
      <c r="A357" s="12" t="s">
        <v>465</v>
      </c>
      <c r="B357" s="2">
        <v>2</v>
      </c>
      <c r="C357" s="2" t="s">
        <v>466</v>
      </c>
      <c r="D357" s="16" t="s">
        <v>47</v>
      </c>
      <c r="E357" s="4">
        <v>486379.5286</v>
      </c>
      <c r="F357" s="4">
        <v>3375120.6754</v>
      </c>
      <c r="G357" s="2">
        <v>31.9</v>
      </c>
      <c r="H357" s="13" t="s">
        <v>29</v>
      </c>
      <c r="I357" s="13" cm="1">
        <f t="array" ref="I357">各流量段建筑物坡比(B357,D357)</f>
        <v>3000</v>
      </c>
      <c r="J357" s="14" t="str">
        <f t="shared" si="5"/>
        <v/>
      </c>
      <c r="K357" s="2">
        <v>5.1</v>
      </c>
      <c r="O357" s="2">
        <v>0.79</v>
      </c>
    </row>
    <row r="358" spans="1:18">
      <c r="A358" s="15" t="s">
        <v>467</v>
      </c>
      <c r="B358" s="2">
        <v>2</v>
      </c>
      <c r="C358" s="2" t="s">
        <v>466</v>
      </c>
      <c r="D358" s="16" t="s">
        <v>47</v>
      </c>
      <c r="E358" s="4">
        <v>486518.6895</v>
      </c>
      <c r="F358" s="4">
        <v>3374928.5143</v>
      </c>
      <c r="G358" s="2">
        <v>31.9</v>
      </c>
      <c r="H358" s="13" t="s">
        <v>29</v>
      </c>
      <c r="I358" s="13" cm="1">
        <f t="array" ref="I358">各流量段建筑物坡比(B358,D358)</f>
        <v>3000</v>
      </c>
      <c r="J358" s="14" t="str">
        <f t="shared" si="5"/>
        <v/>
      </c>
      <c r="K358" s="2">
        <v>5.1</v>
      </c>
      <c r="O358" s="2">
        <v>0.79</v>
      </c>
    </row>
    <row r="359" spans="1:18">
      <c r="A359" s="12" t="s">
        <v>468</v>
      </c>
      <c r="B359" s="2">
        <v>2</v>
      </c>
      <c r="C359" s="2" t="s">
        <v>469</v>
      </c>
      <c r="D359" s="13" t="s">
        <v>35</v>
      </c>
      <c r="E359" s="4">
        <v>486546.5268</v>
      </c>
      <c r="F359" s="4">
        <v>3374890.075</v>
      </c>
      <c r="G359" s="2">
        <v>31.9</v>
      </c>
      <c r="H359" s="13" t="s">
        <v>29</v>
      </c>
      <c r="I359" s="13" cm="1">
        <f t="array" ref="I359">各流量段建筑物坡比(B359,D359)</f>
        <v>5500</v>
      </c>
      <c r="J359" s="14" t="str">
        <f t="shared" si="5"/>
        <v/>
      </c>
      <c r="K359" s="2">
        <v>5.6</v>
      </c>
      <c r="R359" s="2">
        <v>180</v>
      </c>
    </row>
    <row r="360" spans="1:18">
      <c r="A360" s="15" t="s">
        <v>470</v>
      </c>
      <c r="B360" s="2">
        <v>2</v>
      </c>
      <c r="C360" s="2" t="s">
        <v>469</v>
      </c>
      <c r="D360" s="13" t="s">
        <v>35</v>
      </c>
      <c r="E360" s="4">
        <v>486798.5133</v>
      </c>
      <c r="F360" s="4">
        <v>3374542.1181</v>
      </c>
      <c r="G360" s="2">
        <v>31.9</v>
      </c>
      <c r="H360" s="13" t="s">
        <v>29</v>
      </c>
      <c r="I360" s="13" cm="1">
        <f t="array" ref="I360">各流量段建筑物坡比(B360,D360)</f>
        <v>5500</v>
      </c>
      <c r="J360" s="14" t="str">
        <f t="shared" si="5"/>
        <v/>
      </c>
      <c r="K360" s="2">
        <v>5.6</v>
      </c>
      <c r="R360" s="2">
        <v>180</v>
      </c>
    </row>
    <row r="361" spans="1:18">
      <c r="A361" s="12" t="s">
        <v>471</v>
      </c>
      <c r="B361" s="2">
        <v>2</v>
      </c>
      <c r="C361" s="2" t="s">
        <v>472</v>
      </c>
      <c r="D361" s="16" t="s">
        <v>47</v>
      </c>
      <c r="E361" s="4">
        <v>486817.3678</v>
      </c>
      <c r="F361" s="4">
        <v>3374516.0826</v>
      </c>
      <c r="G361" s="2">
        <v>31.9</v>
      </c>
      <c r="H361" s="13" t="s">
        <v>29</v>
      </c>
      <c r="I361" s="13" cm="1">
        <f t="array" ref="I361">各流量段建筑物坡比(B361,D361)</f>
        <v>3000</v>
      </c>
      <c r="J361" s="14" t="str">
        <f t="shared" si="5"/>
        <v/>
      </c>
      <c r="K361" s="2">
        <v>5.1</v>
      </c>
      <c r="O361" s="2">
        <v>0.79</v>
      </c>
    </row>
    <row r="362" spans="1:18">
      <c r="A362" s="15" t="s">
        <v>473</v>
      </c>
      <c r="B362" s="2">
        <v>2</v>
      </c>
      <c r="C362" s="2" t="s">
        <v>472</v>
      </c>
      <c r="D362" s="16" t="s">
        <v>47</v>
      </c>
      <c r="E362" s="4">
        <v>486894.194</v>
      </c>
      <c r="F362" s="4">
        <v>3374409.9967</v>
      </c>
      <c r="G362" s="2">
        <v>31.9</v>
      </c>
      <c r="H362" s="13" t="s">
        <v>29</v>
      </c>
      <c r="I362" s="13" cm="1">
        <f t="array" ref="I362">各流量段建筑物坡比(B362,D362)</f>
        <v>3000</v>
      </c>
      <c r="J362" s="14" t="str">
        <f t="shared" si="5"/>
        <v/>
      </c>
      <c r="K362" s="2">
        <v>5.1</v>
      </c>
      <c r="O362" s="2">
        <v>0.79</v>
      </c>
    </row>
    <row r="363" spans="1:18">
      <c r="A363" s="12" t="s">
        <v>474</v>
      </c>
      <c r="B363" s="2">
        <v>2</v>
      </c>
      <c r="C363" s="2" t="s">
        <v>475</v>
      </c>
      <c r="D363" s="13" t="s">
        <v>35</v>
      </c>
      <c r="E363" s="4">
        <v>486899.633</v>
      </c>
      <c r="F363" s="4">
        <v>3374402.4863</v>
      </c>
      <c r="G363" s="2">
        <v>31.9</v>
      </c>
      <c r="H363" s="13" t="s">
        <v>29</v>
      </c>
      <c r="I363" s="13" cm="1">
        <f t="array" ref="I363">各流量段建筑物坡比(B363,D363)</f>
        <v>5500</v>
      </c>
      <c r="J363" s="14" t="str">
        <f t="shared" si="5"/>
        <v/>
      </c>
      <c r="K363" s="2">
        <v>5.6</v>
      </c>
      <c r="R363" s="2">
        <v>180</v>
      </c>
    </row>
    <row r="364" spans="1:18">
      <c r="A364" s="15" t="s">
        <v>476</v>
      </c>
      <c r="B364" s="2">
        <v>2</v>
      </c>
      <c r="C364" s="2" t="s">
        <v>475</v>
      </c>
      <c r="D364" s="13" t="s">
        <v>35</v>
      </c>
      <c r="E364" s="4">
        <v>486954.1913</v>
      </c>
      <c r="F364" s="4">
        <v>3374327.1492</v>
      </c>
      <c r="G364" s="2">
        <v>31.9</v>
      </c>
      <c r="H364" s="13" t="s">
        <v>29</v>
      </c>
      <c r="I364" s="13" cm="1">
        <f t="array" ref="I364">各流量段建筑物坡比(B364,D364)</f>
        <v>5500</v>
      </c>
      <c r="J364" s="14" t="str">
        <f t="shared" si="5"/>
        <v/>
      </c>
      <c r="K364" s="2">
        <v>5.6</v>
      </c>
      <c r="R364" s="2">
        <v>180</v>
      </c>
    </row>
    <row r="365" spans="1:18">
      <c r="A365" s="12" t="s">
        <v>477</v>
      </c>
      <c r="B365" s="2">
        <v>2</v>
      </c>
      <c r="C365" s="2" t="s">
        <v>475</v>
      </c>
      <c r="D365" s="13" t="s">
        <v>35</v>
      </c>
      <c r="E365" s="4">
        <v>487249.563</v>
      </c>
      <c r="F365" s="4">
        <v>3374127.1353</v>
      </c>
      <c r="G365" s="2">
        <v>31.9</v>
      </c>
      <c r="H365" s="13" t="s">
        <v>29</v>
      </c>
      <c r="I365" s="13" cm="1">
        <f t="array" ref="I365">各流量段建筑物坡比(B365,D365)</f>
        <v>5500</v>
      </c>
      <c r="J365" s="14" t="str">
        <f t="shared" si="5"/>
        <v/>
      </c>
      <c r="K365" s="2">
        <v>5.6</v>
      </c>
      <c r="R365" s="2">
        <v>180</v>
      </c>
    </row>
    <row r="366" spans="1:18">
      <c r="A366" s="15" t="s">
        <v>478</v>
      </c>
      <c r="B366" s="2">
        <v>2</v>
      </c>
      <c r="C366" s="2" t="s">
        <v>479</v>
      </c>
      <c r="D366" s="13" t="s">
        <v>35</v>
      </c>
      <c r="E366" s="4">
        <v>487385.0811</v>
      </c>
      <c r="F366" s="4">
        <v>3374035.3684</v>
      </c>
      <c r="G366" s="2">
        <v>31.9</v>
      </c>
      <c r="H366" s="13" t="s">
        <v>29</v>
      </c>
      <c r="I366" s="13" cm="1">
        <f t="array" ref="I366">各流量段建筑物坡比(B366,D366)</f>
        <v>5500</v>
      </c>
      <c r="J366" s="14" t="str">
        <f t="shared" si="5"/>
        <v/>
      </c>
      <c r="K366" s="2">
        <v>5.6</v>
      </c>
      <c r="R366" s="2">
        <v>180</v>
      </c>
    </row>
    <row r="367" spans="1:18">
      <c r="A367" s="12" t="s">
        <v>480</v>
      </c>
      <c r="B367" s="2">
        <v>2</v>
      </c>
      <c r="C367" s="2" t="s">
        <v>479</v>
      </c>
      <c r="D367" s="13" t="s">
        <v>35</v>
      </c>
      <c r="E367" s="4">
        <v>487456.146</v>
      </c>
      <c r="F367" s="4">
        <v>3373987.2464</v>
      </c>
      <c r="G367" s="2">
        <v>31.9</v>
      </c>
      <c r="H367" s="13" t="s">
        <v>29</v>
      </c>
      <c r="I367" s="13" cm="1">
        <f t="array" ref="I367">各流量段建筑物坡比(B367,D367)</f>
        <v>5500</v>
      </c>
      <c r="J367" s="14" t="str">
        <f t="shared" si="5"/>
        <v/>
      </c>
      <c r="K367" s="2">
        <v>5.6</v>
      </c>
      <c r="R367" s="2">
        <v>180</v>
      </c>
    </row>
    <row r="368" spans="1:18">
      <c r="A368" s="15" t="s">
        <v>481</v>
      </c>
      <c r="B368" s="2">
        <v>2</v>
      </c>
      <c r="C368" s="2" t="s">
        <v>479</v>
      </c>
      <c r="D368" s="13" t="s">
        <v>35</v>
      </c>
      <c r="E368" s="4">
        <v>487507.2179</v>
      </c>
      <c r="F368" s="4">
        <v>3372163.87</v>
      </c>
      <c r="G368" s="2">
        <v>31.9</v>
      </c>
      <c r="H368" s="13" t="s">
        <v>29</v>
      </c>
      <c r="I368" s="13" cm="1">
        <f t="array" ref="I368">各流量段建筑物坡比(B368,D368)</f>
        <v>5500</v>
      </c>
      <c r="J368" s="14" t="str">
        <f t="shared" si="5"/>
        <v/>
      </c>
      <c r="K368" s="2">
        <v>5.6</v>
      </c>
      <c r="R368" s="2">
        <v>180</v>
      </c>
    </row>
    <row r="369" spans="1:18">
      <c r="A369" s="12" t="s">
        <v>482</v>
      </c>
      <c r="B369" s="2">
        <v>2</v>
      </c>
      <c r="C369" s="13" t="s">
        <v>27</v>
      </c>
      <c r="D369" s="13" t="s">
        <v>28</v>
      </c>
      <c r="E369" s="4">
        <v>487507.673</v>
      </c>
      <c r="F369" s="4">
        <v>3372147.6244</v>
      </c>
      <c r="G369" s="2">
        <v>31.9</v>
      </c>
      <c r="H369" s="13" t="s">
        <v>29</v>
      </c>
      <c r="I369" s="13" cm="1">
        <f t="array" ref="I369">各流量段建筑物坡比(B369,D369)</f>
        <v>6000</v>
      </c>
      <c r="J369" s="14">
        <f t="shared" si="5"/>
        <v>0</v>
      </c>
      <c r="K369" s="13">
        <v>6.9</v>
      </c>
    </row>
    <row r="370" s="1" customFormat="1" spans="1:18">
      <c r="A370" s="15" t="s">
        <v>483</v>
      </c>
      <c r="B370" s="2">
        <v>2</v>
      </c>
      <c r="C370" s="1" t="s">
        <v>484</v>
      </c>
      <c r="D370" s="1" t="s">
        <v>271</v>
      </c>
      <c r="E370" s="18">
        <v>487531.7772</v>
      </c>
      <c r="F370" s="18">
        <v>3372025.2203</v>
      </c>
      <c r="G370" s="2">
        <v>31.9</v>
      </c>
      <c r="H370" s="19" t="s">
        <v>29</v>
      </c>
      <c r="I370" s="13" t="str" cm="1">
        <f t="array" ref="I370">各流量段建筑物坡比(B370,D370)</f>
        <v/>
      </c>
      <c r="J370" s="14" t="str">
        <f t="shared" si="5"/>
        <v/>
      </c>
    </row>
    <row r="371" s="1" customFormat="1" spans="1:18">
      <c r="A371" s="12" t="s">
        <v>485</v>
      </c>
      <c r="B371" s="2">
        <v>2</v>
      </c>
      <c r="C371" s="1" t="s">
        <v>484</v>
      </c>
      <c r="D371" s="1" t="s">
        <v>271</v>
      </c>
      <c r="E371" s="18">
        <v>487531.7772</v>
      </c>
      <c r="F371" s="18">
        <v>3372025.2203</v>
      </c>
      <c r="G371" s="2">
        <v>31.9</v>
      </c>
      <c r="H371" s="19" t="s">
        <v>29</v>
      </c>
      <c r="I371" s="13" t="str" cm="1">
        <f t="array" ref="I371">各流量段建筑物坡比(B371,D371)</f>
        <v/>
      </c>
      <c r="J371" s="14" t="str">
        <f t="shared" si="5"/>
        <v/>
      </c>
    </row>
    <row r="372" spans="1:18">
      <c r="A372" s="15" t="s">
        <v>486</v>
      </c>
      <c r="B372" s="2">
        <v>3</v>
      </c>
      <c r="C372" s="2" t="s">
        <v>487</v>
      </c>
      <c r="D372" s="13" t="s">
        <v>35</v>
      </c>
      <c r="E372" s="4">
        <v>487542.7985</v>
      </c>
      <c r="F372" s="4">
        <v>3371969.2531</v>
      </c>
      <c r="G372" s="2">
        <v>27.6</v>
      </c>
      <c r="H372" s="13" t="s">
        <v>29</v>
      </c>
      <c r="I372" s="13" cm="1">
        <f t="array" ref="I372">各流量段建筑物坡比(B372,D372)</f>
        <v>5500</v>
      </c>
      <c r="J372" s="14" t="str">
        <f t="shared" si="5"/>
        <v/>
      </c>
      <c r="K372" s="2">
        <v>5.3</v>
      </c>
      <c r="R372" s="2">
        <v>180</v>
      </c>
    </row>
    <row r="373" spans="1:18">
      <c r="A373" s="12" t="s">
        <v>488</v>
      </c>
      <c r="B373" s="2">
        <v>3</v>
      </c>
      <c r="C373" s="2" t="s">
        <v>487</v>
      </c>
      <c r="D373" s="13" t="s">
        <v>35</v>
      </c>
      <c r="E373" s="4">
        <v>487577.3944</v>
      </c>
      <c r="F373" s="4">
        <v>3371793.571</v>
      </c>
      <c r="G373" s="2">
        <v>27.6</v>
      </c>
      <c r="H373" s="13" t="s">
        <v>29</v>
      </c>
      <c r="I373" s="13" cm="1">
        <f t="array" ref="I373">各流量段建筑物坡比(B373,D373)</f>
        <v>5500</v>
      </c>
      <c r="J373" s="14" t="str">
        <f t="shared" si="5"/>
        <v/>
      </c>
      <c r="K373" s="2">
        <v>5.3</v>
      </c>
      <c r="R373" s="2">
        <v>180</v>
      </c>
    </row>
    <row r="374" spans="1:18">
      <c r="A374" s="15" t="s">
        <v>489</v>
      </c>
      <c r="B374" s="2">
        <v>3</v>
      </c>
      <c r="C374" s="2" t="s">
        <v>487</v>
      </c>
      <c r="D374" s="13" t="s">
        <v>35</v>
      </c>
      <c r="E374" s="4">
        <v>487588.9887</v>
      </c>
      <c r="F374" s="4">
        <v>3371615.6063</v>
      </c>
      <c r="G374" s="2">
        <v>27.6</v>
      </c>
      <c r="H374" s="13" t="s">
        <v>29</v>
      </c>
      <c r="I374" s="13" cm="1">
        <f t="array" ref="I374">各流量段建筑物坡比(B374,D374)</f>
        <v>5500</v>
      </c>
      <c r="J374" s="14" t="str">
        <f t="shared" si="5"/>
        <v/>
      </c>
      <c r="K374" s="2">
        <v>5.3</v>
      </c>
      <c r="R374" s="2">
        <v>180</v>
      </c>
    </row>
    <row r="375" spans="1:18">
      <c r="A375" s="12" t="s">
        <v>490</v>
      </c>
      <c r="B375" s="2">
        <v>3</v>
      </c>
      <c r="C375" s="2" t="s">
        <v>491</v>
      </c>
      <c r="D375" s="13" t="s">
        <v>35</v>
      </c>
      <c r="E375" s="4">
        <v>487595.7847</v>
      </c>
      <c r="F375" s="4">
        <v>3371511.2906</v>
      </c>
      <c r="G375" s="2">
        <v>27.6</v>
      </c>
      <c r="H375" s="13" t="s">
        <v>29</v>
      </c>
      <c r="I375" s="13" cm="1">
        <f t="array" ref="I375">各流量段建筑物坡比(B375,D375)</f>
        <v>5500</v>
      </c>
      <c r="J375" s="14" t="str">
        <f t="shared" si="5"/>
        <v/>
      </c>
      <c r="K375" s="2">
        <v>5.3</v>
      </c>
      <c r="R375" s="2">
        <v>180</v>
      </c>
    </row>
    <row r="376" spans="1:18">
      <c r="A376" s="15" t="s">
        <v>492</v>
      </c>
      <c r="B376" s="2">
        <v>3</v>
      </c>
      <c r="C376" s="2" t="s">
        <v>491</v>
      </c>
      <c r="D376" s="13" t="s">
        <v>35</v>
      </c>
      <c r="E376" s="4">
        <v>487613.2134</v>
      </c>
      <c r="F376" s="4">
        <v>3371243.7706</v>
      </c>
      <c r="G376" s="2">
        <v>27.6</v>
      </c>
      <c r="H376" s="13" t="s">
        <v>29</v>
      </c>
      <c r="I376" s="13" cm="1">
        <f t="array" ref="I376">各流量段建筑物坡比(B376,D376)</f>
        <v>5500</v>
      </c>
      <c r="J376" s="14" t="str">
        <f t="shared" si="5"/>
        <v/>
      </c>
      <c r="K376" s="2">
        <v>5.3</v>
      </c>
      <c r="R376" s="2">
        <v>180</v>
      </c>
    </row>
    <row r="377" spans="1:18">
      <c r="A377" s="12" t="s">
        <v>493</v>
      </c>
      <c r="B377" s="2">
        <v>3</v>
      </c>
      <c r="C377" s="2" t="s">
        <v>491</v>
      </c>
      <c r="D377" s="13" t="s">
        <v>35</v>
      </c>
      <c r="E377" s="4">
        <v>487609.62</v>
      </c>
      <c r="F377" s="4">
        <v>3371129.3575</v>
      </c>
      <c r="G377" s="2">
        <v>27.6</v>
      </c>
      <c r="H377" s="13" t="s">
        <v>29</v>
      </c>
      <c r="I377" s="13" cm="1">
        <f t="array" ref="I377">各流量段建筑物坡比(B377,D377)</f>
        <v>5500</v>
      </c>
      <c r="J377" s="14" t="str">
        <f t="shared" si="5"/>
        <v/>
      </c>
      <c r="K377" s="2">
        <v>5.3</v>
      </c>
      <c r="R377" s="2">
        <v>180</v>
      </c>
    </row>
    <row r="378" spans="1:18">
      <c r="A378" s="15" t="s">
        <v>494</v>
      </c>
      <c r="B378" s="2">
        <v>3</v>
      </c>
      <c r="C378" s="13" t="s">
        <v>27</v>
      </c>
      <c r="D378" s="13" t="s">
        <v>28</v>
      </c>
      <c r="E378" s="4">
        <v>487606.0535</v>
      </c>
      <c r="F378" s="4">
        <v>3371015.8032</v>
      </c>
      <c r="G378" s="2">
        <v>27.6</v>
      </c>
      <c r="H378" s="13" t="s">
        <v>29</v>
      </c>
      <c r="I378" s="13" cm="1">
        <f t="array" ref="I378">各流量段建筑物坡比(B378,D378)</f>
        <v>6000</v>
      </c>
      <c r="J378" s="14">
        <f t="shared" si="5"/>
        <v>0</v>
      </c>
      <c r="K378" s="2">
        <v>5.6</v>
      </c>
    </row>
    <row r="379" spans="1:18">
      <c r="A379" s="12" t="s">
        <v>495</v>
      </c>
      <c r="B379" s="2">
        <v>3</v>
      </c>
      <c r="C379" s="13" t="s">
        <v>27</v>
      </c>
      <c r="D379" s="13" t="s">
        <v>28</v>
      </c>
      <c r="E379" s="4">
        <v>487545.4294</v>
      </c>
      <c r="F379" s="4">
        <v>3370948.0789</v>
      </c>
      <c r="G379" s="2">
        <v>27.6</v>
      </c>
      <c r="H379" s="13" t="s">
        <v>29</v>
      </c>
      <c r="I379" s="13" cm="1">
        <f t="array" ref="I379">各流量段建筑物坡比(B379,D379)</f>
        <v>6000</v>
      </c>
      <c r="J379" s="14">
        <f t="shared" si="5"/>
        <v>0</v>
      </c>
      <c r="K379" s="2">
        <v>5.6</v>
      </c>
    </row>
    <row r="380" spans="1:18">
      <c r="A380" s="15" t="s">
        <v>496</v>
      </c>
      <c r="B380" s="2">
        <v>3</v>
      </c>
      <c r="C380" s="13" t="s">
        <v>27</v>
      </c>
      <c r="D380" s="13" t="s">
        <v>28</v>
      </c>
      <c r="E380" s="4">
        <v>487543.4354</v>
      </c>
      <c r="F380" s="4">
        <v>3370862.4993</v>
      </c>
      <c r="G380" s="2">
        <v>27.6</v>
      </c>
      <c r="H380" s="13" t="s">
        <v>29</v>
      </c>
      <c r="I380" s="13" cm="1">
        <f t="array" ref="I380">各流量段建筑物坡比(B380,D380)</f>
        <v>6000</v>
      </c>
      <c r="J380" s="14">
        <f t="shared" si="5"/>
        <v>0</v>
      </c>
      <c r="K380" s="2">
        <v>5.6</v>
      </c>
    </row>
    <row r="381" spans="1:18">
      <c r="A381" s="12" t="s">
        <v>497</v>
      </c>
      <c r="B381" s="2">
        <v>3</v>
      </c>
      <c r="C381" s="13" t="s">
        <v>27</v>
      </c>
      <c r="D381" s="13" t="s">
        <v>28</v>
      </c>
      <c r="E381" s="4">
        <v>487528.377</v>
      </c>
      <c r="F381" s="4">
        <v>3370770.7793</v>
      </c>
      <c r="G381" s="2">
        <v>27.6</v>
      </c>
      <c r="H381" s="13" t="s">
        <v>29</v>
      </c>
      <c r="I381" s="13" cm="1">
        <f t="array" ref="I381">各流量段建筑物坡比(B381,D381)</f>
        <v>6000</v>
      </c>
      <c r="J381" s="14">
        <f t="shared" si="5"/>
        <v>0</v>
      </c>
      <c r="K381" s="2">
        <v>5.6</v>
      </c>
    </row>
    <row r="382" spans="1:18">
      <c r="A382" s="15" t="s">
        <v>498</v>
      </c>
      <c r="B382" s="2">
        <v>3</v>
      </c>
      <c r="C382" s="13" t="s">
        <v>27</v>
      </c>
      <c r="D382" s="13" t="s">
        <v>28</v>
      </c>
      <c r="E382" s="4">
        <v>487500.4367</v>
      </c>
      <c r="F382" s="4">
        <v>3370735.1783</v>
      </c>
      <c r="G382" s="2">
        <v>27.6</v>
      </c>
      <c r="H382" s="13" t="s">
        <v>29</v>
      </c>
      <c r="I382" s="13" cm="1">
        <f t="array" ref="I382">各流量段建筑物坡比(B382,D382)</f>
        <v>6000</v>
      </c>
      <c r="J382" s="14">
        <f t="shared" si="5"/>
        <v>0</v>
      </c>
      <c r="K382" s="2">
        <v>5.6</v>
      </c>
    </row>
    <row r="383" spans="1:18">
      <c r="A383" s="12" t="s">
        <v>499</v>
      </c>
      <c r="B383" s="2">
        <v>3</v>
      </c>
      <c r="C383" s="2" t="s">
        <v>500</v>
      </c>
      <c r="D383" s="13" t="s">
        <v>35</v>
      </c>
      <c r="E383" s="4">
        <v>487497.5963</v>
      </c>
      <c r="F383" s="4">
        <v>3370695.8243</v>
      </c>
      <c r="G383" s="2">
        <v>27.6</v>
      </c>
      <c r="H383" s="13" t="s">
        <v>29</v>
      </c>
      <c r="I383" s="13" cm="1">
        <f t="array" ref="I383">各流量段建筑物坡比(B383,D383)</f>
        <v>5500</v>
      </c>
      <c r="J383" s="14" t="str">
        <f t="shared" si="5"/>
        <v/>
      </c>
      <c r="K383" s="2">
        <v>5.3</v>
      </c>
      <c r="R383" s="2">
        <v>180</v>
      </c>
    </row>
    <row r="384" spans="1:18">
      <c r="A384" s="15" t="s">
        <v>501</v>
      </c>
      <c r="B384" s="2">
        <v>3</v>
      </c>
      <c r="C384" s="2" t="s">
        <v>500</v>
      </c>
      <c r="D384" s="13" t="s">
        <v>35</v>
      </c>
      <c r="E384" s="4">
        <v>487448.6925</v>
      </c>
      <c r="F384" s="4">
        <v>3370018.2517</v>
      </c>
      <c r="G384" s="2">
        <v>27.6</v>
      </c>
      <c r="H384" s="13" t="s">
        <v>29</v>
      </c>
      <c r="I384" s="13" cm="1">
        <f t="array" ref="I384">各流量段建筑物坡比(B384,D384)</f>
        <v>5500</v>
      </c>
      <c r="J384" s="14" t="str">
        <f t="shared" si="5"/>
        <v/>
      </c>
      <c r="K384" s="2">
        <v>5.3</v>
      </c>
      <c r="R384" s="2">
        <v>180</v>
      </c>
    </row>
    <row r="385" spans="1:18">
      <c r="A385" s="12" t="s">
        <v>502</v>
      </c>
      <c r="B385" s="2">
        <v>3</v>
      </c>
      <c r="C385" s="13" t="s">
        <v>27</v>
      </c>
      <c r="D385" s="13" t="s">
        <v>28</v>
      </c>
      <c r="E385" s="4">
        <v>487443.0131</v>
      </c>
      <c r="F385" s="4">
        <v>3369939.5636</v>
      </c>
      <c r="G385" s="2">
        <v>27.6</v>
      </c>
      <c r="H385" s="13" t="s">
        <v>29</v>
      </c>
      <c r="I385" s="13" cm="1">
        <f t="array" ref="I385">各流量段建筑物坡比(B385,D385)</f>
        <v>6000</v>
      </c>
      <c r="J385" s="14">
        <f t="shared" si="5"/>
        <v>0</v>
      </c>
      <c r="K385" s="2">
        <v>5.6</v>
      </c>
    </row>
    <row r="386" spans="1:18">
      <c r="A386" s="15" t="s">
        <v>503</v>
      </c>
      <c r="B386" s="2">
        <v>3</v>
      </c>
      <c r="C386" s="13" t="s">
        <v>27</v>
      </c>
      <c r="D386" s="13" t="s">
        <v>28</v>
      </c>
      <c r="E386" s="4">
        <v>487518.4184</v>
      </c>
      <c r="F386" s="4">
        <v>3369843.1037</v>
      </c>
      <c r="G386" s="2">
        <v>27.6</v>
      </c>
      <c r="H386" s="13" t="s">
        <v>29</v>
      </c>
      <c r="I386" s="13" cm="1">
        <f t="array" ref="I386">各流量段建筑物坡比(B386,D386)</f>
        <v>6000</v>
      </c>
      <c r="J386" s="14">
        <f t="shared" si="5"/>
        <v>0</v>
      </c>
      <c r="K386" s="2">
        <v>5.6</v>
      </c>
    </row>
    <row r="387" spans="1:18">
      <c r="A387" s="12" t="s">
        <v>504</v>
      </c>
      <c r="B387" s="2">
        <v>3</v>
      </c>
      <c r="C387" s="13" t="s">
        <v>27</v>
      </c>
      <c r="D387" s="13" t="s">
        <v>28</v>
      </c>
      <c r="E387" s="4">
        <v>487530.9208</v>
      </c>
      <c r="F387" s="4">
        <v>3369706.3857</v>
      </c>
      <c r="G387" s="2">
        <v>27.6</v>
      </c>
      <c r="H387" s="13" t="s">
        <v>29</v>
      </c>
      <c r="I387" s="13" cm="1">
        <f t="array" ref="I387">各流量段建筑物坡比(B387,D387)</f>
        <v>6000</v>
      </c>
      <c r="J387" s="14">
        <f t="shared" si="5"/>
        <v>0</v>
      </c>
      <c r="K387" s="2">
        <v>5.6</v>
      </c>
    </row>
    <row r="388" spans="1:18">
      <c r="A388" s="15" t="s">
        <v>505</v>
      </c>
      <c r="B388" s="2">
        <v>3</v>
      </c>
      <c r="C388" s="2" t="s">
        <v>506</v>
      </c>
      <c r="D388" s="13" t="s">
        <v>35</v>
      </c>
      <c r="E388" s="4">
        <v>487560.8309</v>
      </c>
      <c r="F388" s="4">
        <v>3369629.5837</v>
      </c>
      <c r="G388" s="2">
        <v>27.6</v>
      </c>
      <c r="H388" s="13" t="s">
        <v>29</v>
      </c>
      <c r="I388" s="13" cm="1">
        <f t="array" ref="I388">各流量段建筑物坡比(B388,D388)</f>
        <v>5500</v>
      </c>
      <c r="J388" s="14" t="str">
        <f t="shared" ref="J388:J451" si="6">IF(C388="-",IF(ISNUMBER(SEARCH("矩形",D388)),0,IF(ISNUMBER(SEARCH("梯形",D388)),1.5,"")),"")</f>
        <v/>
      </c>
      <c r="K388" s="2">
        <v>5.3</v>
      </c>
      <c r="R388" s="2">
        <v>180</v>
      </c>
    </row>
    <row r="389" spans="1:18">
      <c r="A389" s="12" t="s">
        <v>507</v>
      </c>
      <c r="B389" s="2">
        <v>3</v>
      </c>
      <c r="C389" s="2" t="s">
        <v>506</v>
      </c>
      <c r="D389" s="13" t="s">
        <v>35</v>
      </c>
      <c r="E389" s="4">
        <v>487730.5035</v>
      </c>
      <c r="F389" s="4">
        <v>3369193.9055</v>
      </c>
      <c r="G389" s="2">
        <v>27.6</v>
      </c>
      <c r="H389" s="13" t="s">
        <v>29</v>
      </c>
      <c r="I389" s="13" cm="1">
        <f t="array" ref="I389">各流量段建筑物坡比(B389,D389)</f>
        <v>5500</v>
      </c>
      <c r="J389" s="14" t="str">
        <f t="shared" si="6"/>
        <v/>
      </c>
      <c r="K389" s="2">
        <v>5.3</v>
      </c>
      <c r="R389" s="2">
        <v>180</v>
      </c>
    </row>
    <row r="390" spans="1:18">
      <c r="A390" s="15" t="s">
        <v>508</v>
      </c>
      <c r="B390" s="2">
        <v>3</v>
      </c>
      <c r="C390" s="13" t="s">
        <v>27</v>
      </c>
      <c r="D390" s="13" t="s">
        <v>28</v>
      </c>
      <c r="E390" s="4">
        <v>487745.6538</v>
      </c>
      <c r="F390" s="4">
        <v>3369155.0033</v>
      </c>
      <c r="G390" s="2">
        <v>27.6</v>
      </c>
      <c r="H390" s="13" t="s">
        <v>29</v>
      </c>
      <c r="I390" s="13" cm="1">
        <f t="array" ref="I390">各流量段建筑物坡比(B390,D390)</f>
        <v>6000</v>
      </c>
      <c r="J390" s="14">
        <f t="shared" si="6"/>
        <v>0</v>
      </c>
      <c r="K390" s="2">
        <v>5.6</v>
      </c>
    </row>
    <row r="391" spans="1:18">
      <c r="A391" s="12" t="s">
        <v>509</v>
      </c>
      <c r="B391" s="2">
        <v>3</v>
      </c>
      <c r="C391" s="13" t="s">
        <v>27</v>
      </c>
      <c r="D391" s="13" t="s">
        <v>28</v>
      </c>
      <c r="E391" s="4">
        <v>487755.6695</v>
      </c>
      <c r="F391" s="4">
        <v>3369054.7093</v>
      </c>
      <c r="G391" s="2">
        <v>27.6</v>
      </c>
      <c r="H391" s="13" t="s">
        <v>29</v>
      </c>
      <c r="I391" s="13" cm="1">
        <f t="array" ref="I391">各流量段建筑物坡比(B391,D391)</f>
        <v>6000</v>
      </c>
      <c r="J391" s="14">
        <f t="shared" si="6"/>
        <v>0</v>
      </c>
      <c r="K391" s="2">
        <v>5.6</v>
      </c>
    </row>
    <row r="392" spans="1:18">
      <c r="A392" s="15" t="s">
        <v>510</v>
      </c>
      <c r="B392" s="2">
        <v>3</v>
      </c>
      <c r="C392" s="13" t="s">
        <v>27</v>
      </c>
      <c r="D392" s="13" t="s">
        <v>28</v>
      </c>
      <c r="E392" s="4">
        <v>487793.3087</v>
      </c>
      <c r="F392" s="4">
        <v>3368937.3806</v>
      </c>
      <c r="G392" s="2">
        <v>27.6</v>
      </c>
      <c r="H392" s="13" t="s">
        <v>29</v>
      </c>
      <c r="I392" s="13" cm="1">
        <f t="array" ref="I392">各流量段建筑物坡比(B392,D392)</f>
        <v>6000</v>
      </c>
      <c r="J392" s="14">
        <f t="shared" si="6"/>
        <v>0</v>
      </c>
      <c r="K392" s="2">
        <v>5.6</v>
      </c>
    </row>
    <row r="393" spans="1:18">
      <c r="A393" s="12" t="s">
        <v>511</v>
      </c>
      <c r="B393" s="2">
        <v>3</v>
      </c>
      <c r="C393" s="13" t="s">
        <v>27</v>
      </c>
      <c r="D393" s="13" t="s">
        <v>28</v>
      </c>
      <c r="E393" s="4">
        <v>487768.5222</v>
      </c>
      <c r="F393" s="4">
        <v>3368836.912</v>
      </c>
      <c r="G393" s="2">
        <v>27.6</v>
      </c>
      <c r="H393" s="13" t="s">
        <v>29</v>
      </c>
      <c r="I393" s="13" cm="1">
        <f t="array" ref="I393">各流量段建筑物坡比(B393,D393)</f>
        <v>6000</v>
      </c>
      <c r="J393" s="14">
        <f t="shared" si="6"/>
        <v>0</v>
      </c>
      <c r="K393" s="2">
        <v>5.6</v>
      </c>
    </row>
    <row r="394" spans="1:18">
      <c r="A394" s="15" t="s">
        <v>512</v>
      </c>
      <c r="B394" s="2">
        <v>3</v>
      </c>
      <c r="C394" s="13" t="s">
        <v>27</v>
      </c>
      <c r="D394" s="13" t="s">
        <v>28</v>
      </c>
      <c r="E394" s="4">
        <v>487797.4563</v>
      </c>
      <c r="F394" s="4">
        <v>3368729.6434</v>
      </c>
      <c r="G394" s="2">
        <v>27.6</v>
      </c>
      <c r="H394" s="13" t="s">
        <v>29</v>
      </c>
      <c r="I394" s="13" cm="1">
        <f t="array" ref="I394">各流量段建筑物坡比(B394,D394)</f>
        <v>6000</v>
      </c>
      <c r="J394" s="14">
        <f t="shared" si="6"/>
        <v>0</v>
      </c>
      <c r="K394" s="2">
        <v>5.6</v>
      </c>
    </row>
    <row r="395" spans="1:18">
      <c r="A395" s="12" t="s">
        <v>513</v>
      </c>
      <c r="B395" s="2">
        <v>3</v>
      </c>
      <c r="C395" s="13" t="s">
        <v>27</v>
      </c>
      <c r="D395" s="13" t="s">
        <v>28</v>
      </c>
      <c r="E395" s="4">
        <v>487844.3474</v>
      </c>
      <c r="F395" s="4">
        <v>3368691.709</v>
      </c>
      <c r="G395" s="2">
        <v>27.6</v>
      </c>
      <c r="H395" s="13" t="s">
        <v>29</v>
      </c>
      <c r="I395" s="13" cm="1">
        <f t="array" ref="I395">各流量段建筑物坡比(B395,D395)</f>
        <v>6000</v>
      </c>
      <c r="J395" s="14">
        <f t="shared" si="6"/>
        <v>0</v>
      </c>
      <c r="K395" s="2">
        <v>5.6</v>
      </c>
    </row>
    <row r="396" spans="1:18">
      <c r="A396" s="15" t="s">
        <v>514</v>
      </c>
      <c r="B396" s="2">
        <v>3</v>
      </c>
      <c r="C396" s="13" t="s">
        <v>27</v>
      </c>
      <c r="D396" s="13" t="s">
        <v>28</v>
      </c>
      <c r="E396" s="4">
        <v>487789.5649</v>
      </c>
      <c r="F396" s="4">
        <v>3368582.3997</v>
      </c>
      <c r="G396" s="2">
        <v>27.6</v>
      </c>
      <c r="H396" s="13" t="s">
        <v>29</v>
      </c>
      <c r="I396" s="13" cm="1">
        <f t="array" ref="I396">各流量段建筑物坡比(B396,D396)</f>
        <v>6000</v>
      </c>
      <c r="J396" s="14">
        <f t="shared" si="6"/>
        <v>0</v>
      </c>
      <c r="K396" s="2">
        <v>5.6</v>
      </c>
    </row>
    <row r="397" spans="1:18">
      <c r="A397" s="12" t="s">
        <v>515</v>
      </c>
      <c r="B397" s="2">
        <v>3</v>
      </c>
      <c r="C397" s="13" t="s">
        <v>27</v>
      </c>
      <c r="D397" s="13" t="s">
        <v>28</v>
      </c>
      <c r="E397" s="4">
        <v>487791.3744</v>
      </c>
      <c r="F397" s="4">
        <v>3368459.6025</v>
      </c>
      <c r="G397" s="2">
        <v>27.6</v>
      </c>
      <c r="H397" s="13" t="s">
        <v>29</v>
      </c>
      <c r="I397" s="13" cm="1">
        <f t="array" ref="I397">各流量段建筑物坡比(B397,D397)</f>
        <v>6000</v>
      </c>
      <c r="J397" s="14">
        <f t="shared" si="6"/>
        <v>0</v>
      </c>
      <c r="K397" s="2">
        <v>5.6</v>
      </c>
    </row>
    <row r="398" spans="1:18">
      <c r="A398" s="15" t="s">
        <v>516</v>
      </c>
      <c r="B398" s="2">
        <v>3</v>
      </c>
      <c r="C398" s="2" t="s">
        <v>517</v>
      </c>
      <c r="D398" s="13" t="s">
        <v>35</v>
      </c>
      <c r="E398" s="4">
        <v>487813.14</v>
      </c>
      <c r="F398" s="4">
        <v>3368367.2344</v>
      </c>
      <c r="G398" s="2">
        <v>27.6</v>
      </c>
      <c r="H398" s="13" t="s">
        <v>29</v>
      </c>
      <c r="I398" s="13" cm="1">
        <f t="array" ref="I398">各流量段建筑物坡比(B398,D398)</f>
        <v>5500</v>
      </c>
      <c r="J398" s="14" t="str">
        <f t="shared" si="6"/>
        <v/>
      </c>
      <c r="K398" s="2">
        <v>5.3</v>
      </c>
      <c r="R398" s="2">
        <v>180</v>
      </c>
    </row>
    <row r="399" spans="1:18">
      <c r="A399" s="12" t="s">
        <v>518</v>
      </c>
      <c r="B399" s="2">
        <v>3</v>
      </c>
      <c r="C399" s="2" t="s">
        <v>517</v>
      </c>
      <c r="D399" s="13" t="s">
        <v>35</v>
      </c>
      <c r="E399" s="4">
        <v>488020.1828</v>
      </c>
      <c r="F399" s="4">
        <v>3367488.5913</v>
      </c>
      <c r="G399" s="2">
        <v>27.6</v>
      </c>
      <c r="H399" s="13" t="s">
        <v>29</v>
      </c>
      <c r="I399" s="13" cm="1">
        <f t="array" ref="I399">各流量段建筑物坡比(B399,D399)</f>
        <v>5500</v>
      </c>
      <c r="J399" s="14" t="str">
        <f t="shared" si="6"/>
        <v/>
      </c>
      <c r="K399" s="2">
        <v>5.3</v>
      </c>
      <c r="R399" s="2">
        <v>180</v>
      </c>
    </row>
    <row r="400" spans="1:18">
      <c r="A400" s="15" t="s">
        <v>519</v>
      </c>
      <c r="B400" s="2">
        <v>3</v>
      </c>
      <c r="C400" s="2" t="s">
        <v>517</v>
      </c>
      <c r="D400" s="13" t="s">
        <v>35</v>
      </c>
      <c r="E400" s="4">
        <v>487982.2683</v>
      </c>
      <c r="F400" s="4">
        <v>3367272.7478</v>
      </c>
      <c r="G400" s="2">
        <v>27.6</v>
      </c>
      <c r="H400" s="13" t="s">
        <v>29</v>
      </c>
      <c r="I400" s="13" cm="1">
        <f t="array" ref="I400">各流量段建筑物坡比(B400,D400)</f>
        <v>5500</v>
      </c>
      <c r="J400" s="14" t="str">
        <f t="shared" si="6"/>
        <v/>
      </c>
      <c r="K400" s="2">
        <v>5.3</v>
      </c>
      <c r="R400" s="2">
        <v>180</v>
      </c>
    </row>
    <row r="401" spans="1:18">
      <c r="A401" s="12" t="s">
        <v>520</v>
      </c>
      <c r="B401" s="2">
        <v>3</v>
      </c>
      <c r="C401" s="13" t="s">
        <v>27</v>
      </c>
      <c r="D401" s="13" t="s">
        <v>28</v>
      </c>
      <c r="E401" s="4">
        <v>487973.9878</v>
      </c>
      <c r="F401" s="4">
        <v>3367225.6079</v>
      </c>
      <c r="G401" s="2">
        <v>27.6</v>
      </c>
      <c r="H401" s="13" t="s">
        <v>29</v>
      </c>
      <c r="I401" s="13" cm="1">
        <f t="array" ref="I401">各流量段建筑物坡比(B401,D401)</f>
        <v>6000</v>
      </c>
      <c r="J401" s="14">
        <f t="shared" si="6"/>
        <v>0</v>
      </c>
      <c r="K401" s="2">
        <v>5.6</v>
      </c>
    </row>
    <row r="402" spans="1:18">
      <c r="A402" s="15" t="s">
        <v>521</v>
      </c>
      <c r="B402" s="2">
        <v>3</v>
      </c>
      <c r="C402" s="2" t="s">
        <v>522</v>
      </c>
      <c r="D402" s="16" t="s">
        <v>47</v>
      </c>
      <c r="E402" s="4">
        <v>487986.0258</v>
      </c>
      <c r="F402" s="4">
        <v>3367194.3915</v>
      </c>
      <c r="G402" s="2">
        <v>27.6</v>
      </c>
      <c r="H402" s="13" t="s">
        <v>29</v>
      </c>
      <c r="I402" s="13" cm="1">
        <f t="array" ref="I402">各流量段建筑物坡比(B402,D402)</f>
        <v>3500</v>
      </c>
      <c r="J402" s="14" t="str">
        <f t="shared" si="6"/>
        <v/>
      </c>
      <c r="K402" s="2">
        <v>5</v>
      </c>
      <c r="O402" s="2">
        <v>0.78</v>
      </c>
    </row>
    <row r="403" spans="1:18">
      <c r="A403" s="12" t="s">
        <v>523</v>
      </c>
      <c r="B403" s="2">
        <v>3</v>
      </c>
      <c r="C403" s="2" t="s">
        <v>522</v>
      </c>
      <c r="D403" s="16" t="s">
        <v>47</v>
      </c>
      <c r="E403" s="4">
        <v>488029.488</v>
      </c>
      <c r="F403" s="4">
        <v>3367081.6873</v>
      </c>
      <c r="G403" s="2">
        <v>27.6</v>
      </c>
      <c r="H403" s="13" t="s">
        <v>29</v>
      </c>
      <c r="I403" s="13" cm="1">
        <f t="array" ref="I403">各流量段建筑物坡比(B403,D403)</f>
        <v>3500</v>
      </c>
      <c r="J403" s="14" t="str">
        <f t="shared" si="6"/>
        <v/>
      </c>
      <c r="K403" s="2">
        <v>5</v>
      </c>
      <c r="O403" s="2">
        <v>0.78</v>
      </c>
    </row>
    <row r="404" spans="1:18">
      <c r="A404" s="15" t="s">
        <v>524</v>
      </c>
      <c r="B404" s="2">
        <v>3</v>
      </c>
      <c r="C404" s="13" t="s">
        <v>27</v>
      </c>
      <c r="D404" s="13" t="s">
        <v>28</v>
      </c>
      <c r="E404" s="4">
        <v>488044.3202</v>
      </c>
      <c r="F404" s="4">
        <v>3367043.2251</v>
      </c>
      <c r="G404" s="2">
        <v>27.6</v>
      </c>
      <c r="H404" s="13" t="s">
        <v>29</v>
      </c>
      <c r="I404" s="13" cm="1">
        <f t="array" ref="I404">各流量段建筑物坡比(B404,D404)</f>
        <v>6000</v>
      </c>
      <c r="J404" s="14">
        <f t="shared" si="6"/>
        <v>0</v>
      </c>
      <c r="K404" s="2">
        <v>5.6</v>
      </c>
    </row>
    <row r="405" spans="1:18">
      <c r="A405" s="12" t="s">
        <v>525</v>
      </c>
      <c r="B405" s="2">
        <v>3</v>
      </c>
      <c r="C405" s="13" t="s">
        <v>27</v>
      </c>
      <c r="D405" s="13" t="s">
        <v>28</v>
      </c>
      <c r="E405" s="4">
        <v>488051.9122</v>
      </c>
      <c r="F405" s="4">
        <v>3366941.0603</v>
      </c>
      <c r="G405" s="2">
        <v>27.6</v>
      </c>
      <c r="H405" s="13" t="s">
        <v>29</v>
      </c>
      <c r="I405" s="13" cm="1">
        <f t="array" ref="I405">各流量段建筑物坡比(B405,D405)</f>
        <v>6000</v>
      </c>
      <c r="J405" s="14">
        <f t="shared" si="6"/>
        <v>0</v>
      </c>
      <c r="K405" s="2">
        <v>5.6</v>
      </c>
    </row>
    <row r="406" spans="1:18">
      <c r="A406" s="15" t="s">
        <v>526</v>
      </c>
      <c r="B406" s="2">
        <v>3</v>
      </c>
      <c r="C406" s="13" t="s">
        <v>27</v>
      </c>
      <c r="D406" s="13" t="s">
        <v>28</v>
      </c>
      <c r="E406" s="4">
        <v>488041.4159</v>
      </c>
      <c r="F406" s="4">
        <v>3366903.1171</v>
      </c>
      <c r="G406" s="2">
        <v>27.6</v>
      </c>
      <c r="H406" s="13" t="s">
        <v>29</v>
      </c>
      <c r="I406" s="13" cm="1">
        <f t="array" ref="I406">各流量段建筑物坡比(B406,D406)</f>
        <v>6000</v>
      </c>
      <c r="J406" s="14">
        <f t="shared" si="6"/>
        <v>0</v>
      </c>
      <c r="K406" s="2">
        <v>5.6</v>
      </c>
    </row>
    <row r="407" spans="1:18">
      <c r="A407" s="12" t="s">
        <v>527</v>
      </c>
      <c r="B407" s="2">
        <v>3</v>
      </c>
      <c r="C407" s="13" t="s">
        <v>27</v>
      </c>
      <c r="D407" s="13" t="s">
        <v>28</v>
      </c>
      <c r="E407" s="4">
        <v>488067.507</v>
      </c>
      <c r="F407" s="4">
        <v>3366853.9758</v>
      </c>
      <c r="G407" s="2">
        <v>27.6</v>
      </c>
      <c r="H407" s="13" t="s">
        <v>29</v>
      </c>
      <c r="I407" s="13" cm="1">
        <f t="array" ref="I407">各流量段建筑物坡比(B407,D407)</f>
        <v>6000</v>
      </c>
      <c r="J407" s="14">
        <f t="shared" si="6"/>
        <v>0</v>
      </c>
      <c r="K407" s="2">
        <v>5.6</v>
      </c>
    </row>
    <row r="408" spans="1:18">
      <c r="A408" s="15" t="s">
        <v>528</v>
      </c>
      <c r="B408" s="2">
        <v>3</v>
      </c>
      <c r="C408" s="2" t="s">
        <v>529</v>
      </c>
      <c r="D408" s="13" t="s">
        <v>35</v>
      </c>
      <c r="E408" s="4">
        <v>488079.5523</v>
      </c>
      <c r="F408" s="4">
        <v>3366713.218</v>
      </c>
      <c r="G408" s="2">
        <v>27.6</v>
      </c>
      <c r="H408" s="13" t="s">
        <v>29</v>
      </c>
      <c r="I408" s="13" cm="1">
        <f t="array" ref="I408">各流量段建筑物坡比(B408,D408)</f>
        <v>5500</v>
      </c>
      <c r="J408" s="14" t="str">
        <f t="shared" si="6"/>
        <v/>
      </c>
      <c r="K408" s="2">
        <v>5.3</v>
      </c>
      <c r="R408" s="2">
        <v>180</v>
      </c>
    </row>
    <row r="409" spans="1:18">
      <c r="A409" s="12" t="s">
        <v>530</v>
      </c>
      <c r="B409" s="2">
        <v>3</v>
      </c>
      <c r="C409" s="2" t="s">
        <v>529</v>
      </c>
      <c r="D409" s="13" t="s">
        <v>35</v>
      </c>
      <c r="E409" s="4">
        <v>488106.189</v>
      </c>
      <c r="F409" s="4">
        <v>3366401.9499</v>
      </c>
      <c r="G409" s="2">
        <v>27.6</v>
      </c>
      <c r="H409" s="13" t="s">
        <v>29</v>
      </c>
      <c r="I409" s="13" cm="1">
        <f t="array" ref="I409">各流量段建筑物坡比(B409,D409)</f>
        <v>5500</v>
      </c>
      <c r="J409" s="14" t="str">
        <f t="shared" si="6"/>
        <v/>
      </c>
      <c r="K409" s="2">
        <v>5.3</v>
      </c>
      <c r="R409" s="2">
        <v>180</v>
      </c>
    </row>
    <row r="410" spans="1:18">
      <c r="A410" s="15" t="s">
        <v>531</v>
      </c>
      <c r="B410" s="2">
        <v>3</v>
      </c>
      <c r="C410" s="2" t="s">
        <v>529</v>
      </c>
      <c r="D410" s="13" t="s">
        <v>35</v>
      </c>
      <c r="E410" s="4">
        <v>488101.8045</v>
      </c>
      <c r="F410" s="4">
        <v>3366366.8207</v>
      </c>
      <c r="G410" s="2">
        <v>27.6</v>
      </c>
      <c r="H410" s="13" t="s">
        <v>29</v>
      </c>
      <c r="I410" s="13" cm="1">
        <f t="array" ref="I410">各流量段建筑物坡比(B410,D410)</f>
        <v>5500</v>
      </c>
      <c r="J410" s="14" t="str">
        <f t="shared" si="6"/>
        <v/>
      </c>
      <c r="K410" s="2">
        <v>5.3</v>
      </c>
      <c r="R410" s="2">
        <v>180</v>
      </c>
    </row>
    <row r="411" spans="1:18">
      <c r="A411" s="12" t="s">
        <v>532</v>
      </c>
      <c r="B411" s="2">
        <v>3</v>
      </c>
      <c r="C411" s="2" t="s">
        <v>533</v>
      </c>
      <c r="D411" s="13" t="s">
        <v>35</v>
      </c>
      <c r="E411" s="4">
        <v>488097.2338</v>
      </c>
      <c r="F411" s="4">
        <v>3366330.1991</v>
      </c>
      <c r="G411" s="2">
        <v>27.6</v>
      </c>
      <c r="H411" s="13" t="s">
        <v>29</v>
      </c>
      <c r="I411" s="13" cm="1">
        <f t="array" ref="I411">各流量段建筑物坡比(B411,D411)</f>
        <v>5500</v>
      </c>
      <c r="J411" s="14" t="str">
        <f t="shared" si="6"/>
        <v/>
      </c>
      <c r="K411" s="2">
        <v>5.3</v>
      </c>
      <c r="R411" s="2">
        <v>180</v>
      </c>
    </row>
    <row r="412" spans="1:18">
      <c r="A412" s="15" t="s">
        <v>534</v>
      </c>
      <c r="B412" s="2">
        <v>3</v>
      </c>
      <c r="C412" s="2" t="s">
        <v>533</v>
      </c>
      <c r="D412" s="13" t="s">
        <v>35</v>
      </c>
      <c r="E412" s="4">
        <v>488082.3606</v>
      </c>
      <c r="F412" s="4">
        <v>3366211.0322</v>
      </c>
      <c r="G412" s="2">
        <v>27.6</v>
      </c>
      <c r="H412" s="13" t="s">
        <v>29</v>
      </c>
      <c r="I412" s="13" cm="1">
        <f t="array" ref="I412">各流量段建筑物坡比(B412,D412)</f>
        <v>5500</v>
      </c>
      <c r="J412" s="14" t="str">
        <f t="shared" si="6"/>
        <v/>
      </c>
      <c r="K412" s="2">
        <v>5.3</v>
      </c>
      <c r="R412" s="2">
        <v>180</v>
      </c>
    </row>
    <row r="413" spans="1:18">
      <c r="A413" s="12" t="s">
        <v>535</v>
      </c>
      <c r="B413" s="2">
        <v>3</v>
      </c>
      <c r="C413" s="2" t="s">
        <v>533</v>
      </c>
      <c r="D413" s="13" t="s">
        <v>35</v>
      </c>
      <c r="E413" s="4">
        <v>488103.9324</v>
      </c>
      <c r="F413" s="4">
        <v>3366107.3675</v>
      </c>
      <c r="G413" s="2">
        <v>27.6</v>
      </c>
      <c r="H413" s="13" t="s">
        <v>29</v>
      </c>
      <c r="I413" s="13" cm="1">
        <f t="array" ref="I413">各流量段建筑物坡比(B413,D413)</f>
        <v>5500</v>
      </c>
      <c r="J413" s="14" t="str">
        <f t="shared" si="6"/>
        <v/>
      </c>
      <c r="K413" s="2">
        <v>5.3</v>
      </c>
      <c r="R413" s="2">
        <v>180</v>
      </c>
    </row>
    <row r="414" spans="1:18">
      <c r="A414" s="15" t="s">
        <v>536</v>
      </c>
      <c r="B414" s="2">
        <v>3</v>
      </c>
      <c r="C414" s="2" t="s">
        <v>537</v>
      </c>
      <c r="D414" s="16" t="s">
        <v>47</v>
      </c>
      <c r="E414" s="4">
        <v>488110.1258</v>
      </c>
      <c r="F414" s="4">
        <v>3366077.6048</v>
      </c>
      <c r="G414" s="2">
        <v>27.6</v>
      </c>
      <c r="H414" s="13" t="s">
        <v>29</v>
      </c>
      <c r="I414" s="13" cm="1">
        <f t="array" ref="I414">各流量段建筑物坡比(B414,D414)</f>
        <v>3500</v>
      </c>
      <c r="J414" s="14" t="str">
        <f t="shared" si="6"/>
        <v/>
      </c>
      <c r="K414" s="2">
        <v>5</v>
      </c>
      <c r="O414" s="2">
        <v>0.78</v>
      </c>
    </row>
    <row r="415" spans="1:18">
      <c r="A415" s="12" t="s">
        <v>538</v>
      </c>
      <c r="B415" s="2">
        <v>3</v>
      </c>
      <c r="C415" s="2" t="s">
        <v>537</v>
      </c>
      <c r="D415" s="16" t="s">
        <v>47</v>
      </c>
      <c r="E415" s="4">
        <v>488118.1679</v>
      </c>
      <c r="F415" s="4">
        <v>3366038.9581</v>
      </c>
      <c r="G415" s="2">
        <v>27.6</v>
      </c>
      <c r="H415" s="13" t="s">
        <v>29</v>
      </c>
      <c r="I415" s="13" cm="1">
        <f t="array" ref="I415">各流量段建筑物坡比(B415,D415)</f>
        <v>3500</v>
      </c>
      <c r="J415" s="14" t="str">
        <f t="shared" si="6"/>
        <v/>
      </c>
      <c r="K415" s="2">
        <v>5</v>
      </c>
      <c r="O415" s="2">
        <v>0.78</v>
      </c>
    </row>
    <row r="416" spans="1:18">
      <c r="A416" s="15" t="s">
        <v>539</v>
      </c>
      <c r="B416" s="2">
        <v>3</v>
      </c>
      <c r="C416" s="2" t="s">
        <v>540</v>
      </c>
      <c r="D416" s="13" t="s">
        <v>35</v>
      </c>
      <c r="E416" s="4">
        <v>488122.1878</v>
      </c>
      <c r="F416" s="4">
        <v>3366019.6403</v>
      </c>
      <c r="G416" s="2">
        <v>27.6</v>
      </c>
      <c r="H416" s="13" t="s">
        <v>29</v>
      </c>
      <c r="I416" s="13" cm="1">
        <f t="array" ref="I416">各流量段建筑物坡比(B416,D416)</f>
        <v>5500</v>
      </c>
      <c r="J416" s="14" t="str">
        <f t="shared" si="6"/>
        <v/>
      </c>
      <c r="K416" s="2">
        <v>5.3</v>
      </c>
      <c r="R416" s="2">
        <v>180</v>
      </c>
    </row>
    <row r="417" spans="1:18">
      <c r="A417" s="12" t="s">
        <v>541</v>
      </c>
      <c r="B417" s="2">
        <v>3</v>
      </c>
      <c r="C417" s="2" t="s">
        <v>540</v>
      </c>
      <c r="D417" s="13" t="s">
        <v>35</v>
      </c>
      <c r="E417" s="4">
        <v>488157.53</v>
      </c>
      <c r="F417" s="4">
        <v>3365849.8009</v>
      </c>
      <c r="G417" s="2">
        <v>27.6</v>
      </c>
      <c r="H417" s="13" t="s">
        <v>29</v>
      </c>
      <c r="I417" s="13" cm="1">
        <f t="array" ref="I417">各流量段建筑物坡比(B417,D417)</f>
        <v>5500</v>
      </c>
      <c r="J417" s="14" t="str">
        <f t="shared" si="6"/>
        <v/>
      </c>
      <c r="K417" s="2">
        <v>5.3</v>
      </c>
      <c r="R417" s="2">
        <v>180</v>
      </c>
    </row>
    <row r="418" spans="1:18">
      <c r="A418" s="15" t="s">
        <v>542</v>
      </c>
      <c r="B418" s="2">
        <v>3</v>
      </c>
      <c r="C418" s="2" t="s">
        <v>540</v>
      </c>
      <c r="D418" s="13" t="s">
        <v>35</v>
      </c>
      <c r="E418" s="4">
        <v>488320.1176</v>
      </c>
      <c r="F418" s="4">
        <v>3365790.6885</v>
      </c>
      <c r="G418" s="2">
        <v>27.6</v>
      </c>
      <c r="H418" s="13" t="s">
        <v>29</v>
      </c>
      <c r="I418" s="13" cm="1">
        <f t="array" ref="I418">各流量段建筑物坡比(B418,D418)</f>
        <v>5500</v>
      </c>
      <c r="J418" s="14" t="str">
        <f t="shared" si="6"/>
        <v/>
      </c>
      <c r="K418" s="2">
        <v>5.3</v>
      </c>
      <c r="R418" s="2">
        <v>180</v>
      </c>
    </row>
    <row r="419" spans="1:18">
      <c r="A419" s="12" t="s">
        <v>543</v>
      </c>
      <c r="B419" s="2">
        <v>3</v>
      </c>
      <c r="C419" s="2" t="s">
        <v>544</v>
      </c>
      <c r="D419" s="13" t="s">
        <v>81</v>
      </c>
      <c r="E419" s="4">
        <v>488320.1176</v>
      </c>
      <c r="F419" s="4">
        <v>3365790.6885</v>
      </c>
      <c r="G419" s="2">
        <v>27.6</v>
      </c>
      <c r="H419" s="13" t="s">
        <v>29</v>
      </c>
      <c r="I419" s="13" t="str" cm="1">
        <f t="array" ref="I419">各流量段建筑物坡比(B419,D419)</f>
        <v/>
      </c>
      <c r="J419" s="14" t="str">
        <f t="shared" si="6"/>
        <v/>
      </c>
    </row>
    <row r="420" spans="1:18">
      <c r="A420" s="15" t="s">
        <v>545</v>
      </c>
      <c r="B420" s="2">
        <v>3</v>
      </c>
      <c r="C420" s="2" t="s">
        <v>544</v>
      </c>
      <c r="D420" s="13" t="s">
        <v>81</v>
      </c>
      <c r="E420" s="4">
        <v>488459.7276</v>
      </c>
      <c r="F420" s="4">
        <v>3365739.9301</v>
      </c>
      <c r="G420" s="2">
        <v>27.6</v>
      </c>
      <c r="H420" s="13" t="s">
        <v>29</v>
      </c>
      <c r="I420" s="13" t="str" cm="1">
        <f t="array" ref="I420">各流量段建筑物坡比(B420,D420)</f>
        <v/>
      </c>
      <c r="J420" s="14" t="str">
        <f t="shared" si="6"/>
        <v/>
      </c>
    </row>
    <row r="421" spans="1:18">
      <c r="A421" s="12" t="s">
        <v>546</v>
      </c>
      <c r="B421" s="2">
        <v>3</v>
      </c>
      <c r="C421" s="2" t="s">
        <v>544</v>
      </c>
      <c r="D421" s="13" t="s">
        <v>81</v>
      </c>
      <c r="E421" s="4">
        <v>488584.9901</v>
      </c>
      <c r="F421" s="4">
        <v>3365542.2768</v>
      </c>
      <c r="G421" s="2">
        <v>27.6</v>
      </c>
      <c r="H421" s="13" t="s">
        <v>29</v>
      </c>
      <c r="I421" s="13" t="str" cm="1">
        <f t="array" ref="I421">各流量段建筑物坡比(B421,D421)</f>
        <v/>
      </c>
      <c r="J421" s="14" t="str">
        <f t="shared" si="6"/>
        <v/>
      </c>
    </row>
    <row r="422" spans="1:18">
      <c r="A422" s="15" t="s">
        <v>547</v>
      </c>
      <c r="B422" s="2">
        <v>3</v>
      </c>
      <c r="C422" s="2" t="s">
        <v>544</v>
      </c>
      <c r="D422" s="13" t="s">
        <v>81</v>
      </c>
      <c r="E422" s="4">
        <v>488704.9679</v>
      </c>
      <c r="F422" s="4">
        <v>3365122.6395</v>
      </c>
      <c r="G422" s="2">
        <v>27.6</v>
      </c>
      <c r="H422" s="13" t="s">
        <v>29</v>
      </c>
      <c r="I422" s="13" t="str" cm="1">
        <f t="array" ref="I422">各流量段建筑物坡比(B422,D422)</f>
        <v/>
      </c>
      <c r="J422" s="14" t="str">
        <f t="shared" si="6"/>
        <v/>
      </c>
    </row>
    <row r="423" spans="1:18">
      <c r="A423" s="12" t="s">
        <v>548</v>
      </c>
      <c r="B423" s="2">
        <v>3</v>
      </c>
      <c r="C423" s="2" t="s">
        <v>544</v>
      </c>
      <c r="D423" s="13" t="s">
        <v>81</v>
      </c>
      <c r="E423" s="4">
        <v>489014.3026</v>
      </c>
      <c r="F423" s="4">
        <v>3364722.6579</v>
      </c>
      <c r="G423" s="2">
        <v>27.6</v>
      </c>
      <c r="H423" s="13" t="s">
        <v>29</v>
      </c>
      <c r="I423" s="13" t="str" cm="1">
        <f t="array" ref="I423">各流量段建筑物坡比(B423,D423)</f>
        <v/>
      </c>
      <c r="J423" s="14" t="str">
        <f t="shared" si="6"/>
        <v/>
      </c>
    </row>
    <row r="424" spans="1:18">
      <c r="A424" s="15" t="s">
        <v>549</v>
      </c>
      <c r="B424" s="2">
        <v>3</v>
      </c>
      <c r="C424" s="2" t="s">
        <v>544</v>
      </c>
      <c r="D424" s="13" t="s">
        <v>81</v>
      </c>
      <c r="E424" s="4">
        <v>489320.2221</v>
      </c>
      <c r="F424" s="4">
        <v>3364523.2466</v>
      </c>
      <c r="G424" s="2">
        <v>27.6</v>
      </c>
      <c r="H424" s="13" t="s">
        <v>29</v>
      </c>
      <c r="I424" s="13" t="str" cm="1">
        <f t="array" ref="I424">各流量段建筑物坡比(B424,D424)</f>
        <v/>
      </c>
      <c r="J424" s="14" t="str">
        <f t="shared" si="6"/>
        <v/>
      </c>
    </row>
    <row r="425" spans="1:18">
      <c r="A425" s="12" t="s">
        <v>550</v>
      </c>
      <c r="B425" s="2">
        <v>3</v>
      </c>
      <c r="C425" s="2" t="s">
        <v>544</v>
      </c>
      <c r="D425" s="13" t="s">
        <v>81</v>
      </c>
      <c r="E425" s="4">
        <v>489342.2724</v>
      </c>
      <c r="F425" s="4">
        <v>3364204.846</v>
      </c>
      <c r="G425" s="2">
        <v>27.6</v>
      </c>
      <c r="H425" s="13" t="s">
        <v>29</v>
      </c>
      <c r="I425" s="13" t="str" cm="1">
        <f t="array" ref="I425">各流量段建筑物坡比(B425,D425)</f>
        <v/>
      </c>
      <c r="J425" s="14" t="str">
        <f t="shared" si="6"/>
        <v/>
      </c>
    </row>
    <row r="426" spans="1:18">
      <c r="A426" s="15" t="s">
        <v>551</v>
      </c>
      <c r="B426" s="2">
        <v>3</v>
      </c>
      <c r="C426" s="2" t="s">
        <v>544</v>
      </c>
      <c r="D426" s="13" t="s">
        <v>81</v>
      </c>
      <c r="E426" s="4">
        <v>489408.0096</v>
      </c>
      <c r="F426" s="4">
        <v>3364043.4435</v>
      </c>
      <c r="G426" s="2">
        <v>27.6</v>
      </c>
      <c r="H426" s="13" t="s">
        <v>29</v>
      </c>
      <c r="I426" s="13" t="str" cm="1">
        <f t="array" ref="I426">各流量段建筑物坡比(B426,D426)</f>
        <v/>
      </c>
      <c r="J426" s="14" t="str">
        <f t="shared" si="6"/>
        <v/>
      </c>
    </row>
    <row r="427" spans="1:18">
      <c r="A427" s="12" t="s">
        <v>552</v>
      </c>
      <c r="B427" s="2">
        <v>3</v>
      </c>
      <c r="C427" s="2" t="s">
        <v>544</v>
      </c>
      <c r="D427" s="13" t="s">
        <v>81</v>
      </c>
      <c r="E427" s="4">
        <v>489801.1826</v>
      </c>
      <c r="F427" s="4">
        <v>3363532.1809</v>
      </c>
      <c r="G427" s="2">
        <v>27.6</v>
      </c>
      <c r="H427" s="13" t="s">
        <v>29</v>
      </c>
      <c r="I427" s="13" t="str" cm="1">
        <f t="array" ref="I427">各流量段建筑物坡比(B427,D427)</f>
        <v/>
      </c>
      <c r="J427" s="14" t="str">
        <f t="shared" si="6"/>
        <v/>
      </c>
    </row>
    <row r="428" spans="1:18">
      <c r="A428" s="15" t="s">
        <v>553</v>
      </c>
      <c r="B428" s="2">
        <v>3</v>
      </c>
      <c r="C428" s="2" t="s">
        <v>544</v>
      </c>
      <c r="D428" s="13" t="s">
        <v>81</v>
      </c>
      <c r="E428" s="4">
        <v>490042.7929</v>
      </c>
      <c r="F428" s="4">
        <v>3363364.7446</v>
      </c>
      <c r="G428" s="2">
        <v>27.6</v>
      </c>
      <c r="H428" s="13" t="s">
        <v>29</v>
      </c>
      <c r="I428" s="13" t="str" cm="1">
        <f t="array" ref="I428">各流量段建筑物坡比(B428,D428)</f>
        <v/>
      </c>
      <c r="J428" s="14" t="str">
        <f t="shared" si="6"/>
        <v/>
      </c>
    </row>
    <row r="429" spans="1:18">
      <c r="A429" s="12" t="s">
        <v>554</v>
      </c>
      <c r="B429" s="2">
        <v>3</v>
      </c>
      <c r="C429" s="2" t="s">
        <v>544</v>
      </c>
      <c r="D429" s="13" t="s">
        <v>81</v>
      </c>
      <c r="E429" s="4">
        <v>490066.3764</v>
      </c>
      <c r="F429" s="4">
        <v>3363264.1049</v>
      </c>
      <c r="G429" s="2">
        <v>27.6</v>
      </c>
      <c r="H429" s="13" t="s">
        <v>29</v>
      </c>
      <c r="I429" s="13" t="str" cm="1">
        <f t="array" ref="I429">各流量段建筑物坡比(B429,D429)</f>
        <v/>
      </c>
      <c r="J429" s="14" t="str">
        <f t="shared" si="6"/>
        <v/>
      </c>
    </row>
    <row r="430" spans="1:18">
      <c r="A430" s="15" t="s">
        <v>555</v>
      </c>
      <c r="B430" s="2">
        <v>3</v>
      </c>
      <c r="C430" s="2" t="s">
        <v>544</v>
      </c>
      <c r="D430" s="13" t="s">
        <v>81</v>
      </c>
      <c r="E430" s="4">
        <v>490183.3093</v>
      </c>
      <c r="F430" s="4">
        <v>3363140.9624</v>
      </c>
      <c r="G430" s="2">
        <v>27.6</v>
      </c>
      <c r="H430" s="13" t="s">
        <v>29</v>
      </c>
      <c r="I430" s="13" t="str" cm="1">
        <f t="array" ref="I430">各流量段建筑物坡比(B430,D430)</f>
        <v/>
      </c>
      <c r="J430" s="14" t="str">
        <f t="shared" si="6"/>
        <v/>
      </c>
    </row>
    <row r="431" spans="1:18">
      <c r="A431" s="12" t="s">
        <v>556</v>
      </c>
      <c r="B431" s="2">
        <v>3</v>
      </c>
      <c r="C431" s="2" t="s">
        <v>544</v>
      </c>
      <c r="D431" s="13" t="s">
        <v>81</v>
      </c>
      <c r="E431" s="4">
        <v>490197.0086</v>
      </c>
      <c r="F431" s="4">
        <v>3363049.9885</v>
      </c>
      <c r="G431" s="2">
        <v>27.6</v>
      </c>
      <c r="H431" s="13" t="s">
        <v>29</v>
      </c>
      <c r="I431" s="13" t="str" cm="1">
        <f t="array" ref="I431">各流量段建筑物坡比(B431,D431)</f>
        <v/>
      </c>
      <c r="J431" s="14" t="str">
        <f t="shared" si="6"/>
        <v/>
      </c>
    </row>
    <row r="432" spans="1:18">
      <c r="A432" s="15" t="s">
        <v>557</v>
      </c>
      <c r="B432" s="2">
        <v>3</v>
      </c>
      <c r="C432" s="2" t="s">
        <v>544</v>
      </c>
      <c r="D432" s="13" t="s">
        <v>81</v>
      </c>
      <c r="E432" s="4">
        <v>490337.8576</v>
      </c>
      <c r="F432" s="4">
        <v>3363011.0435</v>
      </c>
      <c r="G432" s="2">
        <v>27.6</v>
      </c>
      <c r="H432" s="13" t="s">
        <v>29</v>
      </c>
      <c r="I432" s="13" t="str" cm="1">
        <f t="array" ref="I432">各流量段建筑物坡比(B432,D432)</f>
        <v/>
      </c>
      <c r="J432" s="14" t="str">
        <f t="shared" si="6"/>
        <v/>
      </c>
    </row>
    <row r="433" spans="1:15">
      <c r="A433" s="12" t="s">
        <v>558</v>
      </c>
      <c r="B433" s="2">
        <v>3</v>
      </c>
      <c r="C433" s="2" t="s">
        <v>544</v>
      </c>
      <c r="D433" s="13" t="s">
        <v>81</v>
      </c>
      <c r="E433" s="4">
        <v>490368.801</v>
      </c>
      <c r="F433" s="4">
        <v>3362741.5039</v>
      </c>
      <c r="G433" s="2">
        <v>27.6</v>
      </c>
      <c r="H433" s="13" t="s">
        <v>29</v>
      </c>
      <c r="I433" s="13" t="str" cm="1">
        <f t="array" ref="I433">各流量段建筑物坡比(B433,D433)</f>
        <v/>
      </c>
      <c r="J433" s="14" t="str">
        <f t="shared" si="6"/>
        <v/>
      </c>
    </row>
    <row r="434" spans="1:15">
      <c r="A434" s="15" t="s">
        <v>559</v>
      </c>
      <c r="B434" s="2">
        <v>3</v>
      </c>
      <c r="C434" s="13" t="s">
        <v>27</v>
      </c>
      <c r="D434" s="13" t="s">
        <v>28</v>
      </c>
      <c r="E434" s="4">
        <v>490368.801</v>
      </c>
      <c r="F434" s="4">
        <v>3362741.5039</v>
      </c>
      <c r="G434" s="2">
        <v>27.6</v>
      </c>
      <c r="H434" s="13" t="s">
        <v>29</v>
      </c>
      <c r="I434" s="13" cm="1">
        <f t="array" ref="I434">各流量段建筑物坡比(B434,D434)</f>
        <v>6000</v>
      </c>
      <c r="J434" s="14">
        <f t="shared" si="6"/>
        <v>0</v>
      </c>
      <c r="K434" s="2">
        <v>5.6</v>
      </c>
    </row>
    <row r="435" spans="1:15">
      <c r="A435" s="12" t="s">
        <v>560</v>
      </c>
      <c r="B435" s="2">
        <v>3</v>
      </c>
      <c r="C435" s="13" t="s">
        <v>27</v>
      </c>
      <c r="D435" s="13" t="s">
        <v>28</v>
      </c>
      <c r="E435" s="4">
        <v>490380.6894</v>
      </c>
      <c r="F435" s="4">
        <v>3362637.948</v>
      </c>
      <c r="G435" s="2">
        <v>27.6</v>
      </c>
      <c r="H435" s="13" t="s">
        <v>29</v>
      </c>
      <c r="I435" s="13" cm="1">
        <f t="array" ref="I435">各流量段建筑物坡比(B435,D435)</f>
        <v>6000</v>
      </c>
      <c r="J435" s="14">
        <f t="shared" si="6"/>
        <v>0</v>
      </c>
      <c r="K435" s="2">
        <v>5.6</v>
      </c>
    </row>
    <row r="436" spans="1:15">
      <c r="A436" s="15" t="s">
        <v>561</v>
      </c>
      <c r="B436" s="2">
        <v>3</v>
      </c>
      <c r="C436" s="13" t="s">
        <v>27</v>
      </c>
      <c r="D436" s="13" t="s">
        <v>28</v>
      </c>
      <c r="E436" s="4">
        <v>490365.0546</v>
      </c>
      <c r="F436" s="4">
        <v>3362455.625</v>
      </c>
      <c r="G436" s="2">
        <v>27.6</v>
      </c>
      <c r="H436" s="13" t="s">
        <v>29</v>
      </c>
      <c r="I436" s="13" cm="1">
        <f t="array" ref="I436">各流量段建筑物坡比(B436,D436)</f>
        <v>6000</v>
      </c>
      <c r="J436" s="14">
        <f t="shared" si="6"/>
        <v>0</v>
      </c>
      <c r="K436" s="2">
        <v>5.6</v>
      </c>
    </row>
    <row r="437" spans="1:15">
      <c r="A437" s="12" t="s">
        <v>562</v>
      </c>
      <c r="B437" s="2">
        <v>3</v>
      </c>
      <c r="C437" s="2" t="s">
        <v>563</v>
      </c>
      <c r="D437" s="2" t="s">
        <v>44</v>
      </c>
      <c r="E437" s="4">
        <v>490358.2615</v>
      </c>
      <c r="F437" s="4">
        <v>3362432.3378</v>
      </c>
      <c r="G437" s="2">
        <v>27.6</v>
      </c>
      <c r="H437" s="13" t="s">
        <v>29</v>
      </c>
      <c r="I437" s="13" t="str" cm="1">
        <f t="array" ref="I437">各流量段建筑物坡比(B437,D437)</f>
        <v/>
      </c>
      <c r="J437" s="14" t="str">
        <f t="shared" si="6"/>
        <v/>
      </c>
    </row>
    <row r="438" spans="1:15">
      <c r="A438" s="15" t="s">
        <v>564</v>
      </c>
      <c r="B438" s="2">
        <v>3</v>
      </c>
      <c r="C438" s="2" t="s">
        <v>563</v>
      </c>
      <c r="D438" s="2" t="s">
        <v>44</v>
      </c>
      <c r="E438" s="4">
        <v>490358.2615</v>
      </c>
      <c r="F438" s="4">
        <v>3362432.3378</v>
      </c>
      <c r="G438" s="2">
        <v>27.6</v>
      </c>
      <c r="H438" s="13" t="s">
        <v>29</v>
      </c>
      <c r="I438" s="13" t="str" cm="1">
        <f t="array" ref="I438">各流量段建筑物坡比(B438,D438)</f>
        <v/>
      </c>
      <c r="J438" s="14" t="str">
        <f t="shared" si="6"/>
        <v/>
      </c>
    </row>
    <row r="439" spans="1:15">
      <c r="A439" s="12" t="s">
        <v>565</v>
      </c>
      <c r="B439" s="2">
        <v>3</v>
      </c>
      <c r="C439" s="2" t="s">
        <v>563</v>
      </c>
      <c r="D439" s="16" t="s">
        <v>47</v>
      </c>
      <c r="E439" s="4">
        <v>490354.6012</v>
      </c>
      <c r="F439" s="4">
        <v>3362419.7898</v>
      </c>
      <c r="G439" s="2">
        <v>27.6</v>
      </c>
      <c r="H439" s="13" t="s">
        <v>29</v>
      </c>
      <c r="I439" s="13" cm="1">
        <f t="array" ref="I439">各流量段建筑物坡比(B439,D439)</f>
        <v>3500</v>
      </c>
      <c r="J439" s="14" t="str">
        <f t="shared" si="6"/>
        <v/>
      </c>
      <c r="K439" s="2">
        <v>5</v>
      </c>
      <c r="O439" s="2">
        <v>0.78</v>
      </c>
    </row>
    <row r="440" spans="1:15">
      <c r="A440" s="15" t="s">
        <v>566</v>
      </c>
      <c r="B440" s="2">
        <v>3</v>
      </c>
      <c r="C440" s="2" t="s">
        <v>563</v>
      </c>
      <c r="D440" s="16" t="s">
        <v>47</v>
      </c>
      <c r="E440" s="4">
        <v>490265.3988</v>
      </c>
      <c r="F440" s="4">
        <v>3362113.9968</v>
      </c>
      <c r="G440" s="2">
        <v>27.6</v>
      </c>
      <c r="H440" s="13" t="s">
        <v>29</v>
      </c>
      <c r="I440" s="13" cm="1">
        <f t="array" ref="I440">各流量段建筑物坡比(B440,D440)</f>
        <v>3500</v>
      </c>
      <c r="J440" s="14" t="str">
        <f t="shared" si="6"/>
        <v/>
      </c>
      <c r="K440" s="2">
        <v>5</v>
      </c>
      <c r="O440" s="2">
        <v>0.78</v>
      </c>
    </row>
    <row r="441" spans="1:15">
      <c r="A441" s="12" t="s">
        <v>567</v>
      </c>
      <c r="B441" s="2">
        <v>3</v>
      </c>
      <c r="C441" s="2" t="s">
        <v>563</v>
      </c>
      <c r="D441" s="16" t="s">
        <v>47</v>
      </c>
      <c r="E441" s="4">
        <v>490245.6698</v>
      </c>
      <c r="F441" s="4">
        <v>3361981.1046</v>
      </c>
      <c r="G441" s="2">
        <v>27.6</v>
      </c>
      <c r="H441" s="13" t="s">
        <v>29</v>
      </c>
      <c r="I441" s="13" cm="1">
        <f t="array" ref="I441">各流量段建筑物坡比(B441,D441)</f>
        <v>3500</v>
      </c>
      <c r="J441" s="14" t="str">
        <f t="shared" si="6"/>
        <v/>
      </c>
      <c r="K441" s="2">
        <v>5</v>
      </c>
      <c r="O441" s="2">
        <v>0.78</v>
      </c>
    </row>
    <row r="442" spans="1:15">
      <c r="A442" s="15" t="s">
        <v>568</v>
      </c>
      <c r="B442" s="2">
        <v>3</v>
      </c>
      <c r="C442" s="2" t="s">
        <v>563</v>
      </c>
      <c r="D442" s="16" t="s">
        <v>47</v>
      </c>
      <c r="E442" s="4">
        <v>490199.98</v>
      </c>
      <c r="F442" s="4">
        <v>3361911.7163</v>
      </c>
      <c r="G442" s="2">
        <v>27.6</v>
      </c>
      <c r="H442" s="13" t="s">
        <v>29</v>
      </c>
      <c r="I442" s="13" cm="1">
        <f t="array" ref="I442">各流量段建筑物坡比(B442,D442)</f>
        <v>3500</v>
      </c>
      <c r="J442" s="14" t="str">
        <f t="shared" si="6"/>
        <v/>
      </c>
      <c r="K442" s="2">
        <v>5</v>
      </c>
      <c r="O442" s="2">
        <v>0.78</v>
      </c>
    </row>
    <row r="443" spans="1:15">
      <c r="A443" s="12" t="s">
        <v>569</v>
      </c>
      <c r="B443" s="2">
        <v>3</v>
      </c>
      <c r="C443" s="13" t="s">
        <v>27</v>
      </c>
      <c r="D443" s="13" t="s">
        <v>28</v>
      </c>
      <c r="E443" s="4">
        <v>490178.5255</v>
      </c>
      <c r="F443" s="4">
        <v>3361879.1338</v>
      </c>
      <c r="G443" s="2">
        <v>27.6</v>
      </c>
      <c r="H443" s="13" t="s">
        <v>29</v>
      </c>
      <c r="I443" s="13" cm="1">
        <f t="array" ref="I443">各流量段建筑物坡比(B443,D443)</f>
        <v>6000</v>
      </c>
      <c r="J443" s="14">
        <f t="shared" si="6"/>
        <v>0</v>
      </c>
      <c r="K443" s="2">
        <v>5.6</v>
      </c>
    </row>
    <row r="444" spans="1:15">
      <c r="A444" s="15" t="s">
        <v>570</v>
      </c>
      <c r="B444" s="2">
        <v>3</v>
      </c>
      <c r="C444" s="2" t="s">
        <v>571</v>
      </c>
      <c r="D444" s="16" t="s">
        <v>47</v>
      </c>
      <c r="E444" s="4">
        <v>490150.8292</v>
      </c>
      <c r="F444" s="4">
        <v>3361715.5627</v>
      </c>
      <c r="G444" s="2">
        <v>27.6</v>
      </c>
      <c r="H444" s="13" t="s">
        <v>29</v>
      </c>
      <c r="I444" s="13" cm="1">
        <f t="array" ref="I444">各流量段建筑物坡比(B444,D444)</f>
        <v>3500</v>
      </c>
      <c r="J444" s="14" t="str">
        <f t="shared" si="6"/>
        <v/>
      </c>
      <c r="K444" s="2">
        <v>5</v>
      </c>
      <c r="O444" s="2">
        <v>0.78</v>
      </c>
    </row>
    <row r="445" spans="1:15">
      <c r="A445" s="12" t="s">
        <v>572</v>
      </c>
      <c r="B445" s="2">
        <v>3</v>
      </c>
      <c r="C445" s="2" t="s">
        <v>571</v>
      </c>
      <c r="D445" s="16" t="s">
        <v>47</v>
      </c>
      <c r="E445" s="4">
        <v>490125.3089</v>
      </c>
      <c r="F445" s="4">
        <v>3361564.843</v>
      </c>
      <c r="G445" s="2">
        <v>27.6</v>
      </c>
      <c r="H445" s="13" t="s">
        <v>29</v>
      </c>
      <c r="I445" s="13" cm="1">
        <f t="array" ref="I445">各流量段建筑物坡比(B445,D445)</f>
        <v>3500</v>
      </c>
      <c r="J445" s="14" t="str">
        <f t="shared" si="6"/>
        <v/>
      </c>
      <c r="K445" s="2">
        <v>5</v>
      </c>
      <c r="O445" s="2">
        <v>0.78</v>
      </c>
    </row>
    <row r="446" spans="1:15">
      <c r="A446" s="15" t="s">
        <v>573</v>
      </c>
      <c r="B446" s="2">
        <v>3</v>
      </c>
      <c r="C446" s="13" t="s">
        <v>27</v>
      </c>
      <c r="D446" s="13" t="s">
        <v>28</v>
      </c>
      <c r="E446" s="4">
        <v>490119.9767</v>
      </c>
      <c r="F446" s="4">
        <v>3361533.351</v>
      </c>
      <c r="G446" s="2">
        <v>27.6</v>
      </c>
      <c r="H446" s="13" t="s">
        <v>29</v>
      </c>
      <c r="I446" s="13" cm="1">
        <f t="array" ref="I446">各流量段建筑物坡比(B446,D446)</f>
        <v>6000</v>
      </c>
      <c r="J446" s="14">
        <f t="shared" si="6"/>
        <v>0</v>
      </c>
      <c r="K446" s="2">
        <v>5.6</v>
      </c>
    </row>
    <row r="447" spans="1:15">
      <c r="A447" s="12" t="s">
        <v>574</v>
      </c>
      <c r="B447" s="2">
        <v>3</v>
      </c>
      <c r="C447" s="13" t="s">
        <v>27</v>
      </c>
      <c r="D447" s="13" t="s">
        <v>28</v>
      </c>
      <c r="E447" s="4">
        <v>490187.8095</v>
      </c>
      <c r="F447" s="4">
        <v>3361425.538</v>
      </c>
      <c r="G447" s="2">
        <v>27.6</v>
      </c>
      <c r="H447" s="13" t="s">
        <v>29</v>
      </c>
      <c r="I447" s="13" cm="1">
        <f t="array" ref="I447">各流量段建筑物坡比(B447,D447)</f>
        <v>6000</v>
      </c>
      <c r="J447" s="14">
        <f t="shared" si="6"/>
        <v>0</v>
      </c>
      <c r="K447" s="2">
        <v>5.6</v>
      </c>
    </row>
    <row r="448" spans="1:15">
      <c r="A448" s="15" t="s">
        <v>575</v>
      </c>
      <c r="B448" s="2">
        <v>3</v>
      </c>
      <c r="C448" s="2" t="s">
        <v>576</v>
      </c>
      <c r="D448" s="16" t="s">
        <v>47</v>
      </c>
      <c r="E448" s="4">
        <v>490192.1328</v>
      </c>
      <c r="F448" s="4">
        <v>3361395.8851</v>
      </c>
      <c r="G448" s="2">
        <v>27.6</v>
      </c>
      <c r="H448" s="13" t="s">
        <v>29</v>
      </c>
      <c r="I448" s="13" cm="1">
        <f t="array" ref="I448">各流量段建筑物坡比(B448,D448)</f>
        <v>3500</v>
      </c>
      <c r="J448" s="14" t="str">
        <f t="shared" si="6"/>
        <v/>
      </c>
      <c r="K448" s="2">
        <v>5</v>
      </c>
      <c r="O448" s="2">
        <v>0.78</v>
      </c>
    </row>
    <row r="449" spans="1:15">
      <c r="A449" s="12" t="s">
        <v>577</v>
      </c>
      <c r="B449" s="2">
        <v>3</v>
      </c>
      <c r="C449" s="2" t="s">
        <v>576</v>
      </c>
      <c r="D449" s="16" t="s">
        <v>47</v>
      </c>
      <c r="E449" s="4">
        <v>490202.4674</v>
      </c>
      <c r="F449" s="4">
        <v>3361325.0007</v>
      </c>
      <c r="G449" s="2">
        <v>27.6</v>
      </c>
      <c r="H449" s="13" t="s">
        <v>29</v>
      </c>
      <c r="I449" s="13" cm="1">
        <f t="array" ref="I449">各流量段建筑物坡比(B449,D449)</f>
        <v>3500</v>
      </c>
      <c r="J449" s="14" t="str">
        <f t="shared" si="6"/>
        <v/>
      </c>
      <c r="K449" s="2">
        <v>5</v>
      </c>
      <c r="O449" s="2">
        <v>0.78</v>
      </c>
    </row>
    <row r="450" spans="1:15">
      <c r="A450" s="15" t="s">
        <v>578</v>
      </c>
      <c r="B450" s="2">
        <v>3</v>
      </c>
      <c r="C450" s="13" t="s">
        <v>27</v>
      </c>
      <c r="D450" s="13" t="s">
        <v>28</v>
      </c>
      <c r="E450" s="4">
        <v>490206.9241</v>
      </c>
      <c r="F450" s="4">
        <v>3361294.4331</v>
      </c>
      <c r="G450" s="2">
        <v>27.6</v>
      </c>
      <c r="H450" s="13" t="s">
        <v>29</v>
      </c>
      <c r="I450" s="13" cm="1">
        <f t="array" ref="I450">各流量段建筑物坡比(B450,D450)</f>
        <v>6000</v>
      </c>
      <c r="J450" s="14">
        <f t="shared" si="6"/>
        <v>0</v>
      </c>
      <c r="K450" s="2">
        <v>5.6</v>
      </c>
    </row>
    <row r="451" spans="1:15">
      <c r="A451" s="12" t="s">
        <v>579</v>
      </c>
      <c r="B451" s="2">
        <v>3</v>
      </c>
      <c r="C451" s="2" t="s">
        <v>580</v>
      </c>
      <c r="D451" s="16" t="s">
        <v>47</v>
      </c>
      <c r="E451" s="4">
        <v>490264.0893</v>
      </c>
      <c r="F451" s="4">
        <v>3361154.4365</v>
      </c>
      <c r="G451" s="2">
        <v>27.6</v>
      </c>
      <c r="H451" s="13" t="s">
        <v>29</v>
      </c>
      <c r="I451" s="13" cm="1">
        <f t="array" ref="I451">各流量段建筑物坡比(B451,D451)</f>
        <v>3500</v>
      </c>
      <c r="J451" s="14" t="str">
        <f t="shared" si="6"/>
        <v/>
      </c>
      <c r="K451" s="2">
        <v>5</v>
      </c>
      <c r="O451" s="2">
        <v>0.78</v>
      </c>
    </row>
    <row r="452" spans="1:15">
      <c r="A452" s="15" t="s">
        <v>581</v>
      </c>
      <c r="B452" s="2">
        <v>3</v>
      </c>
      <c r="C452" s="2" t="s">
        <v>580</v>
      </c>
      <c r="D452" s="16" t="s">
        <v>47</v>
      </c>
      <c r="E452" s="4">
        <v>490327.9288</v>
      </c>
      <c r="F452" s="4">
        <v>3360998.0947</v>
      </c>
      <c r="G452" s="2">
        <v>27.6</v>
      </c>
      <c r="H452" s="13" t="s">
        <v>29</v>
      </c>
      <c r="I452" s="13" cm="1">
        <f t="array" ref="I452">各流量段建筑物坡比(B452,D452)</f>
        <v>3500</v>
      </c>
      <c r="J452" s="14" t="str">
        <f t="shared" ref="J452:J515" si="7">IF(C452="-",IF(ISNUMBER(SEARCH("矩形",D452)),0,IF(ISNUMBER(SEARCH("梯形",D452)),1.5,"")),"")</f>
        <v/>
      </c>
      <c r="K452" s="2">
        <v>5</v>
      </c>
      <c r="O452" s="2">
        <v>0.78</v>
      </c>
    </row>
    <row r="453" spans="1:15">
      <c r="A453" s="12" t="s">
        <v>582</v>
      </c>
      <c r="B453" s="2">
        <v>3</v>
      </c>
      <c r="C453" s="13" t="s">
        <v>27</v>
      </c>
      <c r="D453" s="13" t="s">
        <v>28</v>
      </c>
      <c r="E453" s="4">
        <v>490337.1366</v>
      </c>
      <c r="F453" s="4">
        <v>3360975.545</v>
      </c>
      <c r="G453" s="2">
        <v>27.6</v>
      </c>
      <c r="H453" s="13" t="s">
        <v>29</v>
      </c>
      <c r="I453" s="13" cm="1">
        <f t="array" ref="I453">各流量段建筑物坡比(B453,D453)</f>
        <v>6000</v>
      </c>
      <c r="J453" s="14">
        <f t="shared" si="7"/>
        <v>0</v>
      </c>
      <c r="K453" s="2">
        <v>5.6</v>
      </c>
    </row>
    <row r="454" spans="1:15">
      <c r="A454" s="15" t="s">
        <v>583</v>
      </c>
      <c r="B454" s="2">
        <v>3</v>
      </c>
      <c r="C454" s="13" t="s">
        <v>27</v>
      </c>
      <c r="D454" s="13" t="s">
        <v>28</v>
      </c>
      <c r="E454" s="4">
        <v>490500.0376</v>
      </c>
      <c r="F454" s="4">
        <v>3360813.6367</v>
      </c>
      <c r="G454" s="2">
        <v>27.6</v>
      </c>
      <c r="H454" s="13" t="s">
        <v>29</v>
      </c>
      <c r="I454" s="13" cm="1">
        <f t="array" ref="I454">各流量段建筑物坡比(B454,D454)</f>
        <v>6000</v>
      </c>
      <c r="J454" s="14">
        <f t="shared" si="7"/>
        <v>0</v>
      </c>
      <c r="K454" s="2">
        <v>5.6</v>
      </c>
    </row>
    <row r="455" spans="1:15">
      <c r="A455" s="12" t="s">
        <v>584</v>
      </c>
      <c r="B455" s="2">
        <v>3</v>
      </c>
      <c r="C455" s="13" t="s">
        <v>27</v>
      </c>
      <c r="D455" s="13" t="s">
        <v>28</v>
      </c>
      <c r="E455" s="4">
        <v>490509.0488</v>
      </c>
      <c r="F455" s="4">
        <v>3360679.9522</v>
      </c>
      <c r="G455" s="2">
        <v>27.6</v>
      </c>
      <c r="H455" s="13" t="s">
        <v>29</v>
      </c>
      <c r="I455" s="13" cm="1">
        <f t="array" ref="I455">各流量段建筑物坡比(B455,D455)</f>
        <v>6000</v>
      </c>
      <c r="J455" s="14">
        <f t="shared" si="7"/>
        <v>0</v>
      </c>
      <c r="K455" s="2">
        <v>5.6</v>
      </c>
    </row>
    <row r="456" spans="1:15">
      <c r="A456" s="15" t="s">
        <v>585</v>
      </c>
      <c r="B456" s="2">
        <v>3</v>
      </c>
      <c r="C456" s="13" t="s">
        <v>27</v>
      </c>
      <c r="D456" s="13" t="s">
        <v>28</v>
      </c>
      <c r="E456" s="4">
        <v>490528.561</v>
      </c>
      <c r="F456" s="4">
        <v>3360612.9541</v>
      </c>
      <c r="G456" s="2">
        <v>27.6</v>
      </c>
      <c r="H456" s="13" t="s">
        <v>29</v>
      </c>
      <c r="I456" s="13" cm="1">
        <f t="array" ref="I456">各流量段建筑物坡比(B456,D456)</f>
        <v>6000</v>
      </c>
      <c r="J456" s="14">
        <f t="shared" si="7"/>
        <v>0</v>
      </c>
      <c r="K456" s="2">
        <v>5.6</v>
      </c>
    </row>
    <row r="457" spans="1:15">
      <c r="A457" s="12" t="s">
        <v>586</v>
      </c>
      <c r="B457" s="2">
        <v>3</v>
      </c>
      <c r="C457" s="13" t="s">
        <v>27</v>
      </c>
      <c r="D457" s="13" t="s">
        <v>28</v>
      </c>
      <c r="E457" s="4">
        <v>490558.5979</v>
      </c>
      <c r="F457" s="4">
        <v>3360570.7579</v>
      </c>
      <c r="G457" s="2">
        <v>27.6</v>
      </c>
      <c r="H457" s="13" t="s">
        <v>29</v>
      </c>
      <c r="I457" s="13" cm="1">
        <f t="array" ref="I457">各流量段建筑物坡比(B457,D457)</f>
        <v>6000</v>
      </c>
      <c r="J457" s="14">
        <f t="shared" si="7"/>
        <v>0</v>
      </c>
      <c r="K457" s="2">
        <v>5.6</v>
      </c>
    </row>
    <row r="458" spans="1:15">
      <c r="A458" s="15" t="s">
        <v>587</v>
      </c>
      <c r="B458" s="2">
        <v>3</v>
      </c>
      <c r="C458" s="2" t="s">
        <v>588</v>
      </c>
      <c r="D458" s="16" t="s">
        <v>47</v>
      </c>
      <c r="E458" s="4">
        <v>490560.7753</v>
      </c>
      <c r="F458" s="4">
        <v>3360525.6898</v>
      </c>
      <c r="G458" s="2">
        <v>27.6</v>
      </c>
      <c r="H458" s="13" t="s">
        <v>29</v>
      </c>
      <c r="I458" s="13" cm="1">
        <f t="array" ref="I458">各流量段建筑物坡比(B458,D458)</f>
        <v>3500</v>
      </c>
      <c r="J458" s="14" t="str">
        <f t="shared" si="7"/>
        <v/>
      </c>
      <c r="K458" s="2">
        <v>5</v>
      </c>
      <c r="O458" s="2">
        <v>0.78</v>
      </c>
    </row>
    <row r="459" spans="1:15">
      <c r="A459" s="12" t="s">
        <v>589</v>
      </c>
      <c r="B459" s="2">
        <v>3</v>
      </c>
      <c r="C459" s="2" t="s">
        <v>588</v>
      </c>
      <c r="D459" s="16" t="s">
        <v>47</v>
      </c>
      <c r="E459" s="4">
        <v>490565.4682</v>
      </c>
      <c r="F459" s="4">
        <v>3360428.558</v>
      </c>
      <c r="G459" s="2">
        <v>27.6</v>
      </c>
      <c r="H459" s="13" t="s">
        <v>29</v>
      </c>
      <c r="I459" s="13" cm="1">
        <f t="array" ref="I459">各流量段建筑物坡比(B459,D459)</f>
        <v>3500</v>
      </c>
      <c r="J459" s="14" t="str">
        <f t="shared" si="7"/>
        <v/>
      </c>
      <c r="K459" s="2">
        <v>5</v>
      </c>
      <c r="O459" s="2">
        <v>0.78</v>
      </c>
    </row>
    <row r="460" spans="1:15">
      <c r="A460" s="15" t="s">
        <v>590</v>
      </c>
      <c r="B460" s="2">
        <v>3</v>
      </c>
      <c r="C460" s="13" t="s">
        <v>27</v>
      </c>
      <c r="D460" s="13" t="s">
        <v>28</v>
      </c>
      <c r="E460" s="4">
        <v>490566.9644</v>
      </c>
      <c r="F460" s="4">
        <v>3360397.5898</v>
      </c>
      <c r="G460" s="2">
        <v>27.6</v>
      </c>
      <c r="H460" s="13" t="s">
        <v>29</v>
      </c>
      <c r="I460" s="13" cm="1">
        <f t="array" ref="I460">各流量段建筑物坡比(B460,D460)</f>
        <v>6000</v>
      </c>
      <c r="J460" s="14">
        <f t="shared" si="7"/>
        <v>0</v>
      </c>
      <c r="K460" s="2">
        <v>5.6</v>
      </c>
    </row>
    <row r="461" spans="1:15">
      <c r="A461" s="12" t="s">
        <v>591</v>
      </c>
      <c r="B461" s="2">
        <v>3</v>
      </c>
      <c r="C461" s="13" t="s">
        <v>27</v>
      </c>
      <c r="D461" s="13" t="s">
        <v>28</v>
      </c>
      <c r="E461" s="4">
        <v>490555.6963</v>
      </c>
      <c r="F461" s="4">
        <v>3360356.9735</v>
      </c>
      <c r="G461" s="2">
        <v>27.6</v>
      </c>
      <c r="H461" s="13" t="s">
        <v>29</v>
      </c>
      <c r="I461" s="13" cm="1">
        <f t="array" ref="I461">各流量段建筑物坡比(B461,D461)</f>
        <v>6000</v>
      </c>
      <c r="J461" s="14">
        <f t="shared" si="7"/>
        <v>0</v>
      </c>
      <c r="K461" s="2">
        <v>5.6</v>
      </c>
    </row>
    <row r="462" spans="1:15">
      <c r="A462" s="15" t="s">
        <v>592</v>
      </c>
      <c r="B462" s="2">
        <v>3</v>
      </c>
      <c r="C462" s="13" t="s">
        <v>27</v>
      </c>
      <c r="D462" s="13" t="s">
        <v>28</v>
      </c>
      <c r="E462" s="4">
        <v>490589.2741</v>
      </c>
      <c r="F462" s="4">
        <v>3360288.5799</v>
      </c>
      <c r="G462" s="2">
        <v>27.6</v>
      </c>
      <c r="H462" s="13" t="s">
        <v>29</v>
      </c>
      <c r="I462" s="13" cm="1">
        <f t="array" ref="I462">各流量段建筑物坡比(B462,D462)</f>
        <v>6000</v>
      </c>
      <c r="J462" s="14">
        <f t="shared" si="7"/>
        <v>0</v>
      </c>
      <c r="K462" s="2">
        <v>5.6</v>
      </c>
    </row>
    <row r="463" spans="1:15">
      <c r="A463" s="12" t="s">
        <v>593</v>
      </c>
      <c r="B463" s="2">
        <v>3</v>
      </c>
      <c r="C463" s="13" t="s">
        <v>27</v>
      </c>
      <c r="D463" s="13" t="s">
        <v>28</v>
      </c>
      <c r="E463" s="4">
        <v>490587.1979</v>
      </c>
      <c r="F463" s="4">
        <v>3360223.4464</v>
      </c>
      <c r="G463" s="2">
        <v>27.6</v>
      </c>
      <c r="H463" s="13" t="s">
        <v>29</v>
      </c>
      <c r="I463" s="13" cm="1">
        <f t="array" ref="I463">各流量段建筑物坡比(B463,D463)</f>
        <v>6000</v>
      </c>
      <c r="J463" s="14">
        <f t="shared" si="7"/>
        <v>0</v>
      </c>
      <c r="K463" s="2">
        <v>5.6</v>
      </c>
    </row>
    <row r="464" spans="1:15">
      <c r="A464" s="15" t="s">
        <v>594</v>
      </c>
      <c r="B464" s="2">
        <v>3</v>
      </c>
      <c r="C464" s="13" t="s">
        <v>27</v>
      </c>
      <c r="D464" s="13" t="s">
        <v>28</v>
      </c>
      <c r="E464" s="4">
        <v>490679.9844</v>
      </c>
      <c r="F464" s="4">
        <v>3360131.0267</v>
      </c>
      <c r="G464" s="2">
        <v>27.6</v>
      </c>
      <c r="H464" s="13" t="s">
        <v>29</v>
      </c>
      <c r="I464" s="13" cm="1">
        <f t="array" ref="I464">各流量段建筑物坡比(B464,D464)</f>
        <v>6000</v>
      </c>
      <c r="J464" s="14">
        <f t="shared" si="7"/>
        <v>0</v>
      </c>
      <c r="K464" s="2">
        <v>5.6</v>
      </c>
    </row>
    <row r="465" spans="1:18">
      <c r="A465" s="12" t="s">
        <v>595</v>
      </c>
      <c r="B465" s="2">
        <v>3</v>
      </c>
      <c r="C465" s="13" t="s">
        <v>27</v>
      </c>
      <c r="D465" s="13" t="s">
        <v>28</v>
      </c>
      <c r="E465" s="4">
        <v>490734.7914</v>
      </c>
      <c r="F465" s="4">
        <v>3360125.4958</v>
      </c>
      <c r="G465" s="2">
        <v>27.6</v>
      </c>
      <c r="H465" s="13" t="s">
        <v>29</v>
      </c>
      <c r="I465" s="13" cm="1">
        <f t="array" ref="I465">各流量段建筑物坡比(B465,D465)</f>
        <v>6000</v>
      </c>
      <c r="J465" s="14">
        <f t="shared" si="7"/>
        <v>0</v>
      </c>
      <c r="K465" s="2">
        <v>5.6</v>
      </c>
    </row>
    <row r="466" spans="1:18">
      <c r="A466" s="15" t="s">
        <v>596</v>
      </c>
      <c r="B466" s="2">
        <v>3</v>
      </c>
      <c r="C466" s="13" t="s">
        <v>27</v>
      </c>
      <c r="D466" s="13" t="s">
        <v>28</v>
      </c>
      <c r="E466" s="4">
        <v>490853.6236</v>
      </c>
      <c r="F466" s="4">
        <v>3360172.9152</v>
      </c>
      <c r="G466" s="2">
        <v>27.6</v>
      </c>
      <c r="H466" s="13" t="s">
        <v>29</v>
      </c>
      <c r="I466" s="13" cm="1">
        <f t="array" ref="I466">各流量段建筑物坡比(B466,D466)</f>
        <v>6000</v>
      </c>
      <c r="J466" s="14">
        <f t="shared" si="7"/>
        <v>0</v>
      </c>
      <c r="K466" s="2">
        <v>5.6</v>
      </c>
    </row>
    <row r="467" spans="1:18">
      <c r="A467" s="12" t="s">
        <v>597</v>
      </c>
      <c r="B467" s="2">
        <v>3</v>
      </c>
      <c r="C467" s="13" t="s">
        <v>27</v>
      </c>
      <c r="D467" s="13" t="s">
        <v>28</v>
      </c>
      <c r="E467" s="4">
        <v>490899.3876</v>
      </c>
      <c r="F467" s="4">
        <v>3360156.0847</v>
      </c>
      <c r="G467" s="2">
        <v>27.6</v>
      </c>
      <c r="H467" s="13" t="s">
        <v>29</v>
      </c>
      <c r="I467" s="13" cm="1">
        <f t="array" ref="I467">各流量段建筑物坡比(B467,D467)</f>
        <v>6000</v>
      </c>
      <c r="J467" s="14">
        <f t="shared" si="7"/>
        <v>0</v>
      </c>
      <c r="K467" s="2">
        <v>5.6</v>
      </c>
    </row>
    <row r="468" spans="1:18">
      <c r="A468" s="15" t="s">
        <v>598</v>
      </c>
      <c r="B468" s="2">
        <v>3</v>
      </c>
      <c r="C468" s="13" t="s">
        <v>27</v>
      </c>
      <c r="D468" s="13" t="s">
        <v>28</v>
      </c>
      <c r="E468" s="4">
        <v>490897.2311</v>
      </c>
      <c r="F468" s="4">
        <v>3360060.8474</v>
      </c>
      <c r="G468" s="2">
        <v>27.6</v>
      </c>
      <c r="H468" s="13" t="s">
        <v>29</v>
      </c>
      <c r="I468" s="13" cm="1">
        <f t="array" ref="I468">各流量段建筑物坡比(B468,D468)</f>
        <v>6000</v>
      </c>
      <c r="J468" s="14">
        <f t="shared" si="7"/>
        <v>0</v>
      </c>
      <c r="K468" s="2">
        <v>5.6</v>
      </c>
    </row>
    <row r="469" spans="1:18">
      <c r="A469" s="12" t="s">
        <v>599</v>
      </c>
      <c r="B469" s="2">
        <v>3</v>
      </c>
      <c r="C469" s="2" t="s">
        <v>600</v>
      </c>
      <c r="D469" s="13" t="s">
        <v>35</v>
      </c>
      <c r="E469" s="4">
        <v>490920.4974</v>
      </c>
      <c r="F469" s="4">
        <v>3359987.7807</v>
      </c>
      <c r="G469" s="2">
        <v>27.6</v>
      </c>
      <c r="H469" s="13" t="s">
        <v>29</v>
      </c>
      <c r="I469" s="13" cm="1">
        <f t="array" ref="I469">各流量段建筑物坡比(B469,D469)</f>
        <v>5500</v>
      </c>
      <c r="J469" s="14" t="str">
        <f t="shared" si="7"/>
        <v/>
      </c>
      <c r="K469" s="2">
        <v>5.3</v>
      </c>
      <c r="R469" s="2">
        <v>180</v>
      </c>
    </row>
    <row r="470" spans="1:18">
      <c r="A470" s="15" t="s">
        <v>601</v>
      </c>
      <c r="B470" s="2">
        <v>3</v>
      </c>
      <c r="C470" s="2" t="s">
        <v>600</v>
      </c>
      <c r="D470" s="13" t="s">
        <v>35</v>
      </c>
      <c r="E470" s="4">
        <v>490951.878</v>
      </c>
      <c r="F470" s="4">
        <v>3359889.2319</v>
      </c>
      <c r="G470" s="2">
        <v>27.6</v>
      </c>
      <c r="H470" s="13" t="s">
        <v>29</v>
      </c>
      <c r="I470" s="13" cm="1">
        <f t="array" ref="I470">各流量段建筑物坡比(B470,D470)</f>
        <v>5500</v>
      </c>
      <c r="J470" s="14" t="str">
        <f t="shared" si="7"/>
        <v/>
      </c>
      <c r="K470" s="2">
        <v>5.3</v>
      </c>
      <c r="R470" s="2">
        <v>180</v>
      </c>
    </row>
    <row r="471" spans="1:18">
      <c r="A471" s="12" t="s">
        <v>602</v>
      </c>
      <c r="B471" s="2">
        <v>3</v>
      </c>
      <c r="C471" s="2" t="s">
        <v>600</v>
      </c>
      <c r="D471" s="13" t="s">
        <v>35</v>
      </c>
      <c r="E471" s="4">
        <v>491348.7525</v>
      </c>
      <c r="F471" s="4">
        <v>3359593.0181</v>
      </c>
      <c r="G471" s="2">
        <v>27.6</v>
      </c>
      <c r="H471" s="13" t="s">
        <v>29</v>
      </c>
      <c r="I471" s="13" cm="1">
        <f t="array" ref="I471">各流量段建筑物坡比(B471,D471)</f>
        <v>5500</v>
      </c>
      <c r="J471" s="14" t="str">
        <f t="shared" si="7"/>
        <v/>
      </c>
      <c r="K471" s="2">
        <v>5.3</v>
      </c>
      <c r="R471" s="2">
        <v>180</v>
      </c>
    </row>
    <row r="472" spans="1:18">
      <c r="A472" s="15" t="s">
        <v>603</v>
      </c>
      <c r="B472" s="2">
        <v>3</v>
      </c>
      <c r="C472" s="13" t="s">
        <v>27</v>
      </c>
      <c r="D472" s="13" t="s">
        <v>28</v>
      </c>
      <c r="E472" s="4">
        <v>491381.6368</v>
      </c>
      <c r="F472" s="4">
        <v>3359568.4743</v>
      </c>
      <c r="G472" s="2">
        <v>27.6</v>
      </c>
      <c r="H472" s="13" t="s">
        <v>29</v>
      </c>
      <c r="I472" s="13" cm="1">
        <f t="array" ref="I472">各流量段建筑物坡比(B472,D472)</f>
        <v>6000</v>
      </c>
      <c r="J472" s="14">
        <f t="shared" si="7"/>
        <v>0</v>
      </c>
      <c r="K472" s="2">
        <v>5.6</v>
      </c>
    </row>
    <row r="473" spans="1:18">
      <c r="A473" s="12" t="s">
        <v>604</v>
      </c>
      <c r="B473" s="2">
        <v>3</v>
      </c>
      <c r="C473" s="13" t="s">
        <v>27</v>
      </c>
      <c r="D473" s="13" t="s">
        <v>28</v>
      </c>
      <c r="E473" s="4">
        <v>491468.382</v>
      </c>
      <c r="F473" s="4">
        <v>3359531.1526</v>
      </c>
      <c r="G473" s="2">
        <v>27.6</v>
      </c>
      <c r="H473" s="13" t="s">
        <v>29</v>
      </c>
      <c r="I473" s="13" cm="1">
        <f t="array" ref="I473">各流量段建筑物坡比(B473,D473)</f>
        <v>6000</v>
      </c>
      <c r="J473" s="14">
        <f t="shared" si="7"/>
        <v>0</v>
      </c>
      <c r="K473" s="2">
        <v>5.6</v>
      </c>
    </row>
    <row r="474" spans="1:18">
      <c r="A474" s="15" t="s">
        <v>605</v>
      </c>
      <c r="B474" s="2">
        <v>3</v>
      </c>
      <c r="C474" s="13" t="s">
        <v>27</v>
      </c>
      <c r="D474" s="13" t="s">
        <v>28</v>
      </c>
      <c r="E474" s="4">
        <v>491497.2271</v>
      </c>
      <c r="F474" s="4">
        <v>3359493.5946</v>
      </c>
      <c r="G474" s="2">
        <v>27.6</v>
      </c>
      <c r="H474" s="13" t="s">
        <v>29</v>
      </c>
      <c r="I474" s="13" cm="1">
        <f t="array" ref="I474">各流量段建筑物坡比(B474,D474)</f>
        <v>6000</v>
      </c>
      <c r="J474" s="14">
        <f t="shared" si="7"/>
        <v>0</v>
      </c>
      <c r="K474" s="2">
        <v>5.6</v>
      </c>
    </row>
    <row r="475" spans="1:18">
      <c r="A475" s="12" t="s">
        <v>606</v>
      </c>
      <c r="B475" s="2">
        <v>3</v>
      </c>
      <c r="C475" s="13" t="s">
        <v>27</v>
      </c>
      <c r="D475" s="13" t="s">
        <v>28</v>
      </c>
      <c r="E475" s="4">
        <v>491552.8119</v>
      </c>
      <c r="F475" s="4">
        <v>3359473.9782</v>
      </c>
      <c r="G475" s="2">
        <v>27.6</v>
      </c>
      <c r="H475" s="13" t="s">
        <v>29</v>
      </c>
      <c r="I475" s="13" cm="1">
        <f t="array" ref="I475">各流量段建筑物坡比(B475,D475)</f>
        <v>6000</v>
      </c>
      <c r="J475" s="14">
        <f t="shared" si="7"/>
        <v>0</v>
      </c>
      <c r="K475" s="2">
        <v>5.6</v>
      </c>
    </row>
    <row r="476" s="1" customFormat="1" spans="1:18">
      <c r="A476" s="15" t="s">
        <v>607</v>
      </c>
      <c r="B476" s="2">
        <v>3</v>
      </c>
      <c r="C476" s="1" t="s">
        <v>608</v>
      </c>
      <c r="D476" s="1" t="s">
        <v>271</v>
      </c>
      <c r="E476" s="18">
        <v>491565.5581</v>
      </c>
      <c r="F476" s="18">
        <v>3359456.6604</v>
      </c>
      <c r="G476" s="2">
        <v>27.6</v>
      </c>
      <c r="H476" s="19" t="s">
        <v>29</v>
      </c>
      <c r="I476" s="13" t="str" cm="1">
        <f t="array" ref="I476">各流量段建筑物坡比(B476,D476)</f>
        <v/>
      </c>
      <c r="J476" s="14" t="str">
        <f t="shared" si="7"/>
        <v/>
      </c>
    </row>
    <row r="477" spans="1:18">
      <c r="A477" s="12" t="s">
        <v>609</v>
      </c>
      <c r="B477" s="2">
        <v>4</v>
      </c>
      <c r="C477" s="2" t="s">
        <v>610</v>
      </c>
      <c r="D477" s="13" t="s">
        <v>35</v>
      </c>
      <c r="E477" s="4">
        <v>491565.5581</v>
      </c>
      <c r="F477" s="4">
        <v>3359456.6604</v>
      </c>
      <c r="G477" s="2">
        <v>26.8</v>
      </c>
      <c r="H477" s="13" t="s">
        <v>29</v>
      </c>
      <c r="I477" s="13" cm="1">
        <f t="array" ref="I477">各流量段建筑物坡比(B477,D477)</f>
        <v>5500</v>
      </c>
      <c r="J477" s="14" t="str">
        <f t="shared" si="7"/>
        <v/>
      </c>
      <c r="K477" s="2">
        <v>5.3</v>
      </c>
      <c r="R477" s="2">
        <v>180</v>
      </c>
    </row>
    <row r="478" spans="1:18">
      <c r="A478" s="15" t="s">
        <v>611</v>
      </c>
      <c r="B478" s="2">
        <v>4</v>
      </c>
      <c r="C478" s="2" t="s">
        <v>610</v>
      </c>
      <c r="D478" s="13" t="s">
        <v>35</v>
      </c>
      <c r="E478" s="4">
        <v>491651.166</v>
      </c>
      <c r="F478" s="4">
        <v>3359340.3486</v>
      </c>
      <c r="G478" s="2">
        <v>26.8</v>
      </c>
      <c r="H478" s="13" t="s">
        <v>29</v>
      </c>
      <c r="I478" s="13" cm="1">
        <f t="array" ref="I478">各流量段建筑物坡比(B478,D478)</f>
        <v>5500</v>
      </c>
      <c r="J478" s="14" t="str">
        <f t="shared" si="7"/>
        <v/>
      </c>
      <c r="K478" s="2">
        <v>5.3</v>
      </c>
      <c r="R478" s="2">
        <v>180</v>
      </c>
    </row>
    <row r="479" spans="1:18">
      <c r="A479" s="12" t="s">
        <v>612</v>
      </c>
      <c r="B479" s="2">
        <v>4</v>
      </c>
      <c r="C479" s="2" t="s">
        <v>610</v>
      </c>
      <c r="D479" s="13" t="s">
        <v>35</v>
      </c>
      <c r="E479" s="4">
        <v>491743.1213</v>
      </c>
      <c r="F479" s="4">
        <v>3359105.2423</v>
      </c>
      <c r="G479" s="2">
        <v>26.8</v>
      </c>
      <c r="H479" s="13" t="s">
        <v>29</v>
      </c>
      <c r="I479" s="13" cm="1">
        <f t="array" ref="I479">各流量段建筑物坡比(B479,D479)</f>
        <v>5500</v>
      </c>
      <c r="J479" s="14" t="str">
        <f t="shared" si="7"/>
        <v/>
      </c>
      <c r="K479" s="2">
        <v>5.3</v>
      </c>
      <c r="R479" s="2">
        <v>180</v>
      </c>
    </row>
    <row r="480" spans="1:18">
      <c r="A480" s="15" t="s">
        <v>613</v>
      </c>
      <c r="B480" s="2">
        <v>4</v>
      </c>
      <c r="C480" s="13" t="s">
        <v>27</v>
      </c>
      <c r="D480" s="13" t="s">
        <v>28</v>
      </c>
      <c r="E480" s="4">
        <v>491755.8429</v>
      </c>
      <c r="F480" s="4">
        <v>3359072.7164</v>
      </c>
      <c r="G480" s="2">
        <v>26.8</v>
      </c>
      <c r="H480" s="13" t="s">
        <v>29</v>
      </c>
      <c r="I480" s="13" cm="1">
        <f t="array" ref="I480">各流量段建筑物坡比(B480,D480)</f>
        <v>6000</v>
      </c>
      <c r="J480" s="14">
        <f t="shared" si="7"/>
        <v>0</v>
      </c>
      <c r="K480" s="2">
        <v>5.4</v>
      </c>
    </row>
    <row r="481" spans="1:18">
      <c r="A481" s="12" t="s">
        <v>614</v>
      </c>
      <c r="B481" s="2">
        <v>4</v>
      </c>
      <c r="C481" s="2" t="s">
        <v>608</v>
      </c>
      <c r="D481" s="16" t="s">
        <v>47</v>
      </c>
      <c r="E481" s="4">
        <v>491770.3961</v>
      </c>
      <c r="F481" s="4">
        <v>3359052.7857</v>
      </c>
      <c r="G481" s="2">
        <v>26.8</v>
      </c>
      <c r="H481" s="13" t="s">
        <v>29</v>
      </c>
      <c r="I481" s="13" cm="1">
        <f t="array" ref="I481">各流量段建筑物坡比(B481,D481)</f>
        <v>3500</v>
      </c>
      <c r="J481" s="14" t="str">
        <f t="shared" si="7"/>
        <v/>
      </c>
      <c r="K481" s="2">
        <v>4.9</v>
      </c>
      <c r="O481" s="2">
        <v>0.79</v>
      </c>
    </row>
    <row r="482" spans="1:18">
      <c r="A482" s="15" t="s">
        <v>615</v>
      </c>
      <c r="B482" s="2">
        <v>4</v>
      </c>
      <c r="C482" s="2" t="s">
        <v>608</v>
      </c>
      <c r="D482" s="16" t="s">
        <v>47</v>
      </c>
      <c r="E482" s="4">
        <v>491917.2937</v>
      </c>
      <c r="F482" s="4">
        <v>3358851.6081</v>
      </c>
      <c r="G482" s="2">
        <v>26.8</v>
      </c>
      <c r="H482" s="13" t="s">
        <v>29</v>
      </c>
      <c r="I482" s="13" cm="1">
        <f t="array" ref="I482">各流量段建筑物坡比(B482,D482)</f>
        <v>3500</v>
      </c>
      <c r="J482" s="14" t="str">
        <f t="shared" si="7"/>
        <v/>
      </c>
      <c r="K482" s="2">
        <v>4.9</v>
      </c>
      <c r="O482" s="2">
        <v>0.79</v>
      </c>
    </row>
    <row r="483" spans="1:18">
      <c r="A483" s="12" t="s">
        <v>616</v>
      </c>
      <c r="B483" s="2">
        <v>4</v>
      </c>
      <c r="C483" s="13" t="s">
        <v>27</v>
      </c>
      <c r="D483" s="13" t="s">
        <v>28</v>
      </c>
      <c r="E483" s="4">
        <v>491932.6879</v>
      </c>
      <c r="F483" s="4">
        <v>3358830.5257</v>
      </c>
      <c r="G483" s="2">
        <v>26.8</v>
      </c>
      <c r="H483" s="13" t="s">
        <v>29</v>
      </c>
      <c r="I483" s="13" cm="1">
        <f t="array" ref="I483">各流量段建筑物坡比(B483,D483)</f>
        <v>6000</v>
      </c>
      <c r="J483" s="14">
        <f t="shared" si="7"/>
        <v>0</v>
      </c>
      <c r="K483" s="2">
        <v>5.4</v>
      </c>
    </row>
    <row r="484" spans="1:18">
      <c r="A484" s="15" t="s">
        <v>617</v>
      </c>
      <c r="B484" s="2">
        <v>4</v>
      </c>
      <c r="C484" s="2" t="s">
        <v>618</v>
      </c>
      <c r="D484" s="13" t="s">
        <v>35</v>
      </c>
      <c r="E484" s="4">
        <v>491970.8709</v>
      </c>
      <c r="F484" s="4">
        <v>3358810.2228</v>
      </c>
      <c r="G484" s="2">
        <v>26.8</v>
      </c>
      <c r="H484" s="13" t="s">
        <v>29</v>
      </c>
      <c r="I484" s="13" cm="1">
        <f t="array" ref="I484">各流量段建筑物坡比(B484,D484)</f>
        <v>5500</v>
      </c>
      <c r="J484" s="14" t="str">
        <f t="shared" si="7"/>
        <v/>
      </c>
      <c r="K484" s="2">
        <v>5.3</v>
      </c>
      <c r="R484" s="2">
        <v>180</v>
      </c>
    </row>
    <row r="485" spans="1:18">
      <c r="A485" s="12" t="s">
        <v>619</v>
      </c>
      <c r="B485" s="2">
        <v>4</v>
      </c>
      <c r="C485" s="2" t="s">
        <v>618</v>
      </c>
      <c r="D485" s="13" t="s">
        <v>35</v>
      </c>
      <c r="E485" s="4">
        <v>492492.2607</v>
      </c>
      <c r="F485" s="4">
        <v>3358532.9862</v>
      </c>
      <c r="G485" s="2">
        <v>26.8</v>
      </c>
      <c r="H485" s="13" t="s">
        <v>29</v>
      </c>
      <c r="I485" s="13" cm="1">
        <f t="array" ref="I485">各流量段建筑物坡比(B485,D485)</f>
        <v>5500</v>
      </c>
      <c r="J485" s="14" t="str">
        <f t="shared" si="7"/>
        <v/>
      </c>
      <c r="K485" s="2">
        <v>5.3</v>
      </c>
      <c r="R485" s="2">
        <v>180</v>
      </c>
    </row>
    <row r="486" spans="1:18">
      <c r="A486" s="15" t="s">
        <v>620</v>
      </c>
      <c r="B486" s="2">
        <v>4</v>
      </c>
      <c r="C486" s="2" t="s">
        <v>618</v>
      </c>
      <c r="D486" s="13" t="s">
        <v>35</v>
      </c>
      <c r="E486" s="4">
        <v>492669.1304</v>
      </c>
      <c r="F486" s="4">
        <v>3357920.368</v>
      </c>
      <c r="G486" s="2">
        <v>26.8</v>
      </c>
      <c r="H486" s="13" t="s">
        <v>29</v>
      </c>
      <c r="I486" s="13" cm="1">
        <f t="array" ref="I486">各流量段建筑物坡比(B486,D486)</f>
        <v>5500</v>
      </c>
      <c r="J486" s="14" t="str">
        <f t="shared" si="7"/>
        <v/>
      </c>
      <c r="K486" s="2">
        <v>5.3</v>
      </c>
      <c r="R486" s="2">
        <v>180</v>
      </c>
    </row>
    <row r="487" spans="1:18">
      <c r="A487" s="12" t="s">
        <v>621</v>
      </c>
      <c r="B487" s="2">
        <v>4</v>
      </c>
      <c r="C487" s="2" t="s">
        <v>618</v>
      </c>
      <c r="D487" s="13" t="s">
        <v>35</v>
      </c>
      <c r="E487" s="4">
        <v>492777.2356</v>
      </c>
      <c r="F487" s="4">
        <v>3357814.9557</v>
      </c>
      <c r="G487" s="2">
        <v>26.8</v>
      </c>
      <c r="H487" s="13" t="s">
        <v>29</v>
      </c>
      <c r="I487" s="13" cm="1">
        <f t="array" ref="I487">各流量段建筑物坡比(B487,D487)</f>
        <v>5500</v>
      </c>
      <c r="J487" s="14" t="str">
        <f t="shared" si="7"/>
        <v/>
      </c>
      <c r="K487" s="2">
        <v>5.3</v>
      </c>
      <c r="R487" s="2">
        <v>180</v>
      </c>
    </row>
    <row r="488" spans="1:18">
      <c r="A488" s="15" t="s">
        <v>622</v>
      </c>
      <c r="B488" s="2">
        <v>4</v>
      </c>
      <c r="C488" s="2" t="s">
        <v>623</v>
      </c>
      <c r="D488" s="16" t="s">
        <v>47</v>
      </c>
      <c r="E488" s="4">
        <v>492813.9858</v>
      </c>
      <c r="F488" s="4">
        <v>3357779.121</v>
      </c>
      <c r="G488" s="2">
        <v>26.8</v>
      </c>
      <c r="H488" s="13" t="s">
        <v>29</v>
      </c>
      <c r="I488" s="13" cm="1">
        <f t="array" ref="I488">各流量段建筑物坡比(B488,D488)</f>
        <v>3500</v>
      </c>
      <c r="J488" s="14" t="str">
        <f t="shared" si="7"/>
        <v/>
      </c>
      <c r="K488" s="2">
        <v>4.9</v>
      </c>
      <c r="O488" s="2">
        <v>0.79</v>
      </c>
    </row>
    <row r="489" spans="1:18">
      <c r="A489" s="12" t="s">
        <v>624</v>
      </c>
      <c r="B489" s="2">
        <v>4</v>
      </c>
      <c r="C489" s="2" t="s">
        <v>623</v>
      </c>
      <c r="D489" s="16" t="s">
        <v>47</v>
      </c>
      <c r="E489" s="4">
        <v>492906.8425</v>
      </c>
      <c r="F489" s="4">
        <v>3357688.5774</v>
      </c>
      <c r="G489" s="2">
        <v>26.8</v>
      </c>
      <c r="H489" s="13" t="s">
        <v>29</v>
      </c>
      <c r="I489" s="13" cm="1">
        <f t="array" ref="I489">各流量段建筑物坡比(B489,D489)</f>
        <v>3500</v>
      </c>
      <c r="J489" s="14" t="str">
        <f t="shared" si="7"/>
        <v/>
      </c>
      <c r="K489" s="2">
        <v>4.9</v>
      </c>
      <c r="O489" s="2">
        <v>0.79</v>
      </c>
    </row>
    <row r="490" spans="1:18">
      <c r="A490" s="15" t="s">
        <v>625</v>
      </c>
      <c r="B490" s="2">
        <v>4</v>
      </c>
      <c r="C490" s="2" t="s">
        <v>626</v>
      </c>
      <c r="D490" s="13" t="s">
        <v>35</v>
      </c>
      <c r="E490" s="4">
        <v>492924.0723</v>
      </c>
      <c r="F490" s="4">
        <v>3357671.7768</v>
      </c>
      <c r="G490" s="2">
        <v>26.8</v>
      </c>
      <c r="H490" s="13" t="s">
        <v>29</v>
      </c>
      <c r="I490" s="13" cm="1">
        <f t="array" ref="I490">各流量段建筑物坡比(B490,D490)</f>
        <v>5500</v>
      </c>
      <c r="J490" s="14" t="str">
        <f t="shared" si="7"/>
        <v/>
      </c>
      <c r="K490" s="2">
        <v>5.3</v>
      </c>
      <c r="R490" s="2">
        <v>180</v>
      </c>
    </row>
    <row r="491" spans="1:18">
      <c r="A491" s="12" t="s">
        <v>627</v>
      </c>
      <c r="B491" s="2">
        <v>4</v>
      </c>
      <c r="C491" s="2" t="s">
        <v>626</v>
      </c>
      <c r="D491" s="13" t="s">
        <v>35</v>
      </c>
      <c r="E491" s="4">
        <v>493002.0744</v>
      </c>
      <c r="F491" s="4">
        <v>3357595.7178</v>
      </c>
      <c r="G491" s="2">
        <v>26.8</v>
      </c>
      <c r="H491" s="13" t="s">
        <v>29</v>
      </c>
      <c r="I491" s="13" cm="1">
        <f t="array" ref="I491">各流量段建筑物坡比(B491,D491)</f>
        <v>5500</v>
      </c>
      <c r="J491" s="14" t="str">
        <f t="shared" si="7"/>
        <v/>
      </c>
      <c r="K491" s="2">
        <v>5.3</v>
      </c>
      <c r="R491" s="2">
        <v>180</v>
      </c>
    </row>
    <row r="492" spans="1:18">
      <c r="A492" s="15" t="s">
        <v>628</v>
      </c>
      <c r="B492" s="2">
        <v>4</v>
      </c>
      <c r="C492" s="2" t="s">
        <v>626</v>
      </c>
      <c r="D492" s="13" t="s">
        <v>35</v>
      </c>
      <c r="E492" s="4">
        <v>493321.6885</v>
      </c>
      <c r="F492" s="4">
        <v>3357033.0233</v>
      </c>
      <c r="G492" s="2">
        <v>26.8</v>
      </c>
      <c r="H492" s="13" t="s">
        <v>29</v>
      </c>
      <c r="I492" s="13" cm="1">
        <f t="array" ref="I492">各流量段建筑物坡比(B492,D492)</f>
        <v>5500</v>
      </c>
      <c r="J492" s="14" t="str">
        <f t="shared" si="7"/>
        <v/>
      </c>
      <c r="K492" s="2">
        <v>5.3</v>
      </c>
      <c r="R492" s="2">
        <v>180</v>
      </c>
    </row>
    <row r="493" spans="1:18">
      <c r="A493" s="12" t="s">
        <v>629</v>
      </c>
      <c r="B493" s="2">
        <v>4</v>
      </c>
      <c r="C493" s="2" t="s">
        <v>626</v>
      </c>
      <c r="D493" s="13" t="s">
        <v>35</v>
      </c>
      <c r="E493" s="4">
        <v>493413.579</v>
      </c>
      <c r="F493" s="4">
        <v>3356989.1976</v>
      </c>
      <c r="G493" s="2">
        <v>26.8</v>
      </c>
      <c r="H493" s="13" t="s">
        <v>29</v>
      </c>
      <c r="I493" s="13" cm="1">
        <f t="array" ref="I493">各流量段建筑物坡比(B493,D493)</f>
        <v>5500</v>
      </c>
      <c r="J493" s="14" t="str">
        <f t="shared" si="7"/>
        <v/>
      </c>
      <c r="K493" s="2">
        <v>5.3</v>
      </c>
      <c r="R493" s="2">
        <v>180</v>
      </c>
    </row>
    <row r="494" spans="1:18">
      <c r="A494" s="15" t="s">
        <v>630</v>
      </c>
      <c r="B494" s="2">
        <v>4</v>
      </c>
      <c r="C494" s="2" t="s">
        <v>631</v>
      </c>
      <c r="D494" s="2" t="s">
        <v>44</v>
      </c>
      <c r="E494" s="4">
        <v>493427.4476</v>
      </c>
      <c r="F494" s="4">
        <v>3356982.5832</v>
      </c>
      <c r="G494" s="2">
        <v>26.8</v>
      </c>
      <c r="H494" s="13" t="s">
        <v>29</v>
      </c>
      <c r="I494" s="13" t="str" cm="1">
        <f t="array" ref="I494">各流量段建筑物坡比(B494,D494)</f>
        <v/>
      </c>
      <c r="J494" s="14" t="str">
        <f t="shared" si="7"/>
        <v/>
      </c>
    </row>
    <row r="495" spans="1:18">
      <c r="A495" s="12" t="s">
        <v>632</v>
      </c>
      <c r="B495" s="2">
        <v>4</v>
      </c>
      <c r="C495" s="2" t="s">
        <v>631</v>
      </c>
      <c r="D495" s="2" t="s">
        <v>44</v>
      </c>
      <c r="E495" s="4">
        <v>493427.4476</v>
      </c>
      <c r="F495" s="4">
        <v>3356982.5832</v>
      </c>
      <c r="G495" s="2">
        <v>26.8</v>
      </c>
      <c r="H495" s="13" t="s">
        <v>29</v>
      </c>
      <c r="I495" s="13" t="str" cm="1">
        <f t="array" ref="I495">各流量段建筑物坡比(B495,D495)</f>
        <v/>
      </c>
      <c r="J495" s="14" t="str">
        <f t="shared" si="7"/>
        <v/>
      </c>
    </row>
    <row r="496" spans="1:18">
      <c r="A496" s="15" t="s">
        <v>633</v>
      </c>
      <c r="B496" s="2">
        <v>4</v>
      </c>
      <c r="C496" s="2" t="s">
        <v>631</v>
      </c>
      <c r="D496" s="16" t="s">
        <v>47</v>
      </c>
      <c r="E496" s="4">
        <v>493479.0034</v>
      </c>
      <c r="F496" s="4">
        <v>3356957.9945</v>
      </c>
      <c r="G496" s="2">
        <v>26.8</v>
      </c>
      <c r="H496" s="13" t="s">
        <v>29</v>
      </c>
      <c r="I496" s="13" cm="1">
        <f t="array" ref="I496">各流量段建筑物坡比(B496,D496)</f>
        <v>3500</v>
      </c>
      <c r="J496" s="14" t="str">
        <f t="shared" si="7"/>
        <v/>
      </c>
      <c r="K496" s="2">
        <v>4.9</v>
      </c>
      <c r="O496" s="2">
        <v>0.79</v>
      </c>
    </row>
    <row r="497" spans="1:18">
      <c r="A497" s="12" t="s">
        <v>634</v>
      </c>
      <c r="B497" s="2">
        <v>4</v>
      </c>
      <c r="C497" s="2" t="s">
        <v>631</v>
      </c>
      <c r="D497" s="16" t="s">
        <v>47</v>
      </c>
      <c r="E497" s="4">
        <v>493703.6309</v>
      </c>
      <c r="F497" s="4">
        <v>3356850.8621</v>
      </c>
      <c r="G497" s="2">
        <v>26.8</v>
      </c>
      <c r="H497" s="13" t="s">
        <v>29</v>
      </c>
      <c r="I497" s="13" cm="1">
        <f t="array" ref="I497">各流量段建筑物坡比(B497,D497)</f>
        <v>3500</v>
      </c>
      <c r="J497" s="14" t="str">
        <f t="shared" si="7"/>
        <v/>
      </c>
      <c r="K497" s="2">
        <v>4.9</v>
      </c>
      <c r="O497" s="2">
        <v>0.79</v>
      </c>
    </row>
    <row r="498" s="1" customFormat="1" spans="1:18">
      <c r="A498" s="15" t="s">
        <v>635</v>
      </c>
      <c r="B498" s="2">
        <v>4</v>
      </c>
      <c r="C498" s="1" t="s">
        <v>636</v>
      </c>
      <c r="D498" s="1" t="s">
        <v>271</v>
      </c>
      <c r="E498" s="18">
        <v>493740.2475</v>
      </c>
      <c r="F498" s="18">
        <v>3356833.3984</v>
      </c>
      <c r="G498" s="2">
        <v>26.8</v>
      </c>
      <c r="H498" s="19" t="s">
        <v>29</v>
      </c>
      <c r="I498" s="13" t="str" cm="1">
        <f t="array" ref="I498">各流量段建筑物坡比(B498,D498)</f>
        <v/>
      </c>
      <c r="J498" s="14" t="str">
        <f t="shared" si="7"/>
        <v/>
      </c>
    </row>
    <row r="499" spans="1:18">
      <c r="A499" s="12" t="s">
        <v>637</v>
      </c>
      <c r="B499" s="2">
        <v>5</v>
      </c>
      <c r="C499" s="13" t="s">
        <v>27</v>
      </c>
      <c r="D499" s="13" t="s">
        <v>28</v>
      </c>
      <c r="E499" s="4">
        <v>493773.7394</v>
      </c>
      <c r="F499" s="4">
        <v>3356817.4251</v>
      </c>
      <c r="G499" s="2">
        <v>26.1</v>
      </c>
      <c r="H499" s="13" t="s">
        <v>29</v>
      </c>
      <c r="I499" s="13" cm="1">
        <f t="array" ref="I499">各流量段建筑物坡比(B499,D499)</f>
        <v>6000</v>
      </c>
      <c r="J499" s="14">
        <f t="shared" si="7"/>
        <v>0</v>
      </c>
      <c r="K499" s="2">
        <v>5.3</v>
      </c>
    </row>
    <row r="500" spans="1:18">
      <c r="A500" s="15" t="s">
        <v>638</v>
      </c>
      <c r="B500" s="2">
        <v>5</v>
      </c>
      <c r="C500" s="2" t="s">
        <v>639</v>
      </c>
      <c r="D500" s="13" t="s">
        <v>35</v>
      </c>
      <c r="E500" s="4">
        <v>493804.1891</v>
      </c>
      <c r="F500" s="4">
        <v>3356775.6455</v>
      </c>
      <c r="G500" s="2">
        <v>26.1</v>
      </c>
      <c r="H500" s="13" t="s">
        <v>29</v>
      </c>
      <c r="I500" s="13" cm="1">
        <f t="array" ref="I500">各流量段建筑物坡比(B500,D500)</f>
        <v>5500</v>
      </c>
      <c r="J500" s="14" t="str">
        <f t="shared" si="7"/>
        <v/>
      </c>
      <c r="K500" s="2">
        <v>5.2</v>
      </c>
      <c r="R500" s="2">
        <v>180</v>
      </c>
    </row>
    <row r="501" spans="1:18">
      <c r="A501" s="12" t="s">
        <v>640</v>
      </c>
      <c r="B501" s="2">
        <v>5</v>
      </c>
      <c r="C501" s="2" t="s">
        <v>639</v>
      </c>
      <c r="D501" s="13" t="s">
        <v>35</v>
      </c>
      <c r="E501" s="4">
        <v>494329.072</v>
      </c>
      <c r="F501" s="4">
        <v>3356055.4599</v>
      </c>
      <c r="G501" s="2">
        <v>26.1</v>
      </c>
      <c r="H501" s="13" t="s">
        <v>29</v>
      </c>
      <c r="I501" s="13" cm="1">
        <f t="array" ref="I501">各流量段建筑物坡比(B501,D501)</f>
        <v>5500</v>
      </c>
      <c r="J501" s="14" t="str">
        <f t="shared" si="7"/>
        <v/>
      </c>
      <c r="K501" s="2">
        <v>5.2</v>
      </c>
      <c r="R501" s="2">
        <v>180</v>
      </c>
    </row>
    <row r="502" spans="1:18">
      <c r="A502" s="15" t="s">
        <v>641</v>
      </c>
      <c r="B502" s="2">
        <v>5</v>
      </c>
      <c r="C502" s="2" t="s">
        <v>639</v>
      </c>
      <c r="D502" s="13" t="s">
        <v>35</v>
      </c>
      <c r="E502" s="4">
        <v>494484.4948</v>
      </c>
      <c r="F502" s="4">
        <v>3355769.1619</v>
      </c>
      <c r="G502" s="2">
        <v>26.1</v>
      </c>
      <c r="H502" s="13" t="s">
        <v>29</v>
      </c>
      <c r="I502" s="13" cm="1">
        <f t="array" ref="I502">各流量段建筑物坡比(B502,D502)</f>
        <v>5500</v>
      </c>
      <c r="J502" s="14" t="str">
        <f t="shared" si="7"/>
        <v/>
      </c>
      <c r="K502" s="2">
        <v>5.2</v>
      </c>
      <c r="R502" s="2">
        <v>180</v>
      </c>
    </row>
    <row r="503" spans="1:18">
      <c r="A503" s="12" t="s">
        <v>642</v>
      </c>
      <c r="B503" s="2">
        <v>5</v>
      </c>
      <c r="C503" s="13" t="s">
        <v>27</v>
      </c>
      <c r="D503" s="13" t="s">
        <v>28</v>
      </c>
      <c r="E503" s="4">
        <v>494564.3455</v>
      </c>
      <c r="F503" s="4">
        <v>3355622.0722</v>
      </c>
      <c r="G503" s="2">
        <v>26.1</v>
      </c>
      <c r="H503" s="13" t="s">
        <v>29</v>
      </c>
      <c r="I503" s="13" cm="1">
        <f t="array" ref="I503">各流量段建筑物坡比(B503,D503)</f>
        <v>6000</v>
      </c>
      <c r="J503" s="14">
        <f t="shared" si="7"/>
        <v>0</v>
      </c>
      <c r="K503" s="2">
        <v>5.3</v>
      </c>
    </row>
    <row r="504" spans="1:18">
      <c r="A504" s="15" t="s">
        <v>643</v>
      </c>
      <c r="B504" s="2">
        <v>5</v>
      </c>
      <c r="C504" s="2" t="s">
        <v>644</v>
      </c>
      <c r="D504" s="13" t="s">
        <v>35</v>
      </c>
      <c r="E504" s="4">
        <v>494580.5212</v>
      </c>
      <c r="F504" s="4">
        <v>3355590.403</v>
      </c>
      <c r="G504" s="2">
        <v>26.1</v>
      </c>
      <c r="H504" s="13" t="s">
        <v>29</v>
      </c>
      <c r="I504" s="13" cm="1">
        <f t="array" ref="I504">各流量段建筑物坡比(B504,D504)</f>
        <v>5500</v>
      </c>
      <c r="J504" s="14" t="str">
        <f t="shared" si="7"/>
        <v/>
      </c>
      <c r="K504" s="2">
        <v>5.2</v>
      </c>
      <c r="R504" s="2">
        <v>180</v>
      </c>
    </row>
    <row r="505" spans="1:18">
      <c r="A505" s="12" t="s">
        <v>645</v>
      </c>
      <c r="B505" s="2">
        <v>5</v>
      </c>
      <c r="C505" s="2" t="s">
        <v>644</v>
      </c>
      <c r="D505" s="13" t="s">
        <v>35</v>
      </c>
      <c r="E505" s="4">
        <v>494631.7212</v>
      </c>
      <c r="F505" s="4">
        <v>3355490.1625</v>
      </c>
      <c r="G505" s="2">
        <v>26.1</v>
      </c>
      <c r="H505" s="13" t="s">
        <v>29</v>
      </c>
      <c r="I505" s="13" cm="1">
        <f t="array" ref="I505">各流量段建筑物坡比(B505,D505)</f>
        <v>5500</v>
      </c>
      <c r="J505" s="14" t="str">
        <f t="shared" si="7"/>
        <v/>
      </c>
      <c r="K505" s="2">
        <v>5.2</v>
      </c>
      <c r="R505" s="2">
        <v>180</v>
      </c>
    </row>
    <row r="506" spans="1:18">
      <c r="A506" s="15" t="s">
        <v>646</v>
      </c>
      <c r="B506" s="2">
        <v>5</v>
      </c>
      <c r="C506" s="2" t="s">
        <v>647</v>
      </c>
      <c r="D506" s="16" t="s">
        <v>47</v>
      </c>
      <c r="E506" s="4">
        <v>494649.1271</v>
      </c>
      <c r="F506" s="4">
        <v>3355456.085</v>
      </c>
      <c r="G506" s="2">
        <v>26.1</v>
      </c>
      <c r="H506" s="13" t="s">
        <v>29</v>
      </c>
      <c r="I506" s="13" cm="1">
        <f t="array" ref="I506">各流量段建筑物坡比(B506,D506)</f>
        <v>3500</v>
      </c>
      <c r="J506" s="14" t="str">
        <f t="shared" si="7"/>
        <v/>
      </c>
      <c r="K506" s="2">
        <v>4.9</v>
      </c>
      <c r="O506" s="2">
        <v>0.78</v>
      </c>
    </row>
    <row r="507" spans="1:18">
      <c r="A507" s="12" t="s">
        <v>648</v>
      </c>
      <c r="B507" s="2">
        <v>5</v>
      </c>
      <c r="C507" s="2" t="s">
        <v>647</v>
      </c>
      <c r="D507" s="16" t="s">
        <v>47</v>
      </c>
      <c r="E507" s="4">
        <v>494686.1859</v>
      </c>
      <c r="F507" s="4">
        <v>3355383.5304</v>
      </c>
      <c r="G507" s="2">
        <v>26.1</v>
      </c>
      <c r="H507" s="13" t="s">
        <v>29</v>
      </c>
      <c r="I507" s="13" cm="1">
        <f t="array" ref="I507">各流量段建筑物坡比(B507,D507)</f>
        <v>3500</v>
      </c>
      <c r="J507" s="14" t="str">
        <f t="shared" si="7"/>
        <v/>
      </c>
      <c r="K507" s="2">
        <v>4.9</v>
      </c>
      <c r="O507" s="2">
        <v>0.78</v>
      </c>
    </row>
    <row r="508" spans="1:18">
      <c r="A508" s="15" t="s">
        <v>649</v>
      </c>
      <c r="B508" s="2">
        <v>5</v>
      </c>
      <c r="C508" s="2" t="s">
        <v>647</v>
      </c>
      <c r="D508" s="16" t="s">
        <v>47</v>
      </c>
      <c r="E508" s="4">
        <v>494698.9884</v>
      </c>
      <c r="F508" s="4">
        <v>3355209.5718</v>
      </c>
      <c r="G508" s="2">
        <v>26.1</v>
      </c>
      <c r="H508" s="13" t="s">
        <v>29</v>
      </c>
      <c r="I508" s="13" cm="1">
        <f t="array" ref="I508">各流量段建筑物坡比(B508,D508)</f>
        <v>3500</v>
      </c>
      <c r="J508" s="14" t="str">
        <f t="shared" si="7"/>
        <v/>
      </c>
      <c r="K508" s="2">
        <v>4.9</v>
      </c>
      <c r="O508" s="2">
        <v>0.78</v>
      </c>
    </row>
    <row r="509" spans="1:18">
      <c r="A509" s="12" t="s">
        <v>650</v>
      </c>
      <c r="B509" s="2">
        <v>5</v>
      </c>
      <c r="C509" s="2" t="s">
        <v>647</v>
      </c>
      <c r="D509" s="16" t="s">
        <v>47</v>
      </c>
      <c r="E509" s="4">
        <v>494740.6174</v>
      </c>
      <c r="F509" s="4">
        <v>3355144.1052</v>
      </c>
      <c r="G509" s="2">
        <v>26.1</v>
      </c>
      <c r="H509" s="13" t="s">
        <v>29</v>
      </c>
      <c r="I509" s="13" cm="1">
        <f t="array" ref="I509">各流量段建筑物坡比(B509,D509)</f>
        <v>3500</v>
      </c>
      <c r="J509" s="14" t="str">
        <f t="shared" si="7"/>
        <v/>
      </c>
      <c r="K509" s="2">
        <v>4.9</v>
      </c>
      <c r="O509" s="2">
        <v>0.78</v>
      </c>
    </row>
    <row r="510" spans="1:18">
      <c r="A510" s="15" t="s">
        <v>651</v>
      </c>
      <c r="B510" s="2">
        <v>5</v>
      </c>
      <c r="C510" s="2" t="s">
        <v>647</v>
      </c>
      <c r="D510" s="16" t="s">
        <v>47</v>
      </c>
      <c r="E510" s="4">
        <v>494783.9463</v>
      </c>
      <c r="F510" s="4">
        <v>3355127.8774</v>
      </c>
      <c r="G510" s="2">
        <v>26.1</v>
      </c>
      <c r="H510" s="13" t="s">
        <v>29</v>
      </c>
      <c r="I510" s="13" cm="1">
        <f t="array" ref="I510">各流量段建筑物坡比(B510,D510)</f>
        <v>3500</v>
      </c>
      <c r="J510" s="14" t="str">
        <f t="shared" si="7"/>
        <v/>
      </c>
      <c r="K510" s="2">
        <v>4.9</v>
      </c>
      <c r="O510" s="2">
        <v>0.78</v>
      </c>
    </row>
    <row r="511" spans="1:18">
      <c r="A511" s="12" t="s">
        <v>652</v>
      </c>
      <c r="B511" s="2">
        <v>5</v>
      </c>
      <c r="C511" s="13" t="s">
        <v>27</v>
      </c>
      <c r="D511" s="13" t="s">
        <v>28</v>
      </c>
      <c r="E511" s="4">
        <v>494818.8687</v>
      </c>
      <c r="F511" s="4">
        <v>3355114.7981</v>
      </c>
      <c r="G511" s="2">
        <v>26.1</v>
      </c>
      <c r="H511" s="13" t="s">
        <v>29</v>
      </c>
      <c r="I511" s="13" cm="1">
        <f t="array" ref="I511">各流量段建筑物坡比(B511,D511)</f>
        <v>6000</v>
      </c>
      <c r="J511" s="14">
        <f t="shared" si="7"/>
        <v>0</v>
      </c>
      <c r="K511" s="2">
        <v>5.3</v>
      </c>
    </row>
    <row r="512" spans="1:18">
      <c r="A512" s="15" t="s">
        <v>653</v>
      </c>
      <c r="B512" s="2">
        <v>5</v>
      </c>
      <c r="C512" s="13" t="s">
        <v>27</v>
      </c>
      <c r="D512" s="13" t="s">
        <v>28</v>
      </c>
      <c r="E512" s="4">
        <v>494861.8464</v>
      </c>
      <c r="F512" s="4">
        <v>3355030.7897</v>
      </c>
      <c r="G512" s="2">
        <v>26.1</v>
      </c>
      <c r="H512" s="13" t="s">
        <v>29</v>
      </c>
      <c r="I512" s="13" cm="1">
        <f t="array" ref="I512">各流量段建筑物坡比(B512,D512)</f>
        <v>6000</v>
      </c>
      <c r="J512" s="14">
        <f t="shared" si="7"/>
        <v>0</v>
      </c>
      <c r="K512" s="2">
        <v>5.3</v>
      </c>
    </row>
    <row r="513" spans="1:18">
      <c r="A513" s="12" t="s">
        <v>654</v>
      </c>
      <c r="B513" s="2">
        <v>5</v>
      </c>
      <c r="C513" s="2" t="s">
        <v>655</v>
      </c>
      <c r="D513" s="16" t="s">
        <v>47</v>
      </c>
      <c r="E513" s="4">
        <v>494866.5405</v>
      </c>
      <c r="F513" s="4">
        <v>3355006.6229</v>
      </c>
      <c r="G513" s="2">
        <v>26.1</v>
      </c>
      <c r="H513" s="13" t="s">
        <v>29</v>
      </c>
      <c r="I513" s="13" cm="1">
        <f t="array" ref="I513">各流量段建筑物坡比(B513,D513)</f>
        <v>3500</v>
      </c>
      <c r="J513" s="14" t="str">
        <f t="shared" si="7"/>
        <v/>
      </c>
      <c r="K513" s="2">
        <v>4.9</v>
      </c>
      <c r="O513" s="2">
        <v>0.78</v>
      </c>
    </row>
    <row r="514" spans="1:18">
      <c r="A514" s="15" t="s">
        <v>656</v>
      </c>
      <c r="B514" s="2">
        <v>5</v>
      </c>
      <c r="C514" s="2" t="s">
        <v>655</v>
      </c>
      <c r="D514" s="16" t="s">
        <v>47</v>
      </c>
      <c r="E514" s="4">
        <v>494955.7773</v>
      </c>
      <c r="F514" s="4">
        <v>3354547.2093</v>
      </c>
      <c r="G514" s="2">
        <v>26.1</v>
      </c>
      <c r="H514" s="13" t="s">
        <v>29</v>
      </c>
      <c r="I514" s="13" cm="1">
        <f t="array" ref="I514">各流量段建筑物坡比(B514,D514)</f>
        <v>3500</v>
      </c>
      <c r="J514" s="14" t="str">
        <f t="shared" si="7"/>
        <v/>
      </c>
      <c r="K514" s="2">
        <v>4.9</v>
      </c>
      <c r="O514" s="2">
        <v>0.78</v>
      </c>
    </row>
    <row r="515" spans="1:18">
      <c r="A515" s="12" t="s">
        <v>657</v>
      </c>
      <c r="B515" s="2">
        <v>5</v>
      </c>
      <c r="C515" s="13" t="s">
        <v>27</v>
      </c>
      <c r="D515" s="13" t="s">
        <v>28</v>
      </c>
      <c r="E515" s="4">
        <v>494960.4596</v>
      </c>
      <c r="F515" s="4">
        <v>3354523.1037</v>
      </c>
      <c r="G515" s="2">
        <v>26.1</v>
      </c>
      <c r="H515" s="13" t="s">
        <v>29</v>
      </c>
      <c r="I515" s="13" cm="1">
        <f t="array" ref="I515">各流量段建筑物坡比(B515,D515)</f>
        <v>6000</v>
      </c>
      <c r="J515" s="14">
        <f t="shared" si="7"/>
        <v>0</v>
      </c>
      <c r="K515" s="2">
        <v>5.3</v>
      </c>
    </row>
    <row r="516" spans="1:18">
      <c r="A516" s="15" t="s">
        <v>658</v>
      </c>
      <c r="B516" s="2">
        <v>5</v>
      </c>
      <c r="C516" s="13" t="s">
        <v>27</v>
      </c>
      <c r="D516" s="13" t="s">
        <v>28</v>
      </c>
      <c r="E516" s="4">
        <v>495083.2084</v>
      </c>
      <c r="F516" s="4">
        <v>3354451.7867</v>
      </c>
      <c r="G516" s="2">
        <v>26.1</v>
      </c>
      <c r="H516" s="13" t="s">
        <v>29</v>
      </c>
      <c r="I516" s="13" cm="1">
        <f t="array" ref="I516">各流量段建筑物坡比(B516,D516)</f>
        <v>6000</v>
      </c>
      <c r="J516" s="14">
        <f t="shared" ref="J516:J579" si="8">IF(C516="-",IF(ISNUMBER(SEARCH("矩形",D516)),0,IF(ISNUMBER(SEARCH("梯形",D516)),1.5,"")),"")</f>
        <v>0</v>
      </c>
      <c r="K516" s="2">
        <v>5.3</v>
      </c>
    </row>
    <row r="517" spans="1:18">
      <c r="A517" s="12" t="s">
        <v>659</v>
      </c>
      <c r="B517" s="2">
        <v>5</v>
      </c>
      <c r="C517" s="13" t="s">
        <v>27</v>
      </c>
      <c r="D517" s="13" t="s">
        <v>28</v>
      </c>
      <c r="E517" s="4">
        <v>495117.9434</v>
      </c>
      <c r="F517" s="4">
        <v>3354405.9553</v>
      </c>
      <c r="G517" s="2">
        <v>26.1</v>
      </c>
      <c r="H517" s="13" t="s">
        <v>29</v>
      </c>
      <c r="I517" s="13" cm="1">
        <f t="array" ref="I517">各流量段建筑物坡比(B517,D517)</f>
        <v>6000</v>
      </c>
      <c r="J517" s="14">
        <f t="shared" si="8"/>
        <v>0</v>
      </c>
      <c r="K517" s="2">
        <v>5.3</v>
      </c>
    </row>
    <row r="518" spans="1:18">
      <c r="A518" s="15" t="s">
        <v>660</v>
      </c>
      <c r="B518" s="2">
        <v>5</v>
      </c>
      <c r="C518" s="13" t="s">
        <v>27</v>
      </c>
      <c r="D518" s="13" t="s">
        <v>28</v>
      </c>
      <c r="E518" s="4">
        <v>495107.2317</v>
      </c>
      <c r="F518" s="4">
        <v>3354356.1268</v>
      </c>
      <c r="G518" s="2">
        <v>26.1</v>
      </c>
      <c r="H518" s="13" t="s">
        <v>29</v>
      </c>
      <c r="I518" s="13" cm="1">
        <f t="array" ref="I518">各流量段建筑物坡比(B518,D518)</f>
        <v>6000</v>
      </c>
      <c r="J518" s="14">
        <f t="shared" si="8"/>
        <v>0</v>
      </c>
      <c r="K518" s="2">
        <v>5.3</v>
      </c>
    </row>
    <row r="519" spans="1:18">
      <c r="A519" s="12" t="s">
        <v>661</v>
      </c>
      <c r="B519" s="2">
        <v>5</v>
      </c>
      <c r="C519" s="13" t="s">
        <v>27</v>
      </c>
      <c r="D519" s="13" t="s">
        <v>28</v>
      </c>
      <c r="E519" s="4">
        <v>495008.3014</v>
      </c>
      <c r="F519" s="4">
        <v>3354257.3882</v>
      </c>
      <c r="G519" s="2">
        <v>26.1</v>
      </c>
      <c r="H519" s="13" t="s">
        <v>29</v>
      </c>
      <c r="I519" s="13" cm="1">
        <f t="array" ref="I519">各流量段建筑物坡比(B519,D519)</f>
        <v>6000</v>
      </c>
      <c r="J519" s="14">
        <f t="shared" si="8"/>
        <v>0</v>
      </c>
      <c r="K519" s="2">
        <v>5.3</v>
      </c>
    </row>
    <row r="520" spans="1:18">
      <c r="A520" s="15" t="s">
        <v>662</v>
      </c>
      <c r="B520" s="2">
        <v>5</v>
      </c>
      <c r="C520" s="13" t="s">
        <v>27</v>
      </c>
      <c r="D520" s="13" t="s">
        <v>28</v>
      </c>
      <c r="E520" s="4">
        <v>494962.5959</v>
      </c>
      <c r="F520" s="4">
        <v>3354164.561</v>
      </c>
      <c r="G520" s="2">
        <v>26.1</v>
      </c>
      <c r="H520" s="13" t="s">
        <v>29</v>
      </c>
      <c r="I520" s="13" cm="1">
        <f t="array" ref="I520">各流量段建筑物坡比(B520,D520)</f>
        <v>6000</v>
      </c>
      <c r="J520" s="14">
        <f t="shared" si="8"/>
        <v>0</v>
      </c>
      <c r="K520" s="2">
        <v>5.3</v>
      </c>
    </row>
    <row r="521" spans="1:18">
      <c r="A521" s="12" t="s">
        <v>663</v>
      </c>
      <c r="B521" s="2">
        <v>5</v>
      </c>
      <c r="C521" s="13" t="s">
        <v>27</v>
      </c>
      <c r="D521" s="13" t="s">
        <v>28</v>
      </c>
      <c r="E521" s="4">
        <v>494949.5538</v>
      </c>
      <c r="F521" s="4">
        <v>3354039.6546</v>
      </c>
      <c r="G521" s="2">
        <v>26.1</v>
      </c>
      <c r="H521" s="13" t="s">
        <v>29</v>
      </c>
      <c r="I521" s="13" cm="1">
        <f t="array" ref="I521">各流量段建筑物坡比(B521,D521)</f>
        <v>6000</v>
      </c>
      <c r="J521" s="14">
        <f t="shared" si="8"/>
        <v>0</v>
      </c>
      <c r="K521" s="2">
        <v>5.3</v>
      </c>
    </row>
    <row r="522" spans="1:18">
      <c r="A522" s="15" t="s">
        <v>664</v>
      </c>
      <c r="B522" s="2">
        <v>5</v>
      </c>
      <c r="C522" s="13" t="s">
        <v>27</v>
      </c>
      <c r="D522" s="13" t="s">
        <v>28</v>
      </c>
      <c r="E522" s="4">
        <v>494866.6922</v>
      </c>
      <c r="F522" s="4">
        <v>3353957.1534</v>
      </c>
      <c r="G522" s="2">
        <v>26.1</v>
      </c>
      <c r="H522" s="13" t="s">
        <v>29</v>
      </c>
      <c r="I522" s="13" cm="1">
        <f t="array" ref="I522">各流量段建筑物坡比(B522,D522)</f>
        <v>6000</v>
      </c>
      <c r="J522" s="14">
        <f t="shared" si="8"/>
        <v>0</v>
      </c>
      <c r="K522" s="2">
        <v>5.3</v>
      </c>
    </row>
    <row r="523" spans="1:18">
      <c r="A523" s="12" t="s">
        <v>665</v>
      </c>
      <c r="B523" s="2">
        <v>5</v>
      </c>
      <c r="C523" s="13" t="s">
        <v>27</v>
      </c>
      <c r="D523" s="13" t="s">
        <v>28</v>
      </c>
      <c r="E523" s="4">
        <v>494843.4564</v>
      </c>
      <c r="F523" s="4">
        <v>3353866.4724</v>
      </c>
      <c r="G523" s="2">
        <v>26.1</v>
      </c>
      <c r="H523" s="13" t="s">
        <v>29</v>
      </c>
      <c r="I523" s="13" cm="1">
        <f t="array" ref="I523">各流量段建筑物坡比(B523,D523)</f>
        <v>6000</v>
      </c>
      <c r="J523" s="14">
        <f t="shared" si="8"/>
        <v>0</v>
      </c>
      <c r="K523" s="2">
        <v>5.3</v>
      </c>
    </row>
    <row r="524" spans="1:18">
      <c r="A524" s="15" t="s">
        <v>666</v>
      </c>
      <c r="B524" s="2">
        <v>5</v>
      </c>
      <c r="C524" s="13" t="s">
        <v>27</v>
      </c>
      <c r="D524" s="13" t="s">
        <v>28</v>
      </c>
      <c r="E524" s="4">
        <v>494750.2629</v>
      </c>
      <c r="F524" s="4">
        <v>3353796.45</v>
      </c>
      <c r="G524" s="2">
        <v>26.1</v>
      </c>
      <c r="H524" s="13" t="s">
        <v>29</v>
      </c>
      <c r="I524" s="13" cm="1">
        <f t="array" ref="I524">各流量段建筑物坡比(B524,D524)</f>
        <v>6000</v>
      </c>
      <c r="J524" s="14">
        <f t="shared" si="8"/>
        <v>0</v>
      </c>
      <c r="K524" s="2">
        <v>5.3</v>
      </c>
    </row>
    <row r="525" spans="1:18">
      <c r="A525" s="12" t="s">
        <v>667</v>
      </c>
      <c r="B525" s="2">
        <v>5</v>
      </c>
      <c r="C525" s="13" t="s">
        <v>27</v>
      </c>
      <c r="D525" s="13" t="s">
        <v>28</v>
      </c>
      <c r="E525" s="4">
        <v>494763.1427</v>
      </c>
      <c r="F525" s="4">
        <v>3353670.1782</v>
      </c>
      <c r="G525" s="2">
        <v>26.1</v>
      </c>
      <c r="H525" s="13" t="s">
        <v>29</v>
      </c>
      <c r="I525" s="13" cm="1">
        <f t="array" ref="I525">各流量段建筑物坡比(B525,D525)</f>
        <v>6000</v>
      </c>
      <c r="J525" s="14">
        <f t="shared" si="8"/>
        <v>0</v>
      </c>
      <c r="K525" s="2">
        <v>5.3</v>
      </c>
    </row>
    <row r="526" spans="1:18">
      <c r="A526" s="15" t="s">
        <v>668</v>
      </c>
      <c r="B526" s="2">
        <v>5</v>
      </c>
      <c r="C526" s="13" t="s">
        <v>27</v>
      </c>
      <c r="D526" s="13" t="s">
        <v>28</v>
      </c>
      <c r="E526" s="4">
        <v>494724.5715</v>
      </c>
      <c r="F526" s="4">
        <v>3353631.0611</v>
      </c>
      <c r="G526" s="2">
        <v>26.1</v>
      </c>
      <c r="H526" s="13" t="s">
        <v>29</v>
      </c>
      <c r="I526" s="13" cm="1">
        <f t="array" ref="I526">各流量段建筑物坡比(B526,D526)</f>
        <v>6000</v>
      </c>
      <c r="J526" s="14">
        <f t="shared" si="8"/>
        <v>0</v>
      </c>
      <c r="K526" s="2">
        <v>5.3</v>
      </c>
    </row>
    <row r="527" spans="1:18">
      <c r="A527" s="12" t="s">
        <v>669</v>
      </c>
      <c r="B527" s="2">
        <v>5</v>
      </c>
      <c r="C527" s="13" t="s">
        <v>27</v>
      </c>
      <c r="D527" s="13" t="s">
        <v>28</v>
      </c>
      <c r="E527" s="4">
        <v>494702.6509</v>
      </c>
      <c r="F527" s="4">
        <v>3353557.5079</v>
      </c>
      <c r="G527" s="2">
        <v>26.1</v>
      </c>
      <c r="H527" s="13" t="s">
        <v>29</v>
      </c>
      <c r="I527" s="13" cm="1">
        <f t="array" ref="I527">各流量段建筑物坡比(B527,D527)</f>
        <v>6000</v>
      </c>
      <c r="J527" s="14">
        <f t="shared" si="8"/>
        <v>0</v>
      </c>
      <c r="K527" s="2">
        <v>5.3</v>
      </c>
    </row>
    <row r="528" spans="1:18">
      <c r="A528" s="15" t="s">
        <v>670</v>
      </c>
      <c r="B528" s="2">
        <v>5</v>
      </c>
      <c r="C528" s="2" t="s">
        <v>671</v>
      </c>
      <c r="D528" s="13" t="s">
        <v>35</v>
      </c>
      <c r="E528" s="4">
        <v>494671.6602</v>
      </c>
      <c r="F528" s="4">
        <v>3353537.3457</v>
      </c>
      <c r="G528" s="2">
        <v>26.1</v>
      </c>
      <c r="H528" s="13" t="s">
        <v>29</v>
      </c>
      <c r="I528" s="13" cm="1">
        <f t="array" ref="I528">各流量段建筑物坡比(B528,D528)</f>
        <v>5500</v>
      </c>
      <c r="J528" s="14" t="str">
        <f t="shared" si="8"/>
        <v/>
      </c>
      <c r="K528" s="2">
        <v>5.2</v>
      </c>
      <c r="R528" s="2">
        <v>180</v>
      </c>
    </row>
    <row r="529" spans="1:18">
      <c r="A529" s="12" t="s">
        <v>672</v>
      </c>
      <c r="B529" s="2">
        <v>5</v>
      </c>
      <c r="C529" s="2" t="s">
        <v>671</v>
      </c>
      <c r="D529" s="13" t="s">
        <v>35</v>
      </c>
      <c r="E529" s="4">
        <v>494514.0753</v>
      </c>
      <c r="F529" s="4">
        <v>3353434.8225</v>
      </c>
      <c r="G529" s="2">
        <v>26.1</v>
      </c>
      <c r="H529" s="13" t="s">
        <v>29</v>
      </c>
      <c r="I529" s="13" cm="1">
        <f t="array" ref="I529">各流量段建筑物坡比(B529,D529)</f>
        <v>5500</v>
      </c>
      <c r="J529" s="14" t="str">
        <f t="shared" si="8"/>
        <v/>
      </c>
      <c r="K529" s="2">
        <v>5.2</v>
      </c>
      <c r="R529" s="2">
        <v>180</v>
      </c>
    </row>
    <row r="530" spans="1:18">
      <c r="A530" s="15" t="s">
        <v>673</v>
      </c>
      <c r="B530" s="2">
        <v>5</v>
      </c>
      <c r="C530" s="13" t="s">
        <v>27</v>
      </c>
      <c r="D530" s="13" t="s">
        <v>28</v>
      </c>
      <c r="E530" s="4">
        <v>494489.6742</v>
      </c>
      <c r="F530" s="4">
        <v>3353418.9474</v>
      </c>
      <c r="G530" s="2">
        <v>26.1</v>
      </c>
      <c r="H530" s="13" t="s">
        <v>29</v>
      </c>
      <c r="I530" s="13" cm="1">
        <f t="array" ref="I530">各流量段建筑物坡比(B530,D530)</f>
        <v>6000</v>
      </c>
      <c r="J530" s="14">
        <f t="shared" si="8"/>
        <v>0</v>
      </c>
      <c r="K530" s="2">
        <v>5.3</v>
      </c>
    </row>
    <row r="531" spans="1:18">
      <c r="A531" s="12" t="s">
        <v>674</v>
      </c>
      <c r="B531" s="2">
        <v>5</v>
      </c>
      <c r="C531" s="13" t="s">
        <v>27</v>
      </c>
      <c r="D531" s="13" t="s">
        <v>28</v>
      </c>
      <c r="E531" s="4">
        <v>494460.2561</v>
      </c>
      <c r="F531" s="4">
        <v>3353303.4039</v>
      </c>
      <c r="G531" s="2">
        <v>26.1</v>
      </c>
      <c r="H531" s="13" t="s">
        <v>29</v>
      </c>
      <c r="I531" s="13" cm="1">
        <f t="array" ref="I531">各流量段建筑物坡比(B531,D531)</f>
        <v>6000</v>
      </c>
      <c r="J531" s="14">
        <f t="shared" si="8"/>
        <v>0</v>
      </c>
      <c r="K531" s="2">
        <v>5.3</v>
      </c>
    </row>
    <row r="532" spans="1:18">
      <c r="A532" s="15" t="s">
        <v>675</v>
      </c>
      <c r="B532" s="2">
        <v>5</v>
      </c>
      <c r="C532" s="2" t="s">
        <v>676</v>
      </c>
      <c r="D532" s="13" t="s">
        <v>35</v>
      </c>
      <c r="E532" s="4">
        <v>494373.5678</v>
      </c>
      <c r="F532" s="4">
        <v>3353252.5808</v>
      </c>
      <c r="G532" s="2">
        <v>26.1</v>
      </c>
      <c r="H532" s="13" t="s">
        <v>29</v>
      </c>
      <c r="I532" s="13" cm="1">
        <f t="array" ref="I532">各流量段建筑物坡比(B532,D532)</f>
        <v>5500</v>
      </c>
      <c r="J532" s="14" t="str">
        <f t="shared" si="8"/>
        <v/>
      </c>
      <c r="K532" s="2">
        <v>5.2</v>
      </c>
      <c r="R532" s="2">
        <v>180</v>
      </c>
    </row>
    <row r="533" spans="1:18">
      <c r="A533" s="12" t="s">
        <v>677</v>
      </c>
      <c r="B533" s="2">
        <v>5</v>
      </c>
      <c r="C533" s="2" t="s">
        <v>678</v>
      </c>
      <c r="D533" s="13" t="s">
        <v>35</v>
      </c>
      <c r="E533" s="4">
        <v>494264.0084</v>
      </c>
      <c r="F533" s="4">
        <v>3353188.3489</v>
      </c>
      <c r="G533" s="2">
        <v>26.1</v>
      </c>
      <c r="H533" s="13" t="s">
        <v>29</v>
      </c>
      <c r="I533" s="13" cm="1">
        <f t="array" ref="I533">各流量段建筑物坡比(B533,D533)</f>
        <v>5500</v>
      </c>
      <c r="J533" s="14" t="str">
        <f t="shared" si="8"/>
        <v/>
      </c>
      <c r="K533" s="2">
        <v>5.2</v>
      </c>
      <c r="R533" s="2">
        <v>180</v>
      </c>
    </row>
    <row r="534" spans="1:18">
      <c r="A534" s="15" t="s">
        <v>679</v>
      </c>
      <c r="B534" s="2">
        <v>5</v>
      </c>
      <c r="C534" s="2" t="s">
        <v>680</v>
      </c>
      <c r="D534" s="16" t="s">
        <v>47</v>
      </c>
      <c r="E534" s="4">
        <v>494128.5688</v>
      </c>
      <c r="F534" s="4">
        <v>3353108.9441</v>
      </c>
      <c r="G534" s="2">
        <v>26.1</v>
      </c>
      <c r="H534" s="13" t="s">
        <v>29</v>
      </c>
      <c r="I534" s="13" cm="1">
        <f t="array" ref="I534">各流量段建筑物坡比(B534,D534)</f>
        <v>3500</v>
      </c>
      <c r="J534" s="14" t="str">
        <f t="shared" si="8"/>
        <v/>
      </c>
      <c r="K534" s="2">
        <v>4.9</v>
      </c>
      <c r="O534" s="2">
        <v>0.78</v>
      </c>
    </row>
    <row r="535" spans="1:18">
      <c r="A535" s="12" t="s">
        <v>681</v>
      </c>
      <c r="B535" s="2">
        <v>5</v>
      </c>
      <c r="C535" s="2" t="s">
        <v>680</v>
      </c>
      <c r="D535" s="16" t="s">
        <v>47</v>
      </c>
      <c r="E535" s="4">
        <v>494037.9881</v>
      </c>
      <c r="F535" s="4">
        <v>3353055.839</v>
      </c>
      <c r="G535" s="2">
        <v>26.1</v>
      </c>
      <c r="H535" s="13" t="s">
        <v>29</v>
      </c>
      <c r="I535" s="13" cm="1">
        <f t="array" ref="I535">各流量段建筑物坡比(B535,D535)</f>
        <v>3500</v>
      </c>
      <c r="J535" s="14" t="str">
        <f t="shared" si="8"/>
        <v/>
      </c>
      <c r="K535" s="2">
        <v>4.9</v>
      </c>
      <c r="O535" s="2">
        <v>0.78</v>
      </c>
    </row>
    <row r="536" spans="1:18">
      <c r="A536" s="15" t="s">
        <v>682</v>
      </c>
      <c r="B536" s="2">
        <v>5</v>
      </c>
      <c r="C536" s="13" t="s">
        <v>27</v>
      </c>
      <c r="D536" s="13" t="s">
        <v>28</v>
      </c>
      <c r="E536" s="4">
        <v>494017.7123</v>
      </c>
      <c r="F536" s="4">
        <v>3353043.9518</v>
      </c>
      <c r="G536" s="2">
        <v>26.1</v>
      </c>
      <c r="H536" s="13" t="s">
        <v>29</v>
      </c>
      <c r="I536" s="13" cm="1">
        <f t="array" ref="I536">各流量段建筑物坡比(B536,D536)</f>
        <v>6000</v>
      </c>
      <c r="J536" s="14">
        <f t="shared" si="8"/>
        <v>0</v>
      </c>
      <c r="K536" s="2">
        <v>5.3</v>
      </c>
    </row>
    <row r="537" spans="1:18">
      <c r="A537" s="12" t="s">
        <v>683</v>
      </c>
      <c r="B537" s="2">
        <v>5</v>
      </c>
      <c r="C537" s="2" t="s">
        <v>684</v>
      </c>
      <c r="D537" s="16" t="s">
        <v>47</v>
      </c>
      <c r="E537" s="4">
        <v>493981.7461</v>
      </c>
      <c r="F537" s="4">
        <v>3353012.8836</v>
      </c>
      <c r="G537" s="2">
        <v>26.1</v>
      </c>
      <c r="H537" s="13" t="s">
        <v>29</v>
      </c>
      <c r="I537" s="13" cm="1">
        <f t="array" ref="I537">各流量段建筑物坡比(B537,D537)</f>
        <v>3500</v>
      </c>
      <c r="J537" s="14" t="str">
        <f t="shared" si="8"/>
        <v/>
      </c>
      <c r="K537" s="2">
        <v>4.9</v>
      </c>
      <c r="O537" s="2">
        <v>0.78</v>
      </c>
    </row>
    <row r="538" spans="1:18">
      <c r="A538" s="15" t="s">
        <v>685</v>
      </c>
      <c r="B538" s="2">
        <v>5</v>
      </c>
      <c r="C538" s="2" t="s">
        <v>684</v>
      </c>
      <c r="D538" s="16" t="s">
        <v>47</v>
      </c>
      <c r="E538" s="4">
        <v>493889.4219</v>
      </c>
      <c r="F538" s="4">
        <v>3352933.1325</v>
      </c>
      <c r="G538" s="2">
        <v>26.1</v>
      </c>
      <c r="H538" s="13" t="s">
        <v>29</v>
      </c>
      <c r="I538" s="13" cm="1">
        <f t="array" ref="I538">各流量段建筑物坡比(B538,D538)</f>
        <v>3500</v>
      </c>
      <c r="J538" s="14" t="str">
        <f t="shared" si="8"/>
        <v/>
      </c>
      <c r="K538" s="2">
        <v>4.9</v>
      </c>
      <c r="O538" s="2">
        <v>0.78</v>
      </c>
    </row>
    <row r="539" spans="1:18">
      <c r="A539" s="12" t="s">
        <v>686</v>
      </c>
      <c r="B539" s="2">
        <v>5</v>
      </c>
      <c r="C539" s="13" t="s">
        <v>27</v>
      </c>
      <c r="D539" s="13" t="s">
        <v>28</v>
      </c>
      <c r="E539" s="4">
        <v>493848.0147</v>
      </c>
      <c r="F539" s="4">
        <v>3352897.3643</v>
      </c>
      <c r="G539" s="2">
        <v>26.1</v>
      </c>
      <c r="H539" s="13" t="s">
        <v>29</v>
      </c>
      <c r="I539" s="13" cm="1">
        <f t="array" ref="I539">各流量段建筑物坡比(B539,D539)</f>
        <v>6000</v>
      </c>
      <c r="J539" s="14">
        <f t="shared" si="8"/>
        <v>0</v>
      </c>
      <c r="K539" s="2">
        <v>5.3</v>
      </c>
    </row>
    <row r="540" spans="1:18">
      <c r="A540" s="15" t="s">
        <v>687</v>
      </c>
      <c r="B540" s="2">
        <v>5</v>
      </c>
      <c r="C540" s="13" t="s">
        <v>27</v>
      </c>
      <c r="D540" s="13" t="s">
        <v>28</v>
      </c>
      <c r="E540" s="4">
        <v>493813.6936</v>
      </c>
      <c r="F540" s="4">
        <v>3352779.8953</v>
      </c>
      <c r="G540" s="2">
        <v>26.1</v>
      </c>
      <c r="H540" s="13" t="s">
        <v>29</v>
      </c>
      <c r="I540" s="13" cm="1">
        <f t="array" ref="I540">各流量段建筑物坡比(B540,D540)</f>
        <v>6000</v>
      </c>
      <c r="J540" s="14">
        <f t="shared" si="8"/>
        <v>0</v>
      </c>
      <c r="K540" s="2">
        <v>5.3</v>
      </c>
    </row>
    <row r="541" spans="1:18">
      <c r="A541" s="12" t="s">
        <v>688</v>
      </c>
      <c r="B541" s="2">
        <v>5</v>
      </c>
      <c r="C541" s="13" t="s">
        <v>27</v>
      </c>
      <c r="D541" s="13" t="s">
        <v>28</v>
      </c>
      <c r="E541" s="4">
        <v>493770.5302</v>
      </c>
      <c r="F541" s="4">
        <v>3352720.2249</v>
      </c>
      <c r="G541" s="2">
        <v>26.1</v>
      </c>
      <c r="H541" s="13" t="s">
        <v>29</v>
      </c>
      <c r="I541" s="13" cm="1">
        <f t="array" ref="I541">各流量段建筑物坡比(B541,D541)</f>
        <v>6000</v>
      </c>
      <c r="J541" s="14">
        <f t="shared" si="8"/>
        <v>0</v>
      </c>
      <c r="K541" s="2">
        <v>5.3</v>
      </c>
    </row>
    <row r="542" spans="1:18">
      <c r="A542" s="15" t="s">
        <v>689</v>
      </c>
      <c r="B542" s="2">
        <v>5</v>
      </c>
      <c r="C542" s="13" t="s">
        <v>27</v>
      </c>
      <c r="D542" s="13" t="s">
        <v>28</v>
      </c>
      <c r="E542" s="4">
        <v>493783.8943</v>
      </c>
      <c r="F542" s="4">
        <v>3352657.7629</v>
      </c>
      <c r="G542" s="2">
        <v>26.1</v>
      </c>
      <c r="H542" s="13" t="s">
        <v>29</v>
      </c>
      <c r="I542" s="13" cm="1">
        <f t="array" ref="I542">各流量段建筑物坡比(B542,D542)</f>
        <v>6000</v>
      </c>
      <c r="J542" s="14">
        <f t="shared" si="8"/>
        <v>0</v>
      </c>
      <c r="K542" s="2">
        <v>5.3</v>
      </c>
    </row>
    <row r="543" spans="1:18">
      <c r="A543" s="12" t="s">
        <v>690</v>
      </c>
      <c r="B543" s="2">
        <v>5</v>
      </c>
      <c r="C543" s="2" t="s">
        <v>691</v>
      </c>
      <c r="D543" s="2" t="s">
        <v>81</v>
      </c>
      <c r="E543" s="4">
        <v>493786.0197</v>
      </c>
      <c r="F543" s="4">
        <v>3352640.1714</v>
      </c>
      <c r="G543" s="2">
        <v>26.1</v>
      </c>
      <c r="H543" s="13" t="s">
        <v>29</v>
      </c>
      <c r="I543" s="13" t="str" cm="1">
        <f t="array" ref="I543">各流量段建筑物坡比(B543,D543)</f>
        <v/>
      </c>
      <c r="J543" s="14" t="str">
        <f t="shared" si="8"/>
        <v/>
      </c>
    </row>
    <row r="544" spans="1:18">
      <c r="A544" s="15" t="s">
        <v>692</v>
      </c>
      <c r="B544" s="2">
        <v>5</v>
      </c>
      <c r="C544" s="2" t="s">
        <v>691</v>
      </c>
      <c r="D544" s="2" t="s">
        <v>81</v>
      </c>
      <c r="E544" s="4">
        <v>493800.0785</v>
      </c>
      <c r="F544" s="4">
        <v>3352523.8124</v>
      </c>
      <c r="G544" s="2">
        <v>26.1</v>
      </c>
      <c r="H544" s="13" t="s">
        <v>29</v>
      </c>
      <c r="I544" s="13" t="str" cm="1">
        <f t="array" ref="I544">各流量段建筑物坡比(B544,D544)</f>
        <v/>
      </c>
      <c r="J544" s="14" t="str">
        <f t="shared" si="8"/>
        <v/>
      </c>
    </row>
    <row r="545" spans="1:15">
      <c r="A545" s="12" t="s">
        <v>693</v>
      </c>
      <c r="B545" s="2">
        <v>5</v>
      </c>
      <c r="C545" s="2" t="s">
        <v>691</v>
      </c>
      <c r="D545" s="2" t="s">
        <v>81</v>
      </c>
      <c r="E545" s="4">
        <v>493824.9893</v>
      </c>
      <c r="F545" s="4">
        <v>3352467.2463</v>
      </c>
      <c r="G545" s="2">
        <v>26.1</v>
      </c>
      <c r="H545" s="13" t="s">
        <v>29</v>
      </c>
      <c r="I545" s="13" t="str" cm="1">
        <f t="array" ref="I545">各流量段建筑物坡比(B545,D545)</f>
        <v/>
      </c>
      <c r="J545" s="14" t="str">
        <f t="shared" si="8"/>
        <v/>
      </c>
    </row>
    <row r="546" spans="1:15">
      <c r="A546" s="15" t="s">
        <v>694</v>
      </c>
      <c r="B546" s="2">
        <v>5</v>
      </c>
      <c r="C546" s="2" t="s">
        <v>691</v>
      </c>
      <c r="D546" s="2" t="s">
        <v>81</v>
      </c>
      <c r="E546" s="4">
        <v>493907.1967</v>
      </c>
      <c r="F546" s="4">
        <v>3352411.1839</v>
      </c>
      <c r="G546" s="2">
        <v>26.1</v>
      </c>
      <c r="H546" s="13" t="s">
        <v>29</v>
      </c>
      <c r="I546" s="13" t="str" cm="1">
        <f t="array" ref="I546">各流量段建筑物坡比(B546,D546)</f>
        <v/>
      </c>
      <c r="J546" s="14" t="str">
        <f t="shared" si="8"/>
        <v/>
      </c>
    </row>
    <row r="547" spans="1:15">
      <c r="A547" s="12" t="s">
        <v>695</v>
      </c>
      <c r="B547" s="2">
        <v>5</v>
      </c>
      <c r="C547" s="2" t="s">
        <v>691</v>
      </c>
      <c r="D547" s="2" t="s">
        <v>81</v>
      </c>
      <c r="E547" s="4">
        <v>493936.831</v>
      </c>
      <c r="F547" s="4">
        <v>3352337.8366</v>
      </c>
      <c r="G547" s="2">
        <v>26.1</v>
      </c>
      <c r="H547" s="13" t="s">
        <v>29</v>
      </c>
      <c r="I547" s="13" t="str" cm="1">
        <f t="array" ref="I547">各流量段建筑物坡比(B547,D547)</f>
        <v/>
      </c>
      <c r="J547" s="14" t="str">
        <f t="shared" si="8"/>
        <v/>
      </c>
    </row>
    <row r="548" spans="1:15">
      <c r="A548" s="15" t="s">
        <v>696</v>
      </c>
      <c r="B548" s="2">
        <v>5</v>
      </c>
      <c r="C548" s="2" t="s">
        <v>691</v>
      </c>
      <c r="D548" s="2" t="s">
        <v>81</v>
      </c>
      <c r="E548" s="4">
        <v>493937.7017</v>
      </c>
      <c r="F548" s="4">
        <v>3352290.1637</v>
      </c>
      <c r="G548" s="2">
        <v>26.1</v>
      </c>
      <c r="H548" s="13" t="s">
        <v>29</v>
      </c>
      <c r="I548" s="13" t="str" cm="1">
        <f t="array" ref="I548">各流量段建筑物坡比(B548,D548)</f>
        <v/>
      </c>
      <c r="J548" s="14" t="str">
        <f t="shared" si="8"/>
        <v/>
      </c>
    </row>
    <row r="549" spans="1:15">
      <c r="A549" s="12" t="s">
        <v>697</v>
      </c>
      <c r="B549" s="2">
        <v>5</v>
      </c>
      <c r="C549" s="2" t="s">
        <v>691</v>
      </c>
      <c r="D549" s="2" t="s">
        <v>81</v>
      </c>
      <c r="E549" s="4">
        <v>493899.2259</v>
      </c>
      <c r="F549" s="4">
        <v>3352242.9186</v>
      </c>
      <c r="G549" s="2">
        <v>26.1</v>
      </c>
      <c r="H549" s="13" t="s">
        <v>29</v>
      </c>
      <c r="I549" s="13" t="str" cm="1">
        <f t="array" ref="I549">各流量段建筑物坡比(B549,D549)</f>
        <v/>
      </c>
      <c r="J549" s="14" t="str">
        <f t="shared" si="8"/>
        <v/>
      </c>
    </row>
    <row r="550" spans="1:15">
      <c r="A550" s="15" t="s">
        <v>698</v>
      </c>
      <c r="B550" s="2">
        <v>5</v>
      </c>
      <c r="C550" s="2" t="s">
        <v>691</v>
      </c>
      <c r="D550" s="2" t="s">
        <v>81</v>
      </c>
      <c r="E550" s="4">
        <v>493903.7038</v>
      </c>
      <c r="F550" s="4">
        <v>3352205.1583</v>
      </c>
      <c r="G550" s="2">
        <v>26.1</v>
      </c>
      <c r="H550" s="13" t="s">
        <v>29</v>
      </c>
      <c r="I550" s="13" t="str" cm="1">
        <f t="array" ref="I550">各流量段建筑物坡比(B550,D550)</f>
        <v/>
      </c>
      <c r="J550" s="14" t="str">
        <f t="shared" si="8"/>
        <v/>
      </c>
    </row>
    <row r="551" spans="1:15">
      <c r="A551" s="12" t="s">
        <v>699</v>
      </c>
      <c r="B551" s="2">
        <v>5</v>
      </c>
      <c r="C551" s="2" t="s">
        <v>691</v>
      </c>
      <c r="D551" s="2" t="s">
        <v>81</v>
      </c>
      <c r="E551" s="4">
        <v>493809.9648</v>
      </c>
      <c r="F551" s="4">
        <v>3352074.7104</v>
      </c>
      <c r="G551" s="2">
        <v>26.1</v>
      </c>
      <c r="H551" s="13" t="s">
        <v>29</v>
      </c>
      <c r="I551" s="13" t="str" cm="1">
        <f t="array" ref="I551">各流量段建筑物坡比(B551,D551)</f>
        <v/>
      </c>
      <c r="J551" s="14" t="str">
        <f t="shared" si="8"/>
        <v/>
      </c>
    </row>
    <row r="552" spans="1:15">
      <c r="A552" s="15" t="s">
        <v>700</v>
      </c>
      <c r="B552" s="2">
        <v>5</v>
      </c>
      <c r="C552" s="2" t="s">
        <v>691</v>
      </c>
      <c r="D552" s="2" t="s">
        <v>81</v>
      </c>
      <c r="E552" s="4">
        <v>493791.2307</v>
      </c>
      <c r="F552" s="4">
        <v>3351981.4468</v>
      </c>
      <c r="G552" s="2">
        <v>26.1</v>
      </c>
      <c r="H552" s="13" t="s">
        <v>29</v>
      </c>
      <c r="I552" s="13" t="str" cm="1">
        <f t="array" ref="I552">各流量段建筑物坡比(B552,D552)</f>
        <v/>
      </c>
      <c r="J552" s="14" t="str">
        <f t="shared" si="8"/>
        <v/>
      </c>
    </row>
    <row r="553" spans="1:15">
      <c r="A553" s="12" t="s">
        <v>701</v>
      </c>
      <c r="B553" s="2">
        <v>5</v>
      </c>
      <c r="C553" s="2" t="s">
        <v>691</v>
      </c>
      <c r="D553" s="2" t="s">
        <v>81</v>
      </c>
      <c r="E553" s="4">
        <v>493865.0591</v>
      </c>
      <c r="F553" s="4">
        <v>3351760.4947</v>
      </c>
      <c r="G553" s="2">
        <v>26.1</v>
      </c>
      <c r="H553" s="13" t="s">
        <v>29</v>
      </c>
      <c r="I553" s="13" t="str" cm="1">
        <f t="array" ref="I553">各流量段建筑物坡比(B553,D553)</f>
        <v/>
      </c>
      <c r="J553" s="14" t="str">
        <f t="shared" si="8"/>
        <v/>
      </c>
    </row>
    <row r="554" spans="1:15">
      <c r="A554" s="15" t="s">
        <v>702</v>
      </c>
      <c r="B554" s="2">
        <v>5</v>
      </c>
      <c r="C554" s="13" t="s">
        <v>27</v>
      </c>
      <c r="D554" s="13" t="s">
        <v>28</v>
      </c>
      <c r="E554" s="4">
        <v>493869.7756</v>
      </c>
      <c r="F554" s="4">
        <v>3351746.3793</v>
      </c>
      <c r="G554" s="2">
        <v>26.1</v>
      </c>
      <c r="H554" s="13" t="s">
        <v>29</v>
      </c>
      <c r="I554" s="13" cm="1">
        <f t="array" ref="I554">各流量段建筑物坡比(B554,D554)</f>
        <v>6000</v>
      </c>
      <c r="J554" s="14">
        <f t="shared" si="8"/>
        <v>0</v>
      </c>
      <c r="K554" s="2">
        <v>5.3</v>
      </c>
    </row>
    <row r="555" spans="1:15">
      <c r="A555" s="12" t="s">
        <v>703</v>
      </c>
      <c r="B555" s="2">
        <v>5</v>
      </c>
      <c r="C555" s="2" t="s">
        <v>704</v>
      </c>
      <c r="D555" s="16" t="s">
        <v>47</v>
      </c>
      <c r="E555" s="4">
        <v>493875.9129</v>
      </c>
      <c r="F555" s="4">
        <v>3351731.4743</v>
      </c>
      <c r="G555" s="2">
        <v>26.1</v>
      </c>
      <c r="H555" s="13" t="s">
        <v>29</v>
      </c>
      <c r="I555" s="13" cm="1">
        <f t="array" ref="I555">各流量段建筑物坡比(B555,D555)</f>
        <v>3500</v>
      </c>
      <c r="J555" s="14" t="str">
        <f t="shared" si="8"/>
        <v/>
      </c>
      <c r="K555" s="2">
        <v>4.9</v>
      </c>
      <c r="O555" s="2">
        <v>0.78</v>
      </c>
    </row>
    <row r="556" spans="1:15">
      <c r="A556" s="15" t="s">
        <v>705</v>
      </c>
      <c r="B556" s="2">
        <v>5</v>
      </c>
      <c r="C556" s="2" t="s">
        <v>704</v>
      </c>
      <c r="D556" s="16" t="s">
        <v>47</v>
      </c>
      <c r="E556" s="4">
        <v>494021.9374</v>
      </c>
      <c r="F556" s="4">
        <v>3351376.839</v>
      </c>
      <c r="G556" s="2">
        <v>26.1</v>
      </c>
      <c r="H556" s="13" t="s">
        <v>29</v>
      </c>
      <c r="I556" s="13" cm="1">
        <f t="array" ref="I556">各流量段建筑物坡比(B556,D556)</f>
        <v>3500</v>
      </c>
      <c r="J556" s="14" t="str">
        <f t="shared" si="8"/>
        <v/>
      </c>
      <c r="K556" s="2">
        <v>4.9</v>
      </c>
      <c r="O556" s="2">
        <v>0.78</v>
      </c>
    </row>
    <row r="557" spans="1:15">
      <c r="A557" s="12" t="s">
        <v>706</v>
      </c>
      <c r="B557" s="2">
        <v>5</v>
      </c>
      <c r="C557" s="2" t="s">
        <v>704</v>
      </c>
      <c r="D557" s="16" t="s">
        <v>47</v>
      </c>
      <c r="E557" s="4">
        <v>494109.1537</v>
      </c>
      <c r="F557" s="4">
        <v>3351288.6749</v>
      </c>
      <c r="G557" s="2">
        <v>26.1</v>
      </c>
      <c r="H557" s="13" t="s">
        <v>29</v>
      </c>
      <c r="I557" s="13" cm="1">
        <f t="array" ref="I557">各流量段建筑物坡比(B557,D557)</f>
        <v>3500</v>
      </c>
      <c r="J557" s="14" t="str">
        <f t="shared" si="8"/>
        <v/>
      </c>
      <c r="K557" s="2">
        <v>4.9</v>
      </c>
      <c r="O557" s="2">
        <v>0.78</v>
      </c>
    </row>
    <row r="558" spans="1:15">
      <c r="A558" s="15" t="s">
        <v>707</v>
      </c>
      <c r="B558" s="2">
        <v>5</v>
      </c>
      <c r="C558" s="2" t="s">
        <v>704</v>
      </c>
      <c r="D558" s="16" t="s">
        <v>47</v>
      </c>
      <c r="E558" s="4">
        <v>494168.7254</v>
      </c>
      <c r="F558" s="4">
        <v>3351173.8298</v>
      </c>
      <c r="G558" s="2">
        <v>26.1</v>
      </c>
      <c r="H558" s="13" t="s">
        <v>29</v>
      </c>
      <c r="I558" s="13" cm="1">
        <f t="array" ref="I558">各流量段建筑物坡比(B558,D558)</f>
        <v>3500</v>
      </c>
      <c r="J558" s="14" t="str">
        <f t="shared" si="8"/>
        <v/>
      </c>
      <c r="K558" s="2">
        <v>4.9</v>
      </c>
      <c r="O558" s="2">
        <v>0.78</v>
      </c>
    </row>
    <row r="559" spans="1:15">
      <c r="A559" s="12" t="s">
        <v>708</v>
      </c>
      <c r="B559" s="2">
        <v>5</v>
      </c>
      <c r="C559" s="2" t="s">
        <v>704</v>
      </c>
      <c r="D559" s="16" t="s">
        <v>47</v>
      </c>
      <c r="E559" s="4">
        <v>494471.1752</v>
      </c>
      <c r="F559" s="4">
        <v>3350891.5293</v>
      </c>
      <c r="G559" s="2">
        <v>26.1</v>
      </c>
      <c r="H559" s="13" t="s">
        <v>29</v>
      </c>
      <c r="I559" s="13" cm="1">
        <f t="array" ref="I559">各流量段建筑物坡比(B559,D559)</f>
        <v>3500</v>
      </c>
      <c r="J559" s="14" t="str">
        <f t="shared" si="8"/>
        <v/>
      </c>
      <c r="K559" s="2">
        <v>4.9</v>
      </c>
      <c r="O559" s="2">
        <v>0.78</v>
      </c>
    </row>
    <row r="560" spans="1:15">
      <c r="A560" s="15" t="s">
        <v>709</v>
      </c>
      <c r="B560" s="2">
        <v>5</v>
      </c>
      <c r="C560" s="13" t="s">
        <v>27</v>
      </c>
      <c r="D560" s="13" t="s">
        <v>28</v>
      </c>
      <c r="E560" s="4">
        <v>494538.5896</v>
      </c>
      <c r="F560" s="4">
        <v>3350828.6062</v>
      </c>
      <c r="G560" s="2">
        <v>26.1</v>
      </c>
      <c r="H560" s="13" t="s">
        <v>29</v>
      </c>
      <c r="I560" s="13" cm="1">
        <f t="array" ref="I560">各流量段建筑物坡比(B560,D560)</f>
        <v>6000</v>
      </c>
      <c r="J560" s="14">
        <f t="shared" si="8"/>
        <v>0</v>
      </c>
      <c r="K560" s="2">
        <v>5.3</v>
      </c>
    </row>
    <row r="561" spans="1:18">
      <c r="A561" s="12" t="s">
        <v>710</v>
      </c>
      <c r="B561" s="2">
        <v>5</v>
      </c>
      <c r="C561" s="13" t="s">
        <v>27</v>
      </c>
      <c r="D561" s="13" t="s">
        <v>28</v>
      </c>
      <c r="E561" s="4">
        <v>494610.7844</v>
      </c>
      <c r="F561" s="4">
        <v>3350741.9742</v>
      </c>
      <c r="G561" s="2">
        <v>26.1</v>
      </c>
      <c r="H561" s="13" t="s">
        <v>29</v>
      </c>
      <c r="I561" s="13" cm="1">
        <f t="array" ref="I561">各流量段建筑物坡比(B561,D561)</f>
        <v>6000</v>
      </c>
      <c r="J561" s="14">
        <f t="shared" si="8"/>
        <v>0</v>
      </c>
      <c r="K561" s="2">
        <v>5.3</v>
      </c>
    </row>
    <row r="562" s="1" customFormat="1" spans="1:18">
      <c r="A562" s="15" t="s">
        <v>711</v>
      </c>
      <c r="B562" s="2">
        <v>5</v>
      </c>
      <c r="C562" s="1" t="s">
        <v>712</v>
      </c>
      <c r="D562" s="1" t="s">
        <v>271</v>
      </c>
      <c r="E562" s="18">
        <v>494647.2425</v>
      </c>
      <c r="F562" s="18">
        <v>3350736.0444</v>
      </c>
      <c r="G562" s="2">
        <v>26.1</v>
      </c>
      <c r="H562" s="19" t="s">
        <v>29</v>
      </c>
      <c r="I562" s="13" t="str" cm="1">
        <f t="array" ref="I562">各流量段建筑物坡比(B562,D562)</f>
        <v/>
      </c>
      <c r="J562" s="14" t="str">
        <f t="shared" si="8"/>
        <v/>
      </c>
    </row>
    <row r="563" spans="1:18">
      <c r="A563" s="12" t="s">
        <v>713</v>
      </c>
      <c r="B563" s="2">
        <v>6</v>
      </c>
      <c r="C563" s="13" t="s">
        <v>27</v>
      </c>
      <c r="D563" s="13" t="s">
        <v>28</v>
      </c>
      <c r="E563" s="4">
        <v>494773.3823</v>
      </c>
      <c r="F563" s="4">
        <v>3350715.5281</v>
      </c>
      <c r="G563" s="2">
        <v>23.3</v>
      </c>
      <c r="H563" s="13" t="s">
        <v>29</v>
      </c>
      <c r="I563" s="13" cm="1">
        <f t="array" ref="I563">各流量段建筑物坡比(B563,D563)</f>
        <v>6000</v>
      </c>
      <c r="J563" s="14">
        <f t="shared" si="8"/>
        <v>0</v>
      </c>
      <c r="K563" s="2">
        <v>5.1</v>
      </c>
    </row>
    <row r="564" spans="1:18">
      <c r="A564" s="15" t="s">
        <v>714</v>
      </c>
      <c r="B564" s="2">
        <v>6</v>
      </c>
      <c r="C564" s="2" t="s">
        <v>715</v>
      </c>
      <c r="D564" s="16" t="s">
        <v>47</v>
      </c>
      <c r="E564" s="4">
        <v>494808.3765</v>
      </c>
      <c r="F564" s="4">
        <v>3350689.2009</v>
      </c>
      <c r="G564" s="2">
        <v>23.3</v>
      </c>
      <c r="H564" s="13" t="s">
        <v>29</v>
      </c>
      <c r="I564" s="13" cm="1">
        <f t="array" ref="I564">各流量段建筑物坡比(B564,D564)</f>
        <v>3500</v>
      </c>
      <c r="J564" s="14" t="str">
        <f t="shared" si="8"/>
        <v/>
      </c>
      <c r="K564" s="2">
        <v>4.7</v>
      </c>
      <c r="O564" s="2">
        <v>0.78</v>
      </c>
    </row>
    <row r="565" spans="1:18">
      <c r="A565" s="12" t="s">
        <v>716</v>
      </c>
      <c r="B565" s="2">
        <v>6</v>
      </c>
      <c r="C565" s="2" t="s">
        <v>715</v>
      </c>
      <c r="D565" s="16" t="s">
        <v>47</v>
      </c>
      <c r="E565" s="4">
        <v>495016.943</v>
      </c>
      <c r="F565" s="4">
        <v>3350532.2901</v>
      </c>
      <c r="G565" s="2">
        <v>23.3</v>
      </c>
      <c r="H565" s="13" t="s">
        <v>29</v>
      </c>
      <c r="I565" s="13" cm="1">
        <f t="array" ref="I565">各流量段建筑物坡比(B565,D565)</f>
        <v>3500</v>
      </c>
      <c r="J565" s="14" t="str">
        <f t="shared" si="8"/>
        <v/>
      </c>
      <c r="K565" s="2">
        <v>4.7</v>
      </c>
      <c r="O565" s="2">
        <v>0.78</v>
      </c>
    </row>
    <row r="566" spans="1:18">
      <c r="A566" s="15" t="s">
        <v>717</v>
      </c>
      <c r="B566" s="2">
        <v>6</v>
      </c>
      <c r="C566" s="2" t="s">
        <v>718</v>
      </c>
      <c r="D566" s="13" t="s">
        <v>35</v>
      </c>
      <c r="E566" s="4">
        <v>495048.9072</v>
      </c>
      <c r="F566" s="4">
        <v>3350508.2424</v>
      </c>
      <c r="G566" s="2">
        <v>23.3</v>
      </c>
      <c r="H566" s="13" t="s">
        <v>29</v>
      </c>
      <c r="I566" s="13" cm="1">
        <f t="array" ref="I566">各流量段建筑物坡比(B566,D566)</f>
        <v>5500</v>
      </c>
      <c r="J566" s="14" t="str">
        <f t="shared" si="8"/>
        <v/>
      </c>
      <c r="K566" s="2">
        <v>5</v>
      </c>
      <c r="R566" s="2">
        <v>180</v>
      </c>
    </row>
    <row r="567" spans="1:18">
      <c r="A567" s="12" t="s">
        <v>719</v>
      </c>
      <c r="B567" s="2">
        <v>6</v>
      </c>
      <c r="C567" s="2" t="s">
        <v>718</v>
      </c>
      <c r="D567" s="13" t="s">
        <v>35</v>
      </c>
      <c r="E567" s="4">
        <v>495206.331</v>
      </c>
      <c r="F567" s="4">
        <v>3350389.8078</v>
      </c>
      <c r="G567" s="2">
        <v>23.3</v>
      </c>
      <c r="H567" s="13" t="s">
        <v>29</v>
      </c>
      <c r="I567" s="13" cm="1">
        <f t="array" ref="I567">各流量段建筑物坡比(B567,D567)</f>
        <v>5500</v>
      </c>
      <c r="J567" s="14" t="str">
        <f t="shared" si="8"/>
        <v/>
      </c>
      <c r="K567" s="2">
        <v>5</v>
      </c>
      <c r="R567" s="2">
        <v>180</v>
      </c>
    </row>
    <row r="568" spans="1:18">
      <c r="A568" s="15" t="s">
        <v>720</v>
      </c>
      <c r="B568" s="2">
        <v>6</v>
      </c>
      <c r="C568" s="13" t="s">
        <v>27</v>
      </c>
      <c r="D568" s="13" t="s">
        <v>28</v>
      </c>
      <c r="E568" s="4">
        <v>495227.2678</v>
      </c>
      <c r="F568" s="4">
        <v>3350374.0564</v>
      </c>
      <c r="G568" s="2">
        <v>23.3</v>
      </c>
      <c r="H568" s="13" t="s">
        <v>29</v>
      </c>
      <c r="I568" s="13" cm="1">
        <f t="array" ref="I568">各流量段建筑物坡比(B568,D568)</f>
        <v>6000</v>
      </c>
      <c r="J568" s="14">
        <f t="shared" si="8"/>
        <v>0</v>
      </c>
      <c r="K568" s="2">
        <v>5.1</v>
      </c>
    </row>
    <row r="569" spans="1:18">
      <c r="A569" s="12" t="s">
        <v>721</v>
      </c>
      <c r="B569" s="2">
        <v>6</v>
      </c>
      <c r="C569" s="13" t="s">
        <v>27</v>
      </c>
      <c r="D569" s="13" t="s">
        <v>28</v>
      </c>
      <c r="E569" s="4">
        <v>495312.3604</v>
      </c>
      <c r="F569" s="4">
        <v>3350323.4143</v>
      </c>
      <c r="G569" s="2">
        <v>23.3</v>
      </c>
      <c r="H569" s="13" t="s">
        <v>29</v>
      </c>
      <c r="I569" s="13" cm="1">
        <f t="array" ref="I569">各流量段建筑物坡比(B569,D569)</f>
        <v>6000</v>
      </c>
      <c r="J569" s="14">
        <f t="shared" si="8"/>
        <v>0</v>
      </c>
      <c r="K569" s="2">
        <v>5.1</v>
      </c>
    </row>
    <row r="570" spans="1:18">
      <c r="A570" s="15" t="s">
        <v>722</v>
      </c>
      <c r="B570" s="2">
        <v>6</v>
      </c>
      <c r="C570" s="13" t="s">
        <v>27</v>
      </c>
      <c r="D570" s="13" t="s">
        <v>28</v>
      </c>
      <c r="E570" s="4">
        <v>495330.8146</v>
      </c>
      <c r="F570" s="4">
        <v>3350149.7439</v>
      </c>
      <c r="G570" s="2">
        <v>23.3</v>
      </c>
      <c r="H570" s="13" t="s">
        <v>29</v>
      </c>
      <c r="I570" s="13" cm="1">
        <f t="array" ref="I570">各流量段建筑物坡比(B570,D570)</f>
        <v>6000</v>
      </c>
      <c r="J570" s="14">
        <f t="shared" si="8"/>
        <v>0</v>
      </c>
      <c r="K570" s="2">
        <v>5.1</v>
      </c>
    </row>
    <row r="571" spans="1:18">
      <c r="A571" s="12" t="s">
        <v>723</v>
      </c>
      <c r="B571" s="2">
        <v>6</v>
      </c>
      <c r="C571" s="13" t="s">
        <v>27</v>
      </c>
      <c r="D571" s="13" t="s">
        <v>28</v>
      </c>
      <c r="E571" s="4">
        <v>495387.5813</v>
      </c>
      <c r="F571" s="4">
        <v>3350038.3305</v>
      </c>
      <c r="G571" s="2">
        <v>23.3</v>
      </c>
      <c r="H571" s="13" t="s">
        <v>29</v>
      </c>
      <c r="I571" s="13" cm="1">
        <f t="array" ref="I571">各流量段建筑物坡比(B571,D571)</f>
        <v>6000</v>
      </c>
      <c r="J571" s="14">
        <f t="shared" si="8"/>
        <v>0</v>
      </c>
      <c r="K571" s="2">
        <v>5.1</v>
      </c>
    </row>
    <row r="572" spans="1:18">
      <c r="A572" s="15" t="s">
        <v>724</v>
      </c>
      <c r="B572" s="2">
        <v>6</v>
      </c>
      <c r="C572" s="2" t="s">
        <v>725</v>
      </c>
      <c r="D572" s="13" t="s">
        <v>35</v>
      </c>
      <c r="E572" s="4">
        <v>495418.7683</v>
      </c>
      <c r="F572" s="4">
        <v>3350016.3203</v>
      </c>
      <c r="G572" s="2">
        <v>23.3</v>
      </c>
      <c r="H572" s="13" t="s">
        <v>29</v>
      </c>
      <c r="I572" s="13" cm="1">
        <f t="array" ref="I572">各流量段建筑物坡比(B572,D572)</f>
        <v>5500</v>
      </c>
      <c r="J572" s="14" t="str">
        <f t="shared" si="8"/>
        <v/>
      </c>
      <c r="K572" s="2">
        <v>5</v>
      </c>
      <c r="R572" s="2">
        <v>180</v>
      </c>
    </row>
    <row r="573" spans="1:18">
      <c r="A573" s="12" t="s">
        <v>726</v>
      </c>
      <c r="B573" s="2">
        <v>6</v>
      </c>
      <c r="C573" s="2" t="s">
        <v>725</v>
      </c>
      <c r="D573" s="13" t="s">
        <v>35</v>
      </c>
      <c r="E573" s="4">
        <v>495701.1862</v>
      </c>
      <c r="F573" s="4">
        <v>3349817.0043</v>
      </c>
      <c r="G573" s="2">
        <v>23.3</v>
      </c>
      <c r="H573" s="13" t="s">
        <v>29</v>
      </c>
      <c r="I573" s="13" cm="1">
        <f t="array" ref="I573">各流量段建筑物坡比(B573,D573)</f>
        <v>5500</v>
      </c>
      <c r="J573" s="14" t="str">
        <f t="shared" si="8"/>
        <v/>
      </c>
      <c r="K573" s="2">
        <v>5</v>
      </c>
      <c r="R573" s="2">
        <v>180</v>
      </c>
    </row>
    <row r="574" spans="1:18">
      <c r="A574" s="15" t="s">
        <v>727</v>
      </c>
      <c r="B574" s="2">
        <v>6</v>
      </c>
      <c r="C574" s="2" t="s">
        <v>725</v>
      </c>
      <c r="D574" s="13" t="s">
        <v>35</v>
      </c>
      <c r="E574" s="4">
        <v>495836.7436</v>
      </c>
      <c r="F574" s="4">
        <v>3349682.1935</v>
      </c>
      <c r="G574" s="2">
        <v>23.3</v>
      </c>
      <c r="H574" s="13" t="s">
        <v>29</v>
      </c>
      <c r="I574" s="13" cm="1">
        <f t="array" ref="I574">各流量段建筑物坡比(B574,D574)</f>
        <v>5500</v>
      </c>
      <c r="J574" s="14" t="str">
        <f t="shared" si="8"/>
        <v/>
      </c>
      <c r="K574" s="2">
        <v>5</v>
      </c>
      <c r="R574" s="2">
        <v>180</v>
      </c>
    </row>
    <row r="575" spans="1:18">
      <c r="A575" s="12" t="s">
        <v>728</v>
      </c>
      <c r="B575" s="2">
        <v>6</v>
      </c>
      <c r="C575" s="2" t="s">
        <v>725</v>
      </c>
      <c r="D575" s="13" t="s">
        <v>35</v>
      </c>
      <c r="E575" s="4">
        <v>496109.1362</v>
      </c>
      <c r="F575" s="4">
        <v>3349596.3867</v>
      </c>
      <c r="G575" s="2">
        <v>23.3</v>
      </c>
      <c r="H575" s="13" t="s">
        <v>29</v>
      </c>
      <c r="I575" s="13" cm="1">
        <f t="array" ref="I575">各流量段建筑物坡比(B575,D575)</f>
        <v>5500</v>
      </c>
      <c r="J575" s="14" t="str">
        <f t="shared" si="8"/>
        <v/>
      </c>
      <c r="K575" s="2">
        <v>5</v>
      </c>
      <c r="R575" s="2">
        <v>180</v>
      </c>
    </row>
    <row r="576" spans="1:18">
      <c r="A576" s="15" t="s">
        <v>729</v>
      </c>
      <c r="B576" s="2">
        <v>6</v>
      </c>
      <c r="C576" s="2" t="s">
        <v>725</v>
      </c>
      <c r="D576" s="13" t="s">
        <v>35</v>
      </c>
      <c r="E576" s="4">
        <v>496306.2216</v>
      </c>
      <c r="F576" s="4">
        <v>3349639.3438</v>
      </c>
      <c r="G576" s="2">
        <v>23.3</v>
      </c>
      <c r="H576" s="13" t="s">
        <v>29</v>
      </c>
      <c r="I576" s="13" cm="1">
        <f t="array" ref="I576">各流量段建筑物坡比(B576,D576)</f>
        <v>5500</v>
      </c>
      <c r="J576" s="14" t="str">
        <f t="shared" si="8"/>
        <v/>
      </c>
      <c r="K576" s="2">
        <v>5</v>
      </c>
      <c r="R576" s="2">
        <v>180</v>
      </c>
    </row>
    <row r="577" spans="1:18">
      <c r="A577" s="12" t="s">
        <v>730</v>
      </c>
      <c r="B577" s="2">
        <v>6</v>
      </c>
      <c r="C577" s="2" t="s">
        <v>725</v>
      </c>
      <c r="D577" s="13" t="s">
        <v>35</v>
      </c>
      <c r="E577" s="4">
        <v>496628.4202</v>
      </c>
      <c r="F577" s="4">
        <v>3349561.329</v>
      </c>
      <c r="G577" s="2">
        <v>23.3</v>
      </c>
      <c r="H577" s="13" t="s">
        <v>29</v>
      </c>
      <c r="I577" s="13" cm="1">
        <f t="array" ref="I577">各流量段建筑物坡比(B577,D577)</f>
        <v>5500</v>
      </c>
      <c r="J577" s="14" t="str">
        <f t="shared" si="8"/>
        <v/>
      </c>
      <c r="K577" s="2">
        <v>5</v>
      </c>
      <c r="R577" s="2">
        <v>180</v>
      </c>
    </row>
    <row r="578" spans="1:18">
      <c r="A578" s="15" t="s">
        <v>731</v>
      </c>
      <c r="B578" s="2">
        <v>6</v>
      </c>
      <c r="C578" s="2" t="s">
        <v>725</v>
      </c>
      <c r="D578" s="13" t="s">
        <v>35</v>
      </c>
      <c r="E578" s="4">
        <v>496780.894</v>
      </c>
      <c r="F578" s="4">
        <v>3349442.1754</v>
      </c>
      <c r="G578" s="2">
        <v>23.3</v>
      </c>
      <c r="H578" s="13" t="s">
        <v>29</v>
      </c>
      <c r="I578" s="13" cm="1">
        <f t="array" ref="I578">各流量段建筑物坡比(B578,D578)</f>
        <v>5500</v>
      </c>
      <c r="J578" s="14" t="str">
        <f t="shared" si="8"/>
        <v/>
      </c>
      <c r="K578" s="2">
        <v>5</v>
      </c>
      <c r="R578" s="2">
        <v>180</v>
      </c>
    </row>
    <row r="579" spans="1:18">
      <c r="A579" s="12" t="s">
        <v>732</v>
      </c>
      <c r="B579" s="2">
        <v>6</v>
      </c>
      <c r="C579" s="13" t="s">
        <v>27</v>
      </c>
      <c r="D579" s="13" t="s">
        <v>28</v>
      </c>
      <c r="E579" s="4">
        <v>496824.4977</v>
      </c>
      <c r="F579" s="4">
        <v>3349408.1004</v>
      </c>
      <c r="G579" s="2">
        <v>23.3</v>
      </c>
      <c r="H579" s="13" t="s">
        <v>29</v>
      </c>
      <c r="I579" s="13" cm="1">
        <f t="array" ref="I579">各流量段建筑物坡比(B579,D579)</f>
        <v>6000</v>
      </c>
      <c r="J579" s="14">
        <f t="shared" si="8"/>
        <v>0</v>
      </c>
      <c r="K579" s="2">
        <v>5.1</v>
      </c>
    </row>
    <row r="580" spans="1:18">
      <c r="A580" s="15" t="s">
        <v>733</v>
      </c>
      <c r="B580" s="2">
        <v>6</v>
      </c>
      <c r="C580" s="13" t="s">
        <v>27</v>
      </c>
      <c r="D580" s="13" t="s">
        <v>28</v>
      </c>
      <c r="E580" s="4">
        <v>496853.1542</v>
      </c>
      <c r="F580" s="4">
        <v>3349328.747</v>
      </c>
      <c r="G580" s="2">
        <v>23.3</v>
      </c>
      <c r="H580" s="13" t="s">
        <v>29</v>
      </c>
      <c r="I580" s="13" cm="1">
        <f t="array" ref="I580">各流量段建筑物坡比(B580,D580)</f>
        <v>6000</v>
      </c>
      <c r="J580" s="14">
        <f t="shared" ref="J580:J643" si="9">IF(C580="-",IF(ISNUMBER(SEARCH("矩形",D580)),0,IF(ISNUMBER(SEARCH("梯形",D580)),1.5,"")),"")</f>
        <v>0</v>
      </c>
      <c r="K580" s="2">
        <v>5.1</v>
      </c>
    </row>
    <row r="581" spans="1:18">
      <c r="A581" s="12" t="s">
        <v>734</v>
      </c>
      <c r="B581" s="2">
        <v>6</v>
      </c>
      <c r="C581" s="2" t="s">
        <v>735</v>
      </c>
      <c r="D581" s="13" t="s">
        <v>35</v>
      </c>
      <c r="E581" s="4">
        <v>496905.511</v>
      </c>
      <c r="F581" s="4">
        <v>3349299.2447</v>
      </c>
      <c r="G581" s="2">
        <v>23.3</v>
      </c>
      <c r="H581" s="13" t="s">
        <v>29</v>
      </c>
      <c r="I581" s="13" cm="1">
        <f t="array" ref="I581">各流量段建筑物坡比(B581,D581)</f>
        <v>5500</v>
      </c>
      <c r="J581" s="14" t="str">
        <f t="shared" si="9"/>
        <v/>
      </c>
      <c r="K581" s="2">
        <v>5</v>
      </c>
      <c r="R581" s="2">
        <v>180</v>
      </c>
    </row>
    <row r="582" spans="1:18">
      <c r="A582" s="15" t="s">
        <v>736</v>
      </c>
      <c r="B582" s="2">
        <v>6</v>
      </c>
      <c r="C582" s="2" t="s">
        <v>735</v>
      </c>
      <c r="D582" s="13" t="s">
        <v>35</v>
      </c>
      <c r="E582" s="4">
        <v>497162.8146</v>
      </c>
      <c r="F582" s="4">
        <v>3349154.2579</v>
      </c>
      <c r="G582" s="2">
        <v>23.3</v>
      </c>
      <c r="H582" s="13" t="s">
        <v>29</v>
      </c>
      <c r="I582" s="13" cm="1">
        <f t="array" ref="I582">各流量段建筑物坡比(B582,D582)</f>
        <v>5500</v>
      </c>
      <c r="J582" s="14" t="str">
        <f t="shared" si="9"/>
        <v/>
      </c>
      <c r="K582" s="2">
        <v>5</v>
      </c>
      <c r="R582" s="2">
        <v>180</v>
      </c>
    </row>
    <row r="583" spans="1:18">
      <c r="A583" s="12" t="s">
        <v>737</v>
      </c>
      <c r="B583" s="2">
        <v>6</v>
      </c>
      <c r="C583" s="2" t="s">
        <v>735</v>
      </c>
      <c r="D583" s="13" t="s">
        <v>35</v>
      </c>
      <c r="E583" s="4">
        <v>497442.4858</v>
      </c>
      <c r="F583" s="4">
        <v>3348865.4192</v>
      </c>
      <c r="G583" s="2">
        <v>23.3</v>
      </c>
      <c r="H583" s="13" t="s">
        <v>29</v>
      </c>
      <c r="I583" s="13" cm="1">
        <f t="array" ref="I583">各流量段建筑物坡比(B583,D583)</f>
        <v>5500</v>
      </c>
      <c r="J583" s="14" t="str">
        <f t="shared" si="9"/>
        <v/>
      </c>
      <c r="K583" s="2">
        <v>5</v>
      </c>
      <c r="R583" s="2">
        <v>180</v>
      </c>
    </row>
    <row r="584" spans="1:18">
      <c r="A584" s="15" t="s">
        <v>738</v>
      </c>
      <c r="B584" s="2">
        <v>6</v>
      </c>
      <c r="C584" s="2" t="s">
        <v>735</v>
      </c>
      <c r="D584" s="13" t="s">
        <v>35</v>
      </c>
      <c r="E584" s="4">
        <v>497826.1005</v>
      </c>
      <c r="F584" s="4">
        <v>3348680.6792</v>
      </c>
      <c r="G584" s="2">
        <v>23.3</v>
      </c>
      <c r="H584" s="13" t="s">
        <v>29</v>
      </c>
      <c r="I584" s="13" cm="1">
        <f t="array" ref="I584">各流量段建筑物坡比(B584,D584)</f>
        <v>5500</v>
      </c>
      <c r="J584" s="14" t="str">
        <f t="shared" si="9"/>
        <v/>
      </c>
      <c r="K584" s="2">
        <v>5</v>
      </c>
      <c r="R584" s="2">
        <v>180</v>
      </c>
    </row>
    <row r="585" spans="1:18">
      <c r="A585" s="12" t="s">
        <v>739</v>
      </c>
      <c r="B585" s="2">
        <v>6</v>
      </c>
      <c r="C585" s="2" t="s">
        <v>735</v>
      </c>
      <c r="D585" s="13" t="s">
        <v>35</v>
      </c>
      <c r="E585" s="4">
        <v>498380.2322</v>
      </c>
      <c r="F585" s="4">
        <v>3348655.4974</v>
      </c>
      <c r="G585" s="2">
        <v>23.3</v>
      </c>
      <c r="H585" s="13" t="s">
        <v>29</v>
      </c>
      <c r="I585" s="13" cm="1">
        <f t="array" ref="I585">各流量段建筑物坡比(B585,D585)</f>
        <v>5500</v>
      </c>
      <c r="J585" s="14" t="str">
        <f t="shared" si="9"/>
        <v/>
      </c>
      <c r="K585" s="2">
        <v>5</v>
      </c>
      <c r="R585" s="2">
        <v>180</v>
      </c>
    </row>
    <row r="586" spans="1:18">
      <c r="A586" s="15" t="s">
        <v>740</v>
      </c>
      <c r="B586" s="2">
        <v>6</v>
      </c>
      <c r="C586" s="2" t="s">
        <v>735</v>
      </c>
      <c r="D586" s="13" t="s">
        <v>35</v>
      </c>
      <c r="E586" s="4">
        <v>498713.1832</v>
      </c>
      <c r="F586" s="4">
        <v>3348435.2175</v>
      </c>
      <c r="G586" s="2">
        <v>23.3</v>
      </c>
      <c r="H586" s="13" t="s">
        <v>29</v>
      </c>
      <c r="I586" s="13" cm="1">
        <f t="array" ref="I586">各流量段建筑物坡比(B586,D586)</f>
        <v>5500</v>
      </c>
      <c r="J586" s="14" t="str">
        <f t="shared" si="9"/>
        <v/>
      </c>
      <c r="K586" s="2">
        <v>5</v>
      </c>
      <c r="R586" s="2">
        <v>180</v>
      </c>
    </row>
    <row r="587" spans="1:18">
      <c r="A587" s="12" t="s">
        <v>741</v>
      </c>
      <c r="B587" s="2">
        <v>6</v>
      </c>
      <c r="C587" s="2" t="s">
        <v>735</v>
      </c>
      <c r="D587" s="13" t="s">
        <v>35</v>
      </c>
      <c r="E587" s="4">
        <v>498795.7727</v>
      </c>
      <c r="F587" s="4">
        <v>3348407.4765</v>
      </c>
      <c r="G587" s="2">
        <v>23.3</v>
      </c>
      <c r="H587" s="13" t="s">
        <v>29</v>
      </c>
      <c r="I587" s="13" cm="1">
        <f t="array" ref="I587">各流量段建筑物坡比(B587,D587)</f>
        <v>5500</v>
      </c>
      <c r="J587" s="14" t="str">
        <f t="shared" si="9"/>
        <v/>
      </c>
      <c r="K587" s="2">
        <v>5</v>
      </c>
      <c r="R587" s="2">
        <v>180</v>
      </c>
    </row>
    <row r="588" spans="1:18">
      <c r="A588" s="15" t="s">
        <v>742</v>
      </c>
      <c r="B588" s="2">
        <v>6</v>
      </c>
      <c r="C588" s="13" t="s">
        <v>27</v>
      </c>
      <c r="D588" s="13" t="s">
        <v>28</v>
      </c>
      <c r="E588" s="4">
        <v>498851.3025</v>
      </c>
      <c r="F588" s="4">
        <v>3348388.8246</v>
      </c>
      <c r="G588" s="2">
        <v>23.3</v>
      </c>
      <c r="H588" s="13" t="s">
        <v>29</v>
      </c>
      <c r="I588" s="13" cm="1">
        <f t="array" ref="I588">各流量段建筑物坡比(B588,D588)</f>
        <v>6000</v>
      </c>
      <c r="J588" s="14">
        <f t="shared" si="9"/>
        <v>0</v>
      </c>
      <c r="K588" s="2">
        <v>5.1</v>
      </c>
    </row>
    <row r="589" spans="1:18">
      <c r="A589" s="12" t="s">
        <v>743</v>
      </c>
      <c r="B589" s="2">
        <v>6</v>
      </c>
      <c r="C589" s="13" t="s">
        <v>27</v>
      </c>
      <c r="D589" s="13" t="s">
        <v>28</v>
      </c>
      <c r="E589" s="4">
        <v>498916.6532</v>
      </c>
      <c r="F589" s="4">
        <v>3348327.7482</v>
      </c>
      <c r="G589" s="2">
        <v>23.3</v>
      </c>
      <c r="H589" s="13" t="s">
        <v>29</v>
      </c>
      <c r="I589" s="13" cm="1">
        <f t="array" ref="I589">各流量段建筑物坡比(B589,D589)</f>
        <v>6000</v>
      </c>
      <c r="J589" s="14">
        <f t="shared" si="9"/>
        <v>0</v>
      </c>
      <c r="K589" s="2">
        <v>5.1</v>
      </c>
    </row>
    <row r="590" spans="1:18">
      <c r="A590" s="15" t="s">
        <v>744</v>
      </c>
      <c r="B590" s="2">
        <v>6</v>
      </c>
      <c r="C590" s="2" t="s">
        <v>745</v>
      </c>
      <c r="D590" s="16" t="s">
        <v>47</v>
      </c>
      <c r="E590" s="4">
        <v>498933.0498</v>
      </c>
      <c r="F590" s="4">
        <v>3348304.543</v>
      </c>
      <c r="G590" s="2">
        <v>23.3</v>
      </c>
      <c r="H590" s="13" t="s">
        <v>29</v>
      </c>
      <c r="I590" s="13" cm="1">
        <f t="array" ref="I590">各流量段建筑物坡比(B590,D590)</f>
        <v>3500</v>
      </c>
      <c r="J590" s="14" t="str">
        <f t="shared" si="9"/>
        <v/>
      </c>
      <c r="K590" s="2">
        <v>4.7</v>
      </c>
      <c r="O590" s="2">
        <v>0.78</v>
      </c>
    </row>
    <row r="591" spans="1:18">
      <c r="A591" s="12" t="s">
        <v>746</v>
      </c>
      <c r="B591" s="2">
        <v>6</v>
      </c>
      <c r="C591" s="2" t="s">
        <v>745</v>
      </c>
      <c r="D591" s="16" t="s">
        <v>47</v>
      </c>
      <c r="E591" s="4">
        <v>499075.0091</v>
      </c>
      <c r="F591" s="4">
        <v>3348103.6361</v>
      </c>
      <c r="G591" s="2">
        <v>23.3</v>
      </c>
      <c r="H591" s="13" t="s">
        <v>29</v>
      </c>
      <c r="I591" s="13" cm="1">
        <f t="array" ref="I591">各流量段建筑物坡比(B591,D591)</f>
        <v>3500</v>
      </c>
      <c r="J591" s="14" t="str">
        <f t="shared" si="9"/>
        <v/>
      </c>
      <c r="K591" s="2">
        <v>4.7</v>
      </c>
      <c r="O591" s="2">
        <v>0.78</v>
      </c>
    </row>
    <row r="592" spans="1:18">
      <c r="A592" s="15" t="s">
        <v>747</v>
      </c>
      <c r="B592" s="2">
        <v>6</v>
      </c>
      <c r="C592" s="13" t="s">
        <v>27</v>
      </c>
      <c r="D592" s="13" t="s">
        <v>28</v>
      </c>
      <c r="E592" s="4">
        <v>499097.1372</v>
      </c>
      <c r="F592" s="4">
        <v>3348072.3194</v>
      </c>
      <c r="G592" s="2">
        <v>23.3</v>
      </c>
      <c r="H592" s="13" t="s">
        <v>29</v>
      </c>
      <c r="I592" s="13" cm="1">
        <f t="array" ref="I592">各流量段建筑物坡比(B592,D592)</f>
        <v>6000</v>
      </c>
      <c r="J592" s="14">
        <f t="shared" si="9"/>
        <v>0</v>
      </c>
      <c r="K592" s="2">
        <v>5.1</v>
      </c>
    </row>
    <row r="593" spans="1:18">
      <c r="A593" s="12" t="s">
        <v>748</v>
      </c>
      <c r="B593" s="2">
        <v>6</v>
      </c>
      <c r="C593" s="2" t="s">
        <v>749</v>
      </c>
      <c r="D593" s="16" t="s">
        <v>47</v>
      </c>
      <c r="E593" s="4">
        <v>499093.7281</v>
      </c>
      <c r="F593" s="4">
        <v>3348039.8974</v>
      </c>
      <c r="G593" s="2">
        <v>23.3</v>
      </c>
      <c r="H593" s="13" t="s">
        <v>29</v>
      </c>
      <c r="I593" s="13" cm="1">
        <f t="array" ref="I593">各流量段建筑物坡比(B593,D593)</f>
        <v>3500</v>
      </c>
      <c r="J593" s="14" t="str">
        <f t="shared" si="9"/>
        <v/>
      </c>
      <c r="K593" s="2">
        <v>4.7</v>
      </c>
      <c r="O593" s="2">
        <v>0.78</v>
      </c>
    </row>
    <row r="594" spans="1:18">
      <c r="A594" s="15" t="s">
        <v>750</v>
      </c>
      <c r="B594" s="2">
        <v>6</v>
      </c>
      <c r="C594" s="2" t="s">
        <v>749</v>
      </c>
      <c r="D594" s="16" t="s">
        <v>47</v>
      </c>
      <c r="E594" s="4">
        <v>499076.1627</v>
      </c>
      <c r="F594" s="4">
        <v>3347872.8415</v>
      </c>
      <c r="G594" s="2">
        <v>23.3</v>
      </c>
      <c r="H594" s="13" t="s">
        <v>29</v>
      </c>
      <c r="I594" s="13" cm="1">
        <f t="array" ref="I594">各流量段建筑物坡比(B594,D594)</f>
        <v>3500</v>
      </c>
      <c r="J594" s="14" t="str">
        <f t="shared" si="9"/>
        <v/>
      </c>
      <c r="K594" s="2">
        <v>4.7</v>
      </c>
      <c r="O594" s="2">
        <v>0.78</v>
      </c>
    </row>
    <row r="595" spans="1:18">
      <c r="A595" s="12" t="s">
        <v>751</v>
      </c>
      <c r="B595" s="2">
        <v>6</v>
      </c>
      <c r="C595" s="2" t="s">
        <v>752</v>
      </c>
      <c r="D595" s="13" t="s">
        <v>35</v>
      </c>
      <c r="E595" s="4">
        <v>499073.2165</v>
      </c>
      <c r="F595" s="4">
        <v>3347844.8215</v>
      </c>
      <c r="G595" s="2">
        <v>23.3</v>
      </c>
      <c r="H595" s="13" t="s">
        <v>29</v>
      </c>
      <c r="I595" s="13" cm="1">
        <f t="array" ref="I595">各流量段建筑物坡比(B595,D595)</f>
        <v>5500</v>
      </c>
      <c r="J595" s="14" t="str">
        <f t="shared" si="9"/>
        <v/>
      </c>
      <c r="K595" s="2">
        <v>5</v>
      </c>
      <c r="R595" s="2">
        <v>180</v>
      </c>
    </row>
    <row r="596" spans="1:18">
      <c r="A596" s="15" t="s">
        <v>753</v>
      </c>
      <c r="B596" s="2">
        <v>6</v>
      </c>
      <c r="C596" s="2" t="s">
        <v>752</v>
      </c>
      <c r="D596" s="13" t="s">
        <v>35</v>
      </c>
      <c r="E596" s="4">
        <v>499061.5566</v>
      </c>
      <c r="F596" s="4">
        <v>3347733.9307</v>
      </c>
      <c r="G596" s="2">
        <v>23.3</v>
      </c>
      <c r="H596" s="13" t="s">
        <v>29</v>
      </c>
      <c r="I596" s="13" cm="1">
        <f t="array" ref="I596">各流量段建筑物坡比(B596,D596)</f>
        <v>5500</v>
      </c>
      <c r="J596" s="14" t="str">
        <f t="shared" si="9"/>
        <v/>
      </c>
      <c r="K596" s="2">
        <v>5</v>
      </c>
      <c r="R596" s="2">
        <v>180</v>
      </c>
    </row>
    <row r="597" spans="1:18">
      <c r="A597" s="12" t="s">
        <v>754</v>
      </c>
      <c r="B597" s="2">
        <v>6</v>
      </c>
      <c r="C597" s="2" t="s">
        <v>752</v>
      </c>
      <c r="D597" s="13" t="s">
        <v>35</v>
      </c>
      <c r="E597" s="4">
        <v>499080.8738</v>
      </c>
      <c r="F597" s="4">
        <v>3347694.4144</v>
      </c>
      <c r="G597" s="2">
        <v>23.3</v>
      </c>
      <c r="H597" s="13" t="s">
        <v>29</v>
      </c>
      <c r="I597" s="13" cm="1">
        <f t="array" ref="I597">各流量段建筑物坡比(B597,D597)</f>
        <v>5500</v>
      </c>
      <c r="J597" s="14" t="str">
        <f t="shared" si="9"/>
        <v/>
      </c>
      <c r="K597" s="2">
        <v>5</v>
      </c>
      <c r="R597" s="2">
        <v>180</v>
      </c>
    </row>
    <row r="598" spans="1:18">
      <c r="A598" s="15" t="s">
        <v>755</v>
      </c>
      <c r="B598" s="2">
        <v>6</v>
      </c>
      <c r="C598" s="2" t="s">
        <v>756</v>
      </c>
      <c r="D598" s="16" t="s">
        <v>47</v>
      </c>
      <c r="E598" s="4">
        <v>499091.9276</v>
      </c>
      <c r="F598" s="4">
        <v>3347671.8022</v>
      </c>
      <c r="G598" s="2">
        <v>23.3</v>
      </c>
      <c r="H598" s="13" t="s">
        <v>29</v>
      </c>
      <c r="I598" s="13" cm="1">
        <f t="array" ref="I598">各流量段建筑物坡比(B598,D598)</f>
        <v>3500</v>
      </c>
      <c r="J598" s="14" t="str">
        <f t="shared" si="9"/>
        <v/>
      </c>
      <c r="K598" s="2">
        <v>4.7</v>
      </c>
      <c r="O598" s="2">
        <v>0.78</v>
      </c>
    </row>
    <row r="599" spans="1:18">
      <c r="A599" s="12" t="s">
        <v>757</v>
      </c>
      <c r="B599" s="2">
        <v>6</v>
      </c>
      <c r="C599" s="2" t="s">
        <v>756</v>
      </c>
      <c r="D599" s="16" t="s">
        <v>47</v>
      </c>
      <c r="E599" s="4">
        <v>499144.6287</v>
      </c>
      <c r="F599" s="4">
        <v>3347563.994</v>
      </c>
      <c r="G599" s="2">
        <v>23.3</v>
      </c>
      <c r="H599" s="13" t="s">
        <v>29</v>
      </c>
      <c r="I599" s="13" cm="1">
        <f t="array" ref="I599">各流量段建筑物坡比(B599,D599)</f>
        <v>3500</v>
      </c>
      <c r="J599" s="14" t="str">
        <f t="shared" si="9"/>
        <v/>
      </c>
      <c r="K599" s="2">
        <v>4.7</v>
      </c>
      <c r="O599" s="2">
        <v>0.78</v>
      </c>
    </row>
    <row r="600" spans="1:18">
      <c r="A600" s="15" t="s">
        <v>758</v>
      </c>
      <c r="B600" s="2">
        <v>6</v>
      </c>
      <c r="C600" s="13" t="s">
        <v>27</v>
      </c>
      <c r="D600" s="13" t="s">
        <v>28</v>
      </c>
      <c r="E600" s="4">
        <v>499171.8798</v>
      </c>
      <c r="F600" s="4">
        <v>3347508.2477</v>
      </c>
      <c r="G600" s="2">
        <v>23.3</v>
      </c>
      <c r="H600" s="13" t="s">
        <v>29</v>
      </c>
      <c r="I600" s="13" cm="1">
        <f t="array" ref="I600">各流量段建筑物坡比(B600,D600)</f>
        <v>6000</v>
      </c>
      <c r="J600" s="14">
        <f t="shared" si="9"/>
        <v>0</v>
      </c>
      <c r="K600" s="2">
        <v>5.1</v>
      </c>
    </row>
    <row r="601" spans="1:18">
      <c r="A601" s="12" t="s">
        <v>759</v>
      </c>
      <c r="B601" s="2">
        <v>6</v>
      </c>
      <c r="C601" s="2" t="s">
        <v>760</v>
      </c>
      <c r="D601" s="13" t="s">
        <v>35</v>
      </c>
      <c r="E601" s="4">
        <v>499183.136</v>
      </c>
      <c r="F601" s="4">
        <v>3347498.7882</v>
      </c>
      <c r="G601" s="2">
        <v>23.3</v>
      </c>
      <c r="H601" s="13" t="s">
        <v>29</v>
      </c>
      <c r="I601" s="13" cm="1">
        <f t="array" ref="I601">各流量段建筑物坡比(B601,D601)</f>
        <v>5500</v>
      </c>
      <c r="J601" s="14" t="str">
        <f t="shared" si="9"/>
        <v/>
      </c>
      <c r="K601" s="2">
        <v>5</v>
      </c>
      <c r="R601" s="2">
        <v>180</v>
      </c>
    </row>
    <row r="602" spans="1:18">
      <c r="A602" s="15" t="s">
        <v>761</v>
      </c>
      <c r="B602" s="2">
        <v>6</v>
      </c>
      <c r="C602" s="2" t="s">
        <v>760</v>
      </c>
      <c r="D602" s="13" t="s">
        <v>35</v>
      </c>
      <c r="E602" s="4">
        <v>499344.2846</v>
      </c>
      <c r="F602" s="4">
        <v>3347363.3626</v>
      </c>
      <c r="G602" s="2">
        <v>23.3</v>
      </c>
      <c r="H602" s="13" t="s">
        <v>29</v>
      </c>
      <c r="I602" s="13" cm="1">
        <f t="array" ref="I602">各流量段建筑物坡比(B602,D602)</f>
        <v>5500</v>
      </c>
      <c r="J602" s="14" t="str">
        <f t="shared" si="9"/>
        <v/>
      </c>
      <c r="K602" s="2">
        <v>5</v>
      </c>
      <c r="R602" s="2">
        <v>180</v>
      </c>
    </row>
    <row r="603" spans="1:18">
      <c r="A603" s="12" t="s">
        <v>762</v>
      </c>
      <c r="B603" s="2">
        <v>6</v>
      </c>
      <c r="C603" s="2" t="s">
        <v>760</v>
      </c>
      <c r="D603" s="13" t="s">
        <v>35</v>
      </c>
      <c r="E603" s="4">
        <v>499574.7878</v>
      </c>
      <c r="F603" s="4">
        <v>3347365.344</v>
      </c>
      <c r="G603" s="2">
        <v>23.3</v>
      </c>
      <c r="H603" s="13" t="s">
        <v>29</v>
      </c>
      <c r="I603" s="13" cm="1">
        <f t="array" ref="I603">各流量段建筑物坡比(B603,D603)</f>
        <v>5500</v>
      </c>
      <c r="J603" s="14" t="str">
        <f t="shared" si="9"/>
        <v/>
      </c>
      <c r="K603" s="2">
        <v>5</v>
      </c>
      <c r="R603" s="2">
        <v>180</v>
      </c>
    </row>
    <row r="604" spans="1:18">
      <c r="A604" s="15" t="s">
        <v>763</v>
      </c>
      <c r="B604" s="2">
        <v>6</v>
      </c>
      <c r="C604" s="13" t="s">
        <v>27</v>
      </c>
      <c r="D604" s="13" t="s">
        <v>28</v>
      </c>
      <c r="E604" s="4">
        <v>499615.4291</v>
      </c>
      <c r="F604" s="4">
        <v>3347365.6934</v>
      </c>
      <c r="G604" s="2">
        <v>23.3</v>
      </c>
      <c r="H604" s="13" t="s">
        <v>29</v>
      </c>
      <c r="I604" s="13" cm="1">
        <f t="array" ref="I604">各流量段建筑物坡比(B604,D604)</f>
        <v>6000</v>
      </c>
      <c r="J604" s="14">
        <f t="shared" si="9"/>
        <v>0</v>
      </c>
      <c r="K604" s="2">
        <v>5.1</v>
      </c>
    </row>
    <row r="605" spans="1:18">
      <c r="A605" s="12" t="s">
        <v>764</v>
      </c>
      <c r="B605" s="2">
        <v>6</v>
      </c>
      <c r="C605" s="2" t="s">
        <v>765</v>
      </c>
      <c r="D605" s="13" t="s">
        <v>35</v>
      </c>
      <c r="E605" s="4">
        <v>499640.7394</v>
      </c>
      <c r="F605" s="4">
        <v>3347357.8149</v>
      </c>
      <c r="G605" s="2">
        <v>23.3</v>
      </c>
      <c r="H605" s="13" t="s">
        <v>29</v>
      </c>
      <c r="I605" s="13" cm="1">
        <f t="array" ref="I605">各流量段建筑物坡比(B605,D605)</f>
        <v>5500</v>
      </c>
      <c r="J605" s="14" t="str">
        <f t="shared" si="9"/>
        <v/>
      </c>
      <c r="K605" s="2">
        <v>5</v>
      </c>
      <c r="R605" s="2">
        <v>180</v>
      </c>
    </row>
    <row r="606" spans="1:18">
      <c r="A606" s="15" t="s">
        <v>766</v>
      </c>
      <c r="B606" s="2">
        <v>6</v>
      </c>
      <c r="C606" s="2" t="s">
        <v>765</v>
      </c>
      <c r="D606" s="13" t="s">
        <v>35</v>
      </c>
      <c r="E606" s="4">
        <v>499842.1453</v>
      </c>
      <c r="F606" s="4">
        <v>3347295.1217</v>
      </c>
      <c r="G606" s="2">
        <v>23.3</v>
      </c>
      <c r="H606" s="13" t="s">
        <v>29</v>
      </c>
      <c r="I606" s="13" cm="1">
        <f t="array" ref="I606">各流量段建筑物坡比(B606,D606)</f>
        <v>5500</v>
      </c>
      <c r="J606" s="14" t="str">
        <f t="shared" si="9"/>
        <v/>
      </c>
      <c r="K606" s="2">
        <v>5</v>
      </c>
      <c r="R606" s="2">
        <v>180</v>
      </c>
    </row>
    <row r="607" spans="1:18">
      <c r="A607" s="12" t="s">
        <v>767</v>
      </c>
      <c r="B607" s="2">
        <v>6</v>
      </c>
      <c r="C607" s="2" t="s">
        <v>765</v>
      </c>
      <c r="D607" s="13" t="s">
        <v>35</v>
      </c>
      <c r="E607" s="4">
        <v>500002.0895</v>
      </c>
      <c r="F607" s="4">
        <v>3347159.9584</v>
      </c>
      <c r="G607" s="2">
        <v>23.3</v>
      </c>
      <c r="H607" s="13" t="s">
        <v>29</v>
      </c>
      <c r="I607" s="13" cm="1">
        <f t="array" ref="I607">各流量段建筑物坡比(B607,D607)</f>
        <v>5500</v>
      </c>
      <c r="J607" s="14" t="str">
        <f t="shared" si="9"/>
        <v/>
      </c>
      <c r="K607" s="2">
        <v>5</v>
      </c>
      <c r="R607" s="2">
        <v>180</v>
      </c>
    </row>
    <row r="608" spans="1:18">
      <c r="A608" s="15" t="s">
        <v>768</v>
      </c>
      <c r="B608" s="2">
        <v>6</v>
      </c>
      <c r="C608" s="2" t="s">
        <v>765</v>
      </c>
      <c r="D608" s="2" t="s">
        <v>44</v>
      </c>
      <c r="E608" s="4">
        <v>500037.8126</v>
      </c>
      <c r="F608" s="4">
        <v>3347129.77</v>
      </c>
      <c r="G608" s="2">
        <v>23.3</v>
      </c>
      <c r="H608" s="13" t="s">
        <v>29</v>
      </c>
      <c r="I608" s="13" t="str" cm="1">
        <f t="array" ref="I608">各流量段建筑物坡比(B608,D608)</f>
        <v/>
      </c>
      <c r="J608" s="14" t="str">
        <f t="shared" si="9"/>
        <v/>
      </c>
    </row>
    <row r="609" spans="1:18">
      <c r="A609" s="12" t="s">
        <v>769</v>
      </c>
      <c r="B609" s="2">
        <v>6</v>
      </c>
      <c r="C609" s="2" t="s">
        <v>765</v>
      </c>
      <c r="D609" s="2" t="s">
        <v>44</v>
      </c>
      <c r="E609" s="4">
        <v>500037.8126</v>
      </c>
      <c r="F609" s="4">
        <v>3347129.77</v>
      </c>
      <c r="G609" s="2">
        <v>23.3</v>
      </c>
      <c r="H609" s="13" t="s">
        <v>29</v>
      </c>
      <c r="I609" s="13" t="str" cm="1">
        <f t="array" ref="I609">各流量段建筑物坡比(B609,D609)</f>
        <v/>
      </c>
      <c r="J609" s="14" t="str">
        <f t="shared" si="9"/>
        <v/>
      </c>
    </row>
    <row r="610" spans="1:18">
      <c r="A610" s="15" t="s">
        <v>770</v>
      </c>
      <c r="B610" s="2">
        <v>6</v>
      </c>
      <c r="C610" s="13" t="s">
        <v>27</v>
      </c>
      <c r="D610" s="13" t="s">
        <v>28</v>
      </c>
      <c r="E610" s="4">
        <v>500058.1473</v>
      </c>
      <c r="F610" s="4">
        <v>3347112.5858</v>
      </c>
      <c r="G610" s="2">
        <v>23.3</v>
      </c>
      <c r="H610" s="13" t="s">
        <v>29</v>
      </c>
      <c r="I610" s="13" cm="1">
        <f t="array" ref="I610">各流量段建筑物坡比(B610,D610)</f>
        <v>6000</v>
      </c>
      <c r="J610" s="14">
        <f t="shared" si="9"/>
        <v>0</v>
      </c>
      <c r="K610" s="2">
        <v>5.1</v>
      </c>
    </row>
    <row r="611" spans="1:18">
      <c r="A611" s="12" t="s">
        <v>771</v>
      </c>
      <c r="B611" s="2">
        <v>6</v>
      </c>
      <c r="C611" s="2" t="s">
        <v>765</v>
      </c>
      <c r="D611" s="16" t="s">
        <v>47</v>
      </c>
      <c r="E611" s="4">
        <v>500064.9261</v>
      </c>
      <c r="F611" s="4">
        <v>3347091.404</v>
      </c>
      <c r="G611" s="2">
        <v>23.3</v>
      </c>
      <c r="H611" s="13" t="s">
        <v>29</v>
      </c>
      <c r="I611" s="13" cm="1">
        <f t="array" ref="I611">各流量段建筑物坡比(B611,D611)</f>
        <v>3500</v>
      </c>
      <c r="J611" s="14" t="str">
        <f t="shared" si="9"/>
        <v/>
      </c>
      <c r="K611" s="2">
        <v>4.7</v>
      </c>
      <c r="O611" s="2">
        <v>0.78</v>
      </c>
    </row>
    <row r="612" spans="1:18">
      <c r="A612" s="15" t="s">
        <v>772</v>
      </c>
      <c r="B612" s="2">
        <v>6</v>
      </c>
      <c r="C612" s="2" t="s">
        <v>765</v>
      </c>
      <c r="D612" s="16" t="s">
        <v>47</v>
      </c>
      <c r="E612" s="4">
        <v>500089.6576</v>
      </c>
      <c r="F612" s="4">
        <v>3347014.1249</v>
      </c>
      <c r="G612" s="2">
        <v>23.3</v>
      </c>
      <c r="H612" s="13" t="s">
        <v>29</v>
      </c>
      <c r="I612" s="13" cm="1">
        <f t="array" ref="I612">各流量段建筑物坡比(B612,D612)</f>
        <v>3500</v>
      </c>
      <c r="J612" s="14" t="str">
        <f t="shared" si="9"/>
        <v/>
      </c>
      <c r="K612" s="2">
        <v>4.7</v>
      </c>
      <c r="O612" s="2">
        <v>0.78</v>
      </c>
    </row>
    <row r="613" spans="1:18">
      <c r="A613" s="12" t="s">
        <v>773</v>
      </c>
      <c r="B613" s="2">
        <v>6</v>
      </c>
      <c r="C613" s="2" t="s">
        <v>765</v>
      </c>
      <c r="D613" s="16" t="s">
        <v>47</v>
      </c>
      <c r="E613" s="4">
        <v>500020.6493</v>
      </c>
      <c r="F613" s="4">
        <v>3346779.3198</v>
      </c>
      <c r="G613" s="2">
        <v>23.3</v>
      </c>
      <c r="H613" s="13" t="s">
        <v>29</v>
      </c>
      <c r="I613" s="13" cm="1">
        <f t="array" ref="I613">各流量段建筑物坡比(B613,D613)</f>
        <v>3500</v>
      </c>
      <c r="J613" s="14" t="str">
        <f t="shared" si="9"/>
        <v/>
      </c>
      <c r="K613" s="2">
        <v>4.7</v>
      </c>
      <c r="O613" s="2">
        <v>0.78</v>
      </c>
    </row>
    <row r="614" spans="1:18">
      <c r="A614" s="15" t="s">
        <v>774</v>
      </c>
      <c r="B614" s="2">
        <v>6</v>
      </c>
      <c r="C614" s="2" t="s">
        <v>765</v>
      </c>
      <c r="D614" s="16" t="s">
        <v>47</v>
      </c>
      <c r="E614" s="4">
        <v>500099.1695</v>
      </c>
      <c r="F614" s="4">
        <v>3346596.9831</v>
      </c>
      <c r="G614" s="2">
        <v>23.3</v>
      </c>
      <c r="H614" s="13" t="s">
        <v>29</v>
      </c>
      <c r="I614" s="13" cm="1">
        <f t="array" ref="I614">各流量段建筑物坡比(B614,D614)</f>
        <v>3500</v>
      </c>
      <c r="J614" s="14" t="str">
        <f t="shared" si="9"/>
        <v/>
      </c>
      <c r="K614" s="2">
        <v>4.7</v>
      </c>
      <c r="O614" s="2">
        <v>0.78</v>
      </c>
    </row>
    <row r="615" spans="1:18">
      <c r="A615" s="12" t="s">
        <v>775</v>
      </c>
      <c r="B615" s="2">
        <v>6</v>
      </c>
      <c r="C615" s="2" t="s">
        <v>765</v>
      </c>
      <c r="D615" s="16" t="s">
        <v>47</v>
      </c>
      <c r="E615" s="4">
        <v>500118.725</v>
      </c>
      <c r="F615" s="4">
        <v>3346564.9474</v>
      </c>
      <c r="G615" s="2">
        <v>23.3</v>
      </c>
      <c r="H615" s="13" t="s">
        <v>29</v>
      </c>
      <c r="I615" s="13" cm="1">
        <f t="array" ref="I615">各流量段建筑物坡比(B615,D615)</f>
        <v>3500</v>
      </c>
      <c r="J615" s="14" t="str">
        <f t="shared" si="9"/>
        <v/>
      </c>
      <c r="K615" s="2">
        <v>4.7</v>
      </c>
      <c r="O615" s="2">
        <v>0.78</v>
      </c>
    </row>
    <row r="616" spans="1:18">
      <c r="A616" s="15" t="s">
        <v>776</v>
      </c>
      <c r="B616" s="2">
        <v>6</v>
      </c>
      <c r="C616" s="2" t="s">
        <v>777</v>
      </c>
      <c r="D616" s="13" t="s">
        <v>35</v>
      </c>
      <c r="E616" s="4">
        <v>500129.1456</v>
      </c>
      <c r="F616" s="4">
        <v>3346547.8766</v>
      </c>
      <c r="G616" s="2">
        <v>23.3</v>
      </c>
      <c r="H616" s="13" t="s">
        <v>29</v>
      </c>
      <c r="I616" s="13" cm="1">
        <f t="array" ref="I616">各流量段建筑物坡比(B616,D616)</f>
        <v>5500</v>
      </c>
      <c r="J616" s="14" t="str">
        <f t="shared" si="9"/>
        <v/>
      </c>
      <c r="K616" s="2">
        <v>5</v>
      </c>
      <c r="R616" s="2">
        <v>180</v>
      </c>
    </row>
    <row r="617" spans="1:18">
      <c r="A617" s="12" t="s">
        <v>778</v>
      </c>
      <c r="B617" s="2">
        <v>6</v>
      </c>
      <c r="C617" s="2" t="s">
        <v>777</v>
      </c>
      <c r="D617" s="13" t="s">
        <v>35</v>
      </c>
      <c r="E617" s="4">
        <v>500183.8353</v>
      </c>
      <c r="F617" s="4">
        <v>3346458.2848</v>
      </c>
      <c r="G617" s="2">
        <v>23.3</v>
      </c>
      <c r="H617" s="13" t="s">
        <v>29</v>
      </c>
      <c r="I617" s="13" cm="1">
        <f t="array" ref="I617">各流量段建筑物坡比(B617,D617)</f>
        <v>5500</v>
      </c>
      <c r="J617" s="14" t="str">
        <f t="shared" si="9"/>
        <v/>
      </c>
      <c r="K617" s="2">
        <v>5</v>
      </c>
      <c r="R617" s="2">
        <v>180</v>
      </c>
    </row>
    <row r="618" spans="1:18">
      <c r="A618" s="15" t="s">
        <v>779</v>
      </c>
      <c r="B618" s="2">
        <v>6</v>
      </c>
      <c r="C618" s="2" t="s">
        <v>777</v>
      </c>
      <c r="D618" s="13" t="s">
        <v>35</v>
      </c>
      <c r="E618" s="4">
        <v>500200.1886</v>
      </c>
      <c r="F618" s="4">
        <v>3346237.6368</v>
      </c>
      <c r="G618" s="2">
        <v>23.3</v>
      </c>
      <c r="H618" s="13" t="s">
        <v>29</v>
      </c>
      <c r="I618" s="13" cm="1">
        <f t="array" ref="I618">各流量段建筑物坡比(B618,D618)</f>
        <v>5500</v>
      </c>
      <c r="J618" s="14" t="str">
        <f t="shared" si="9"/>
        <v/>
      </c>
      <c r="K618" s="2">
        <v>5</v>
      </c>
      <c r="R618" s="2">
        <v>180</v>
      </c>
    </row>
    <row r="619" spans="1:18">
      <c r="A619" s="12" t="s">
        <v>780</v>
      </c>
      <c r="B619" s="2">
        <v>6</v>
      </c>
      <c r="C619" s="2" t="s">
        <v>777</v>
      </c>
      <c r="D619" s="13" t="s">
        <v>35</v>
      </c>
      <c r="E619" s="4">
        <v>500216.0953</v>
      </c>
      <c r="F619" s="4">
        <v>3346202.9123</v>
      </c>
      <c r="G619" s="2">
        <v>23.3</v>
      </c>
      <c r="H619" s="13" t="s">
        <v>29</v>
      </c>
      <c r="I619" s="13" cm="1">
        <f t="array" ref="I619">各流量段建筑物坡比(B619,D619)</f>
        <v>5500</v>
      </c>
      <c r="J619" s="14" t="str">
        <f t="shared" si="9"/>
        <v/>
      </c>
      <c r="K619" s="2">
        <v>5</v>
      </c>
      <c r="R619" s="2">
        <v>180</v>
      </c>
    </row>
    <row r="620" spans="1:18">
      <c r="A620" s="15" t="s">
        <v>781</v>
      </c>
      <c r="B620" s="2">
        <v>6</v>
      </c>
      <c r="C620" s="2" t="s">
        <v>782</v>
      </c>
      <c r="D620" s="16" t="s">
        <v>47</v>
      </c>
      <c r="E620" s="4">
        <v>500231.5045</v>
      </c>
      <c r="F620" s="4">
        <v>3346169.2737</v>
      </c>
      <c r="G620" s="2">
        <v>23.3</v>
      </c>
      <c r="H620" s="13" t="s">
        <v>29</v>
      </c>
      <c r="I620" s="13" cm="1">
        <f t="array" ref="I620">各流量段建筑物坡比(B620,D620)</f>
        <v>3500</v>
      </c>
      <c r="J620" s="14" t="str">
        <f t="shared" si="9"/>
        <v/>
      </c>
      <c r="K620" s="2">
        <v>4.7</v>
      </c>
      <c r="O620" s="2">
        <v>0.78</v>
      </c>
    </row>
    <row r="621" spans="1:18">
      <c r="A621" s="12" t="s">
        <v>783</v>
      </c>
      <c r="B621" s="2">
        <v>6</v>
      </c>
      <c r="C621" s="2" t="s">
        <v>782</v>
      </c>
      <c r="D621" s="16" t="s">
        <v>47</v>
      </c>
      <c r="E621" s="4">
        <v>500329.5201</v>
      </c>
      <c r="F621" s="4">
        <v>3345955.304</v>
      </c>
      <c r="G621" s="2">
        <v>23.3</v>
      </c>
      <c r="H621" s="13" t="s">
        <v>29</v>
      </c>
      <c r="I621" s="13" cm="1">
        <f t="array" ref="I621">各流量段建筑物坡比(B621,D621)</f>
        <v>3500</v>
      </c>
      <c r="J621" s="14" t="str">
        <f t="shared" si="9"/>
        <v/>
      </c>
      <c r="K621" s="2">
        <v>4.7</v>
      </c>
      <c r="O621" s="2">
        <v>0.78</v>
      </c>
    </row>
    <row r="622" spans="1:18">
      <c r="A622" s="15" t="s">
        <v>784</v>
      </c>
      <c r="B622" s="2">
        <v>6</v>
      </c>
      <c r="C622" s="2" t="s">
        <v>782</v>
      </c>
      <c r="D622" s="16" t="s">
        <v>47</v>
      </c>
      <c r="E622" s="4">
        <v>500347.7651</v>
      </c>
      <c r="F622" s="4">
        <v>3345859.3023</v>
      </c>
      <c r="G622" s="2">
        <v>23.3</v>
      </c>
      <c r="H622" s="13" t="s">
        <v>29</v>
      </c>
      <c r="I622" s="13" cm="1">
        <f t="array" ref="I622">各流量段建筑物坡比(B622,D622)</f>
        <v>3500</v>
      </c>
      <c r="J622" s="14" t="str">
        <f t="shared" si="9"/>
        <v/>
      </c>
      <c r="K622" s="2">
        <v>4.7</v>
      </c>
      <c r="O622" s="2">
        <v>0.78</v>
      </c>
    </row>
    <row r="623" s="2" customFormat="1" spans="1:18">
      <c r="A623" s="12" t="s">
        <v>785</v>
      </c>
      <c r="B623" s="2">
        <v>6</v>
      </c>
      <c r="C623" s="2" t="s">
        <v>786</v>
      </c>
      <c r="D623" s="13" t="s">
        <v>35</v>
      </c>
      <c r="E623" s="4">
        <v>500354.8599</v>
      </c>
      <c r="F623" s="4">
        <v>3345821.9705</v>
      </c>
      <c r="G623" s="2">
        <v>23.3</v>
      </c>
      <c r="H623" s="13" t="s">
        <v>29</v>
      </c>
      <c r="I623" s="13" cm="1">
        <f t="array" ref="I623">各流量段建筑物坡比(B623,D623)</f>
        <v>5500</v>
      </c>
      <c r="J623" s="14" t="str">
        <f t="shared" si="9"/>
        <v/>
      </c>
      <c r="K623" s="2">
        <v>5</v>
      </c>
      <c r="R623" s="2">
        <v>180</v>
      </c>
    </row>
    <row r="624" s="2" customFormat="1" spans="1:18">
      <c r="A624" s="15" t="s">
        <v>787</v>
      </c>
      <c r="B624" s="2">
        <v>6</v>
      </c>
      <c r="C624" s="2" t="s">
        <v>786</v>
      </c>
      <c r="D624" s="13" t="s">
        <v>35</v>
      </c>
      <c r="E624" s="4">
        <v>500368.5434</v>
      </c>
      <c r="F624" s="4">
        <v>3345749.9698</v>
      </c>
      <c r="G624" s="2">
        <v>23.3</v>
      </c>
      <c r="H624" s="13" t="s">
        <v>29</v>
      </c>
      <c r="I624" s="13" cm="1">
        <f t="array" ref="I624">各流量段建筑物坡比(B624,D624)</f>
        <v>5500</v>
      </c>
      <c r="J624" s="14" t="str">
        <f t="shared" si="9"/>
        <v/>
      </c>
      <c r="K624" s="2">
        <v>5</v>
      </c>
      <c r="R624" s="2">
        <v>180</v>
      </c>
    </row>
    <row r="625" spans="1:18">
      <c r="A625" s="12" t="s">
        <v>788</v>
      </c>
      <c r="B625" s="2">
        <v>6</v>
      </c>
      <c r="C625" s="2" t="s">
        <v>786</v>
      </c>
      <c r="D625" s="13" t="s">
        <v>35</v>
      </c>
      <c r="E625" s="4">
        <v>500637.6116</v>
      </c>
      <c r="F625" s="4">
        <v>3345598.7416</v>
      </c>
      <c r="G625" s="2">
        <v>23.3</v>
      </c>
      <c r="H625" s="13" t="s">
        <v>29</v>
      </c>
      <c r="I625" s="13" cm="1">
        <f t="array" ref="I625">各流量段建筑物坡比(B625,D625)</f>
        <v>5500</v>
      </c>
      <c r="J625" s="14" t="str">
        <f t="shared" si="9"/>
        <v/>
      </c>
      <c r="K625" s="2">
        <v>5</v>
      </c>
      <c r="R625" s="2">
        <v>180</v>
      </c>
    </row>
    <row r="626" spans="1:18">
      <c r="A626" s="15" t="s">
        <v>789</v>
      </c>
      <c r="B626" s="2">
        <v>6</v>
      </c>
      <c r="C626" s="2" t="s">
        <v>786</v>
      </c>
      <c r="D626" s="13" t="s">
        <v>35</v>
      </c>
      <c r="E626" s="4">
        <v>500636.0834</v>
      </c>
      <c r="F626" s="4">
        <v>3345476.7678</v>
      </c>
      <c r="G626" s="2">
        <v>23.3</v>
      </c>
      <c r="H626" s="13" t="s">
        <v>29</v>
      </c>
      <c r="I626" s="13" cm="1">
        <f t="array" ref="I626">各流量段建筑物坡比(B626,D626)</f>
        <v>5500</v>
      </c>
      <c r="J626" s="14" t="str">
        <f t="shared" si="9"/>
        <v/>
      </c>
      <c r="K626" s="2">
        <v>5</v>
      </c>
      <c r="R626" s="2">
        <v>180</v>
      </c>
    </row>
    <row r="627" spans="1:18">
      <c r="A627" s="12" t="s">
        <v>790</v>
      </c>
      <c r="B627" s="2">
        <v>6</v>
      </c>
      <c r="C627" s="2" t="s">
        <v>786</v>
      </c>
      <c r="D627" s="13" t="s">
        <v>35</v>
      </c>
      <c r="E627" s="4">
        <v>501756.7676</v>
      </c>
      <c r="F627" s="4">
        <v>3344850.414</v>
      </c>
      <c r="G627" s="2">
        <v>23.3</v>
      </c>
      <c r="H627" s="13" t="s">
        <v>29</v>
      </c>
      <c r="I627" s="13" cm="1">
        <f t="array" ref="I627">各流量段建筑物坡比(B627,D627)</f>
        <v>5500</v>
      </c>
      <c r="J627" s="14" t="str">
        <f t="shared" si="9"/>
        <v/>
      </c>
      <c r="K627" s="2">
        <v>5</v>
      </c>
      <c r="R627" s="2">
        <v>180</v>
      </c>
    </row>
    <row r="628" spans="1:18">
      <c r="A628" s="15" t="s">
        <v>791</v>
      </c>
      <c r="B628" s="2">
        <v>6</v>
      </c>
      <c r="C628" s="2" t="s">
        <v>786</v>
      </c>
      <c r="D628" s="13" t="s">
        <v>35</v>
      </c>
      <c r="E628" s="4">
        <v>501903.4461</v>
      </c>
      <c r="F628" s="4">
        <v>3344427.6192</v>
      </c>
      <c r="G628" s="2">
        <v>23.3</v>
      </c>
      <c r="H628" s="13" t="s">
        <v>29</v>
      </c>
      <c r="I628" s="13" cm="1">
        <f t="array" ref="I628">各流量段建筑物坡比(B628,D628)</f>
        <v>5500</v>
      </c>
      <c r="J628" s="14" t="str">
        <f t="shared" si="9"/>
        <v/>
      </c>
      <c r="K628" s="2">
        <v>5</v>
      </c>
      <c r="R628" s="2">
        <v>180</v>
      </c>
    </row>
    <row r="629" spans="1:18">
      <c r="A629" s="12" t="s">
        <v>792</v>
      </c>
      <c r="B629" s="2">
        <v>6</v>
      </c>
      <c r="C629" s="2" t="s">
        <v>786</v>
      </c>
      <c r="D629" s="13" t="s">
        <v>35</v>
      </c>
      <c r="E629" s="4">
        <v>502121.4845</v>
      </c>
      <c r="F629" s="4">
        <v>3344166.4639</v>
      </c>
      <c r="G629" s="2">
        <v>23.3</v>
      </c>
      <c r="H629" s="13" t="s">
        <v>29</v>
      </c>
      <c r="I629" s="13" cm="1">
        <f t="array" ref="I629">各流量段建筑物坡比(B629,D629)</f>
        <v>5500</v>
      </c>
      <c r="J629" s="14" t="str">
        <f t="shared" si="9"/>
        <v/>
      </c>
      <c r="K629" s="2">
        <v>5</v>
      </c>
      <c r="R629" s="2">
        <v>180</v>
      </c>
    </row>
    <row r="630" spans="1:18">
      <c r="A630" s="15" t="s">
        <v>793</v>
      </c>
      <c r="B630" s="2">
        <v>6</v>
      </c>
      <c r="C630" s="2" t="s">
        <v>786</v>
      </c>
      <c r="D630" s="13" t="s">
        <v>35</v>
      </c>
      <c r="E630" s="4">
        <v>502366.8815</v>
      </c>
      <c r="F630" s="4">
        <v>3343548.9878</v>
      </c>
      <c r="G630" s="2">
        <v>23.3</v>
      </c>
      <c r="H630" s="13" t="s">
        <v>29</v>
      </c>
      <c r="I630" s="13" cm="1">
        <f t="array" ref="I630">各流量段建筑物坡比(B630,D630)</f>
        <v>5500</v>
      </c>
      <c r="J630" s="14" t="str">
        <f t="shared" si="9"/>
        <v/>
      </c>
      <c r="K630" s="2">
        <v>5</v>
      </c>
      <c r="R630" s="2">
        <v>180</v>
      </c>
    </row>
    <row r="631" spans="1:18">
      <c r="A631" s="12" t="s">
        <v>794</v>
      </c>
      <c r="B631" s="2">
        <v>6</v>
      </c>
      <c r="C631" s="2" t="s">
        <v>786</v>
      </c>
      <c r="D631" s="13" t="s">
        <v>35</v>
      </c>
      <c r="E631" s="4">
        <v>502560.6341</v>
      </c>
      <c r="F631" s="4">
        <v>3343490.2546</v>
      </c>
      <c r="G631" s="2">
        <v>23.3</v>
      </c>
      <c r="H631" s="13" t="s">
        <v>29</v>
      </c>
      <c r="I631" s="13" cm="1">
        <f t="array" ref="I631">各流量段建筑物坡比(B631,D631)</f>
        <v>5500</v>
      </c>
      <c r="J631" s="14" t="str">
        <f t="shared" si="9"/>
        <v/>
      </c>
      <c r="K631" s="2">
        <v>5</v>
      </c>
      <c r="R631" s="2">
        <v>180</v>
      </c>
    </row>
    <row r="632" spans="1:18">
      <c r="A632" s="15" t="s">
        <v>795</v>
      </c>
      <c r="B632" s="2">
        <v>6</v>
      </c>
      <c r="C632" s="13" t="s">
        <v>27</v>
      </c>
      <c r="D632" s="13" t="s">
        <v>28</v>
      </c>
      <c r="E632" s="4">
        <v>502592.7301</v>
      </c>
      <c r="F632" s="4">
        <v>3343480.5252</v>
      </c>
      <c r="G632" s="2">
        <v>23.3</v>
      </c>
      <c r="H632" s="13" t="s">
        <v>29</v>
      </c>
      <c r="I632" s="13" cm="1">
        <f t="array" ref="I632">各流量段建筑物坡比(B632,D632)</f>
        <v>6000</v>
      </c>
      <c r="J632" s="14">
        <f t="shared" si="9"/>
        <v>0</v>
      </c>
      <c r="K632" s="2">
        <v>5.1</v>
      </c>
    </row>
    <row r="633" s="1" customFormat="1" spans="1:18">
      <c r="A633" s="12" t="s">
        <v>796</v>
      </c>
      <c r="B633" s="2">
        <v>6</v>
      </c>
      <c r="C633" s="1" t="s">
        <v>797</v>
      </c>
      <c r="D633" s="1" t="s">
        <v>271</v>
      </c>
      <c r="E633" s="18">
        <v>502686.4968</v>
      </c>
      <c r="F633" s="18">
        <v>3343376.9227</v>
      </c>
      <c r="G633" s="2">
        <v>23.3</v>
      </c>
      <c r="H633" s="19" t="s">
        <v>29</v>
      </c>
      <c r="I633" s="13" t="str" cm="1">
        <f t="array" ref="I633">各流量段建筑物坡比(B633,D633)</f>
        <v/>
      </c>
      <c r="J633" s="14" t="str">
        <f t="shared" si="9"/>
        <v/>
      </c>
    </row>
    <row r="634" s="1" customFormat="1" spans="1:18">
      <c r="A634" s="15" t="s">
        <v>798</v>
      </c>
      <c r="B634" s="2">
        <v>6</v>
      </c>
      <c r="C634" s="1" t="s">
        <v>797</v>
      </c>
      <c r="D634" s="1" t="s">
        <v>271</v>
      </c>
      <c r="E634" s="18">
        <v>502686.4968</v>
      </c>
      <c r="F634" s="18">
        <v>3343376.9227</v>
      </c>
      <c r="G634" s="2">
        <v>23.3</v>
      </c>
      <c r="H634" s="19" t="s">
        <v>29</v>
      </c>
      <c r="I634" s="13" t="str" cm="1">
        <f t="array" ref="I634">各流量段建筑物坡比(B634,D634)</f>
        <v/>
      </c>
      <c r="J634" s="14" t="str">
        <f t="shared" si="9"/>
        <v/>
      </c>
    </row>
    <row r="635" spans="1:18">
      <c r="A635" s="12" t="s">
        <v>799</v>
      </c>
      <c r="B635" s="2">
        <v>7</v>
      </c>
      <c r="C635" s="13" t="s">
        <v>27</v>
      </c>
      <c r="D635" s="13" t="s">
        <v>28</v>
      </c>
      <c r="E635" s="4">
        <v>502706.2955</v>
      </c>
      <c r="F635" s="4">
        <v>3343355.0472</v>
      </c>
      <c r="G635" s="2">
        <v>14.3</v>
      </c>
      <c r="H635" s="13" t="s">
        <v>29</v>
      </c>
      <c r="I635" s="13" cm="1">
        <f t="array" ref="I635">各流量段建筑物坡比(B635,D635)</f>
        <v>6000</v>
      </c>
      <c r="J635" s="14">
        <f t="shared" si="9"/>
        <v>0</v>
      </c>
      <c r="K635" s="2">
        <v>4.8</v>
      </c>
    </row>
    <row r="636" spans="1:18">
      <c r="A636" s="15" t="s">
        <v>800</v>
      </c>
      <c r="B636" s="2">
        <v>7</v>
      </c>
      <c r="C636" s="2" t="s">
        <v>801</v>
      </c>
      <c r="D636" s="13" t="s">
        <v>802</v>
      </c>
      <c r="E636" s="4">
        <v>502735.3057</v>
      </c>
      <c r="F636" s="4">
        <v>3343345.1533</v>
      </c>
      <c r="G636" s="2">
        <v>14.3</v>
      </c>
      <c r="H636" s="13" t="s">
        <v>29</v>
      </c>
      <c r="I636" s="13" cm="1">
        <f t="array" ref="I636">各流量段建筑物坡比(B636,D636)</f>
        <v>2200</v>
      </c>
      <c r="J636" s="14" t="str">
        <f t="shared" si="9"/>
        <v/>
      </c>
      <c r="M636" s="2">
        <v>1.8</v>
      </c>
    </row>
    <row r="637" spans="1:18">
      <c r="A637" s="12" t="s">
        <v>803</v>
      </c>
      <c r="B637" s="2">
        <v>7</v>
      </c>
      <c r="C637" s="2" t="s">
        <v>801</v>
      </c>
      <c r="D637" s="13" t="s">
        <v>802</v>
      </c>
      <c r="E637" s="4">
        <v>502811.7709</v>
      </c>
      <c r="F637" s="4">
        <v>3343319.0747</v>
      </c>
      <c r="G637" s="2">
        <v>14.3</v>
      </c>
      <c r="H637" s="13" t="s">
        <v>29</v>
      </c>
      <c r="I637" s="13" cm="1">
        <f t="array" ref="I637">各流量段建筑物坡比(B637,D637)</f>
        <v>2200</v>
      </c>
      <c r="J637" s="14" t="str">
        <f t="shared" si="9"/>
        <v/>
      </c>
      <c r="M637" s="2">
        <v>1.8</v>
      </c>
    </row>
    <row r="638" s="3" customFormat="1" spans="1:18">
      <c r="A638" s="15" t="s">
        <v>804</v>
      </c>
      <c r="B638" s="3">
        <v>7</v>
      </c>
      <c r="C638" s="20" t="s">
        <v>27</v>
      </c>
      <c r="D638" s="20" t="s">
        <v>805</v>
      </c>
      <c r="E638" s="21">
        <v>502821.2356</v>
      </c>
      <c r="F638" s="21">
        <v>3343315.8468</v>
      </c>
      <c r="G638" s="3">
        <v>14.3</v>
      </c>
      <c r="H638" s="20" t="s">
        <v>29</v>
      </c>
      <c r="I638" s="13">
        <v>6000</v>
      </c>
      <c r="J638" s="14">
        <f t="shared" si="9"/>
        <v>0</v>
      </c>
      <c r="K638" s="2">
        <v>4.8</v>
      </c>
    </row>
    <row r="639" s="3" customFormat="1" spans="1:18">
      <c r="A639" s="12" t="s">
        <v>806</v>
      </c>
      <c r="B639" s="3">
        <v>7</v>
      </c>
      <c r="C639" s="20" t="s">
        <v>27</v>
      </c>
      <c r="D639" s="20" t="s">
        <v>805</v>
      </c>
      <c r="E639" s="21">
        <v>502847.8831</v>
      </c>
      <c r="F639" s="21">
        <v>3343306.7587</v>
      </c>
      <c r="G639" s="3">
        <v>14.3</v>
      </c>
      <c r="H639" s="20" t="s">
        <v>29</v>
      </c>
      <c r="I639" s="13">
        <v>6000</v>
      </c>
      <c r="J639" s="14">
        <f t="shared" si="9"/>
        <v>0</v>
      </c>
      <c r="K639" s="2">
        <v>4.8</v>
      </c>
    </row>
    <row r="640" spans="1:18">
      <c r="A640" s="15" t="s">
        <v>807</v>
      </c>
      <c r="B640" s="2">
        <v>7</v>
      </c>
      <c r="C640" s="2" t="s">
        <v>808</v>
      </c>
      <c r="D640" s="13" t="s">
        <v>35</v>
      </c>
      <c r="E640" s="4">
        <v>502847.8831</v>
      </c>
      <c r="F640" s="4">
        <v>3343306.7587</v>
      </c>
      <c r="G640" s="2">
        <v>14.3</v>
      </c>
      <c r="H640" s="13" t="s">
        <v>29</v>
      </c>
      <c r="I640" s="13" cm="1">
        <f t="array" ref="I640">各流量段建筑物坡比(B640,D640)</f>
        <v>2800</v>
      </c>
      <c r="J640" s="14" t="str">
        <f t="shared" si="9"/>
        <v/>
      </c>
      <c r="K640" s="2">
        <v>3.7</v>
      </c>
      <c r="R640" s="2">
        <v>180</v>
      </c>
    </row>
    <row r="641" spans="1:18">
      <c r="A641" s="12" t="s">
        <v>809</v>
      </c>
      <c r="B641" s="2">
        <v>7</v>
      </c>
      <c r="C641" s="2" t="s">
        <v>808</v>
      </c>
      <c r="D641" s="13" t="s">
        <v>35</v>
      </c>
      <c r="E641" s="4">
        <v>503014.2854</v>
      </c>
      <c r="F641" s="4">
        <v>3343250.0071</v>
      </c>
      <c r="G641" s="2">
        <v>14.3</v>
      </c>
      <c r="H641" s="13" t="s">
        <v>29</v>
      </c>
      <c r="I641" s="13" cm="1">
        <f t="array" ref="I641">各流量段建筑物坡比(B641,D641)</f>
        <v>2800</v>
      </c>
      <c r="J641" s="14" t="str">
        <f t="shared" si="9"/>
        <v/>
      </c>
      <c r="K641" s="2">
        <v>3.7</v>
      </c>
      <c r="R641" s="2">
        <v>180</v>
      </c>
    </row>
    <row r="642" spans="1:18">
      <c r="A642" s="15" t="s">
        <v>810</v>
      </c>
      <c r="B642" s="2">
        <v>7</v>
      </c>
      <c r="C642" s="2" t="s">
        <v>808</v>
      </c>
      <c r="D642" s="13" t="s">
        <v>35</v>
      </c>
      <c r="E642" s="4">
        <v>503971.6468</v>
      </c>
      <c r="F642" s="4">
        <v>3342679.3624</v>
      </c>
      <c r="G642" s="2">
        <v>14.3</v>
      </c>
      <c r="H642" s="13" t="s">
        <v>29</v>
      </c>
      <c r="I642" s="13" cm="1">
        <f t="array" ref="I642">各流量段建筑物坡比(B642,D642)</f>
        <v>2800</v>
      </c>
      <c r="J642" s="14" t="str">
        <f t="shared" si="9"/>
        <v/>
      </c>
      <c r="K642" s="2">
        <v>3.7</v>
      </c>
      <c r="R642" s="2">
        <v>180</v>
      </c>
    </row>
    <row r="643" spans="1:18">
      <c r="A643" s="12" t="s">
        <v>811</v>
      </c>
      <c r="B643" s="2">
        <v>7</v>
      </c>
      <c r="C643" s="2" t="s">
        <v>808</v>
      </c>
      <c r="D643" s="13" t="s">
        <v>35</v>
      </c>
      <c r="E643" s="4">
        <v>504660.7248</v>
      </c>
      <c r="F643" s="4">
        <v>3342018.6964</v>
      </c>
      <c r="G643" s="2">
        <v>14.3</v>
      </c>
      <c r="H643" s="13" t="s">
        <v>29</v>
      </c>
      <c r="I643" s="13" cm="1">
        <f t="array" ref="I643">各流量段建筑物坡比(B643,D643)</f>
        <v>2800</v>
      </c>
      <c r="J643" s="14" t="str">
        <f t="shared" si="9"/>
        <v/>
      </c>
      <c r="K643" s="2">
        <v>3.7</v>
      </c>
      <c r="R643" s="2">
        <v>180</v>
      </c>
    </row>
    <row r="644" spans="1:18">
      <c r="A644" s="15" t="s">
        <v>812</v>
      </c>
      <c r="B644" s="2">
        <v>7</v>
      </c>
      <c r="C644" s="2" t="s">
        <v>808</v>
      </c>
      <c r="D644" s="13" t="s">
        <v>35</v>
      </c>
      <c r="E644" s="4">
        <v>504771.8455</v>
      </c>
      <c r="F644" s="4">
        <v>3341621.6283</v>
      </c>
      <c r="G644" s="2">
        <v>14.3</v>
      </c>
      <c r="H644" s="13" t="s">
        <v>29</v>
      </c>
      <c r="I644" s="13" cm="1">
        <f t="array" ref="I644">各流量段建筑物坡比(B644,D644)</f>
        <v>2800</v>
      </c>
      <c r="J644" s="14" t="str">
        <f t="shared" ref="J644:J707" si="10">IF(C644="-",IF(ISNUMBER(SEARCH("矩形",D644)),0,IF(ISNUMBER(SEARCH("梯形",D644)),1.5,"")),"")</f>
        <v/>
      </c>
      <c r="K644" s="2">
        <v>3.7</v>
      </c>
      <c r="R644" s="2">
        <v>180</v>
      </c>
    </row>
    <row r="645" spans="1:18">
      <c r="A645" s="12" t="s">
        <v>813</v>
      </c>
      <c r="B645" s="2">
        <v>7</v>
      </c>
      <c r="C645" s="2" t="s">
        <v>808</v>
      </c>
      <c r="D645" s="13" t="s">
        <v>35</v>
      </c>
      <c r="E645" s="4">
        <v>504885.8419</v>
      </c>
      <c r="F645" s="4">
        <v>3341528.3616</v>
      </c>
      <c r="G645" s="2">
        <v>14.3</v>
      </c>
      <c r="H645" s="13" t="s">
        <v>29</v>
      </c>
      <c r="I645" s="13" cm="1">
        <f t="array" ref="I645">各流量段建筑物坡比(B645,D645)</f>
        <v>2800</v>
      </c>
      <c r="J645" s="14" t="str">
        <f t="shared" si="10"/>
        <v/>
      </c>
      <c r="K645" s="2">
        <v>3.7</v>
      </c>
      <c r="R645" s="2">
        <v>180</v>
      </c>
    </row>
    <row r="646" spans="1:18">
      <c r="A646" s="15" t="s">
        <v>814</v>
      </c>
      <c r="B646" s="2">
        <v>7</v>
      </c>
      <c r="C646" s="20" t="s">
        <v>27</v>
      </c>
      <c r="D646" s="20" t="s">
        <v>805</v>
      </c>
      <c r="E646" s="4">
        <v>504885.8419</v>
      </c>
      <c r="F646" s="4">
        <v>3341528.3616</v>
      </c>
      <c r="G646" s="2">
        <v>14.3</v>
      </c>
      <c r="H646" s="13" t="s">
        <v>29</v>
      </c>
      <c r="I646" s="13">
        <v>6000</v>
      </c>
      <c r="J646" s="14">
        <f t="shared" si="10"/>
        <v>0</v>
      </c>
      <c r="K646" s="2">
        <v>4.8</v>
      </c>
    </row>
    <row r="647" spans="1:18">
      <c r="A647" s="12" t="s">
        <v>815</v>
      </c>
      <c r="B647" s="2">
        <v>7</v>
      </c>
      <c r="C647" s="20" t="s">
        <v>27</v>
      </c>
      <c r="D647" s="20" t="s">
        <v>805</v>
      </c>
      <c r="E647" s="4">
        <v>504921.9866</v>
      </c>
      <c r="F647" s="4">
        <v>3341498.7897</v>
      </c>
      <c r="G647" s="2">
        <v>14.3</v>
      </c>
      <c r="H647" s="13" t="s">
        <v>29</v>
      </c>
      <c r="I647" s="13">
        <v>6000</v>
      </c>
      <c r="J647" s="14">
        <f t="shared" si="10"/>
        <v>0</v>
      </c>
      <c r="K647" s="2">
        <v>4.8</v>
      </c>
    </row>
    <row r="648" spans="1:18">
      <c r="A648" s="15" t="s">
        <v>816</v>
      </c>
      <c r="B648" s="2">
        <v>7</v>
      </c>
      <c r="C648" s="2" t="s">
        <v>817</v>
      </c>
      <c r="D648" s="13" t="s">
        <v>35</v>
      </c>
      <c r="E648" s="4">
        <v>504921.9866</v>
      </c>
      <c r="F648" s="4">
        <v>3341498.7897</v>
      </c>
      <c r="G648" s="2">
        <v>14.3</v>
      </c>
      <c r="H648" s="13" t="s">
        <v>29</v>
      </c>
      <c r="I648" s="13" cm="1">
        <f t="array" ref="I648">各流量段建筑物坡比(B648,D648)</f>
        <v>2800</v>
      </c>
      <c r="J648" s="14" t="str">
        <f t="shared" si="10"/>
        <v/>
      </c>
      <c r="K648" s="2">
        <v>3.7</v>
      </c>
      <c r="R648" s="2">
        <v>180</v>
      </c>
    </row>
    <row r="649" spans="1:18">
      <c r="A649" s="12" t="s">
        <v>818</v>
      </c>
      <c r="B649" s="2">
        <v>7</v>
      </c>
      <c r="C649" s="2" t="s">
        <v>817</v>
      </c>
      <c r="D649" s="13" t="s">
        <v>35</v>
      </c>
      <c r="E649" s="4">
        <v>505003.63</v>
      </c>
      <c r="F649" s="4">
        <v>3341431.9927</v>
      </c>
      <c r="G649" s="2">
        <v>14.3</v>
      </c>
      <c r="H649" s="13" t="s">
        <v>29</v>
      </c>
      <c r="I649" s="13" cm="1">
        <f t="array" ref="I649">各流量段建筑物坡比(B649,D649)</f>
        <v>2800</v>
      </c>
      <c r="J649" s="14" t="str">
        <f t="shared" si="10"/>
        <v/>
      </c>
      <c r="K649" s="2">
        <v>3.7</v>
      </c>
      <c r="R649" s="2">
        <v>180</v>
      </c>
    </row>
    <row r="650" spans="1:18">
      <c r="A650" s="15" t="s">
        <v>819</v>
      </c>
      <c r="B650" s="2">
        <v>7</v>
      </c>
      <c r="C650" s="2" t="s">
        <v>817</v>
      </c>
      <c r="D650" s="13" t="s">
        <v>35</v>
      </c>
      <c r="E650" s="4">
        <v>505044.9208</v>
      </c>
      <c r="F650" s="4">
        <v>3341118.5009</v>
      </c>
      <c r="G650" s="2">
        <v>14.3</v>
      </c>
      <c r="H650" s="13" t="s">
        <v>29</v>
      </c>
      <c r="I650" s="13" cm="1">
        <f t="array" ref="I650">各流量段建筑物坡比(B650,D650)</f>
        <v>2800</v>
      </c>
      <c r="J650" s="14" t="str">
        <f t="shared" si="10"/>
        <v/>
      </c>
      <c r="K650" s="2">
        <v>3.7</v>
      </c>
      <c r="R650" s="2">
        <v>180</v>
      </c>
    </row>
    <row r="651" spans="1:18">
      <c r="A651" s="12" t="s">
        <v>820</v>
      </c>
      <c r="B651" s="2">
        <v>7</v>
      </c>
      <c r="C651" s="2" t="s">
        <v>817</v>
      </c>
      <c r="D651" s="13" t="s">
        <v>35</v>
      </c>
      <c r="E651" s="4">
        <v>505226.1749</v>
      </c>
      <c r="F651" s="4">
        <v>3340987.0965</v>
      </c>
      <c r="G651" s="2">
        <v>14.3</v>
      </c>
      <c r="H651" s="13" t="s">
        <v>29</v>
      </c>
      <c r="I651" s="13" cm="1">
        <f t="array" ref="I651">各流量段建筑物坡比(B651,D651)</f>
        <v>2800</v>
      </c>
      <c r="J651" s="14" t="str">
        <f t="shared" si="10"/>
        <v/>
      </c>
      <c r="K651" s="2">
        <v>3.7</v>
      </c>
      <c r="R651" s="2">
        <v>180</v>
      </c>
    </row>
    <row r="652" spans="1:18">
      <c r="A652" s="15" t="s">
        <v>821</v>
      </c>
      <c r="B652" s="2">
        <v>7</v>
      </c>
      <c r="C652" s="2" t="s">
        <v>822</v>
      </c>
      <c r="D652" s="13" t="s">
        <v>802</v>
      </c>
      <c r="E652" s="4">
        <v>505241.4655</v>
      </c>
      <c r="F652" s="4">
        <v>3340976.0112</v>
      </c>
      <c r="G652" s="2">
        <v>14.3</v>
      </c>
      <c r="H652" s="13" t="s">
        <v>29</v>
      </c>
      <c r="I652" s="13" cm="1">
        <f t="array" ref="I652">各流量段建筑物坡比(B652,D652)</f>
        <v>2200</v>
      </c>
      <c r="J652" s="14" t="str">
        <f t="shared" si="10"/>
        <v/>
      </c>
      <c r="M652" s="2">
        <v>1.8</v>
      </c>
    </row>
    <row r="653" spans="1:18">
      <c r="A653" s="12" t="s">
        <v>823</v>
      </c>
      <c r="B653" s="2">
        <v>7</v>
      </c>
      <c r="C653" s="2" t="s">
        <v>822</v>
      </c>
      <c r="D653" s="13" t="s">
        <v>802</v>
      </c>
      <c r="E653" s="4">
        <v>505320.1338</v>
      </c>
      <c r="F653" s="4">
        <v>3340918.9788</v>
      </c>
      <c r="G653" s="2">
        <v>14.3</v>
      </c>
      <c r="H653" s="13" t="s">
        <v>29</v>
      </c>
      <c r="I653" s="13" cm="1">
        <f t="array" ref="I653">各流量段建筑物坡比(B653,D653)</f>
        <v>2200</v>
      </c>
      <c r="J653" s="14" t="str">
        <f t="shared" si="10"/>
        <v/>
      </c>
      <c r="M653" s="2">
        <v>1.8</v>
      </c>
    </row>
    <row r="654" spans="1:18">
      <c r="A654" s="15" t="s">
        <v>824</v>
      </c>
      <c r="B654" s="2">
        <v>7</v>
      </c>
      <c r="C654" s="2" t="s">
        <v>825</v>
      </c>
      <c r="D654" s="13" t="s">
        <v>35</v>
      </c>
      <c r="E654" s="4">
        <v>505329.6606</v>
      </c>
      <c r="F654" s="4">
        <v>3340912.0722</v>
      </c>
      <c r="G654" s="2">
        <v>14.3</v>
      </c>
      <c r="H654" s="13" t="s">
        <v>29</v>
      </c>
      <c r="I654" s="13" cm="1">
        <f t="array" ref="I654">各流量段建筑物坡比(B654,D654)</f>
        <v>2800</v>
      </c>
      <c r="J654" s="14" t="str">
        <f t="shared" si="10"/>
        <v/>
      </c>
      <c r="K654" s="2">
        <v>3.7</v>
      </c>
      <c r="R654" s="2">
        <v>180</v>
      </c>
    </row>
    <row r="655" spans="1:18">
      <c r="A655" s="12" t="s">
        <v>826</v>
      </c>
      <c r="B655" s="2">
        <v>7</v>
      </c>
      <c r="C655" s="2" t="s">
        <v>825</v>
      </c>
      <c r="D655" s="13" t="s">
        <v>35</v>
      </c>
      <c r="E655" s="4">
        <v>505414.3092</v>
      </c>
      <c r="F655" s="4">
        <v>3340850.7042</v>
      </c>
      <c r="G655" s="2">
        <v>14.3</v>
      </c>
      <c r="H655" s="13" t="s">
        <v>29</v>
      </c>
      <c r="I655" s="13" cm="1">
        <f t="array" ref="I655">各流量段建筑物坡比(B655,D655)</f>
        <v>2800</v>
      </c>
      <c r="J655" s="14" t="str">
        <f t="shared" si="10"/>
        <v/>
      </c>
      <c r="K655" s="2">
        <v>3.7</v>
      </c>
      <c r="R655" s="2">
        <v>180</v>
      </c>
    </row>
    <row r="656" spans="1:18">
      <c r="A656" s="15" t="s">
        <v>827</v>
      </c>
      <c r="B656" s="2">
        <v>7</v>
      </c>
      <c r="C656" s="2" t="s">
        <v>825</v>
      </c>
      <c r="D656" s="13" t="s">
        <v>35</v>
      </c>
      <c r="E656" s="4">
        <v>505516.4542</v>
      </c>
      <c r="F656" s="4">
        <v>3340797.7926</v>
      </c>
      <c r="G656" s="2">
        <v>14.3</v>
      </c>
      <c r="H656" s="13" t="s">
        <v>29</v>
      </c>
      <c r="I656" s="13" cm="1">
        <f t="array" ref="I656">各流量段建筑物坡比(B656,D656)</f>
        <v>2800</v>
      </c>
      <c r="J656" s="14" t="str">
        <f t="shared" si="10"/>
        <v/>
      </c>
      <c r="K656" s="2">
        <v>3.7</v>
      </c>
      <c r="R656" s="2">
        <v>180</v>
      </c>
    </row>
    <row r="657" spans="1:18">
      <c r="A657" s="12" t="s">
        <v>828</v>
      </c>
      <c r="B657" s="2">
        <v>7</v>
      </c>
      <c r="C657" s="2" t="s">
        <v>829</v>
      </c>
      <c r="D657" s="13" t="s">
        <v>802</v>
      </c>
      <c r="E657" s="4">
        <v>505530.7352</v>
      </c>
      <c r="F657" s="4">
        <v>3340790.395</v>
      </c>
      <c r="G657" s="2">
        <v>14.3</v>
      </c>
      <c r="H657" s="13" t="s">
        <v>29</v>
      </c>
      <c r="I657" s="13" cm="1">
        <f t="array" ref="I657">各流量段建筑物坡比(B657,D657)</f>
        <v>2200</v>
      </c>
      <c r="J657" s="14" t="str">
        <f t="shared" si="10"/>
        <v/>
      </c>
      <c r="M657" s="2">
        <v>1.8</v>
      </c>
    </row>
    <row r="658" spans="1:18">
      <c r="A658" s="15" t="s">
        <v>830</v>
      </c>
      <c r="B658" s="2">
        <v>7</v>
      </c>
      <c r="C658" s="2" t="s">
        <v>829</v>
      </c>
      <c r="D658" s="13" t="s">
        <v>802</v>
      </c>
      <c r="E658" s="4">
        <v>505674.1936</v>
      </c>
      <c r="F658" s="4">
        <v>3340716.0829</v>
      </c>
      <c r="G658" s="2">
        <v>14.3</v>
      </c>
      <c r="H658" s="13" t="s">
        <v>29</v>
      </c>
      <c r="I658" s="13" cm="1">
        <f t="array" ref="I658">各流量段建筑物坡比(B658,D658)</f>
        <v>2200</v>
      </c>
      <c r="J658" s="14" t="str">
        <f t="shared" si="10"/>
        <v/>
      </c>
      <c r="M658" s="2">
        <v>1.8</v>
      </c>
    </row>
    <row r="659" spans="1:18">
      <c r="A659" s="12" t="s">
        <v>831</v>
      </c>
      <c r="B659" s="2">
        <v>7</v>
      </c>
      <c r="C659" s="13" t="s">
        <v>27</v>
      </c>
      <c r="D659" s="13" t="s">
        <v>28</v>
      </c>
      <c r="E659" s="4">
        <v>505703.8415</v>
      </c>
      <c r="F659" s="4">
        <v>3340700.7251</v>
      </c>
      <c r="G659" s="2">
        <v>14.3</v>
      </c>
      <c r="H659" s="13" t="s">
        <v>29</v>
      </c>
      <c r="I659" s="13" cm="1">
        <f t="array" ref="I659">各流量段建筑物坡比(B659,D659)</f>
        <v>6000</v>
      </c>
      <c r="J659" s="14">
        <f t="shared" si="10"/>
        <v>0</v>
      </c>
      <c r="K659" s="2">
        <v>4.8</v>
      </c>
    </row>
    <row r="660" spans="1:18">
      <c r="A660" s="15" t="s">
        <v>832</v>
      </c>
      <c r="B660" s="2">
        <v>7</v>
      </c>
      <c r="C660" s="13" t="s">
        <v>27</v>
      </c>
      <c r="D660" s="13" t="s">
        <v>28</v>
      </c>
      <c r="E660" s="4">
        <v>505773.4022</v>
      </c>
      <c r="F660" s="4">
        <v>3340675.9742</v>
      </c>
      <c r="G660" s="2">
        <v>14.3</v>
      </c>
      <c r="H660" s="13" t="s">
        <v>29</v>
      </c>
      <c r="I660" s="13" cm="1">
        <f t="array" ref="I660">各流量段建筑物坡比(B660,D660)</f>
        <v>6000</v>
      </c>
      <c r="J660" s="14">
        <f t="shared" si="10"/>
        <v>0</v>
      </c>
      <c r="K660" s="2">
        <v>4.8</v>
      </c>
    </row>
    <row r="661" spans="1:18">
      <c r="A661" s="12" t="s">
        <v>833</v>
      </c>
      <c r="B661" s="2">
        <v>7</v>
      </c>
      <c r="C661" s="13" t="s">
        <v>27</v>
      </c>
      <c r="D661" s="13" t="s">
        <v>28</v>
      </c>
      <c r="E661" s="4">
        <v>505773.9159</v>
      </c>
      <c r="F661" s="4">
        <v>3340626.7315</v>
      </c>
      <c r="G661" s="2">
        <v>14.3</v>
      </c>
      <c r="H661" s="13" t="s">
        <v>29</v>
      </c>
      <c r="I661" s="13" cm="1">
        <f t="array" ref="I661">各流量段建筑物坡比(B661,D661)</f>
        <v>6000</v>
      </c>
      <c r="J661" s="14">
        <f t="shared" si="10"/>
        <v>0</v>
      </c>
      <c r="K661" s="2">
        <v>4.8</v>
      </c>
    </row>
    <row r="662" spans="1:18">
      <c r="A662" s="15" t="s">
        <v>834</v>
      </c>
      <c r="B662" s="2">
        <v>7</v>
      </c>
      <c r="C662" s="13" t="s">
        <v>27</v>
      </c>
      <c r="D662" s="13" t="s">
        <v>28</v>
      </c>
      <c r="E662" s="4">
        <v>505798.9152</v>
      </c>
      <c r="F662" s="4">
        <v>3340587.4437</v>
      </c>
      <c r="G662" s="2">
        <v>14.3</v>
      </c>
      <c r="H662" s="13" t="s">
        <v>29</v>
      </c>
      <c r="I662" s="13" cm="1">
        <f t="array" ref="I662">各流量段建筑物坡比(B662,D662)</f>
        <v>6000</v>
      </c>
      <c r="J662" s="14">
        <f t="shared" si="10"/>
        <v>0</v>
      </c>
      <c r="K662" s="2">
        <v>4.8</v>
      </c>
    </row>
    <row r="663" spans="1:18">
      <c r="A663" s="12" t="s">
        <v>835</v>
      </c>
      <c r="B663" s="2">
        <v>7</v>
      </c>
      <c r="C663" s="2" t="s">
        <v>836</v>
      </c>
      <c r="D663" s="13" t="s">
        <v>802</v>
      </c>
      <c r="E663" s="4">
        <v>505831.3209</v>
      </c>
      <c r="F663" s="4">
        <v>3340563.5398</v>
      </c>
      <c r="G663" s="2">
        <v>14.3</v>
      </c>
      <c r="H663" s="13" t="s">
        <v>29</v>
      </c>
      <c r="I663" s="13" cm="1">
        <f t="array" ref="I663">各流量段建筑物坡比(B663,D663)</f>
        <v>2200</v>
      </c>
      <c r="J663" s="14" t="str">
        <f t="shared" si="10"/>
        <v/>
      </c>
      <c r="M663" s="2">
        <v>1.8</v>
      </c>
    </row>
    <row r="664" spans="1:18">
      <c r="A664" s="15" t="s">
        <v>837</v>
      </c>
      <c r="B664" s="2">
        <v>7</v>
      </c>
      <c r="C664" s="2" t="s">
        <v>836</v>
      </c>
      <c r="D664" s="13" t="s">
        <v>802</v>
      </c>
      <c r="E664" s="4">
        <v>505846.6178</v>
      </c>
      <c r="F664" s="4">
        <v>3340552.2562</v>
      </c>
      <c r="G664" s="2">
        <v>14.3</v>
      </c>
      <c r="H664" s="13" t="s">
        <v>29</v>
      </c>
      <c r="I664" s="13" cm="1">
        <f t="array" ref="I664">各流量段建筑物坡比(B664,D664)</f>
        <v>2200</v>
      </c>
      <c r="J664" s="14" t="str">
        <f t="shared" si="10"/>
        <v/>
      </c>
      <c r="M664" s="2">
        <v>1.8</v>
      </c>
    </row>
    <row r="665" spans="1:18">
      <c r="A665" s="12" t="s">
        <v>838</v>
      </c>
      <c r="B665" s="2">
        <v>7</v>
      </c>
      <c r="C665" s="2" t="s">
        <v>836</v>
      </c>
      <c r="D665" s="13" t="s">
        <v>802</v>
      </c>
      <c r="E665" s="4">
        <v>505893.1781</v>
      </c>
      <c r="F665" s="4">
        <v>3340470.2537</v>
      </c>
      <c r="G665" s="2">
        <v>14.3</v>
      </c>
      <c r="H665" s="13" t="s">
        <v>29</v>
      </c>
      <c r="I665" s="13" cm="1">
        <f t="array" ref="I665">各流量段建筑物坡比(B665,D665)</f>
        <v>2200</v>
      </c>
      <c r="J665" s="14" t="str">
        <f t="shared" si="10"/>
        <v/>
      </c>
      <c r="M665" s="2">
        <v>1.8</v>
      </c>
    </row>
    <row r="666" spans="1:18">
      <c r="A666" s="15" t="s">
        <v>839</v>
      </c>
      <c r="B666" s="2">
        <v>7</v>
      </c>
      <c r="C666" s="13" t="s">
        <v>27</v>
      </c>
      <c r="D666" s="13" t="s">
        <v>28</v>
      </c>
      <c r="E666" s="4">
        <v>505903.6658</v>
      </c>
      <c r="F666" s="4">
        <v>3340451.7827</v>
      </c>
      <c r="G666" s="2">
        <v>14.3</v>
      </c>
      <c r="H666" s="13" t="s">
        <v>29</v>
      </c>
      <c r="I666" s="13" cm="1">
        <f t="array" ref="I666">各流量段建筑物坡比(B666,D666)</f>
        <v>6000</v>
      </c>
      <c r="J666" s="14">
        <f t="shared" si="10"/>
        <v>0</v>
      </c>
      <c r="K666" s="2">
        <v>4.8</v>
      </c>
    </row>
    <row r="667" spans="1:18">
      <c r="A667" s="12" t="s">
        <v>840</v>
      </c>
      <c r="B667" s="2">
        <v>7</v>
      </c>
      <c r="C667" s="13" t="s">
        <v>27</v>
      </c>
      <c r="D667" s="13" t="s">
        <v>28</v>
      </c>
      <c r="E667" s="4">
        <v>505972.0051</v>
      </c>
      <c r="F667" s="4">
        <v>3340424.2754</v>
      </c>
      <c r="G667" s="2">
        <v>14.3</v>
      </c>
      <c r="H667" s="13" t="s">
        <v>29</v>
      </c>
      <c r="I667" s="13" cm="1">
        <f t="array" ref="I667">各流量段建筑物坡比(B667,D667)</f>
        <v>6000</v>
      </c>
      <c r="J667" s="14">
        <f t="shared" si="10"/>
        <v>0</v>
      </c>
      <c r="K667" s="2">
        <v>4.8</v>
      </c>
    </row>
    <row r="668" spans="1:18">
      <c r="A668" s="15" t="s">
        <v>841</v>
      </c>
      <c r="B668" s="2">
        <v>7</v>
      </c>
      <c r="C668" s="2" t="s">
        <v>842</v>
      </c>
      <c r="D668" s="13" t="s">
        <v>802</v>
      </c>
      <c r="E668" s="4">
        <v>505986.699</v>
      </c>
      <c r="F668" s="4">
        <v>3340399.2075</v>
      </c>
      <c r="G668" s="2">
        <v>14.3</v>
      </c>
      <c r="H668" s="13" t="s">
        <v>29</v>
      </c>
      <c r="I668" s="13" cm="1">
        <f t="array" ref="I668">各流量段建筑物坡比(B668,D668)</f>
        <v>2200</v>
      </c>
      <c r="J668" s="14" t="str">
        <f t="shared" si="10"/>
        <v/>
      </c>
      <c r="M668" s="2">
        <v>1.8</v>
      </c>
    </row>
    <row r="669" spans="1:18">
      <c r="A669" s="12" t="s">
        <v>843</v>
      </c>
      <c r="B669" s="2">
        <v>7</v>
      </c>
      <c r="C669" s="2" t="s">
        <v>842</v>
      </c>
      <c r="D669" s="13" t="s">
        <v>802</v>
      </c>
      <c r="E669" s="4">
        <v>506017.5851</v>
      </c>
      <c r="F669" s="4">
        <v>3340346.5157</v>
      </c>
      <c r="G669" s="2">
        <v>14.3</v>
      </c>
      <c r="H669" s="13" t="s">
        <v>29</v>
      </c>
      <c r="I669" s="13" cm="1">
        <f t="array" ref="I669">各流量段建筑物坡比(B669,D669)</f>
        <v>2200</v>
      </c>
      <c r="J669" s="14" t="str">
        <f t="shared" si="10"/>
        <v/>
      </c>
      <c r="M669" s="2">
        <v>1.8</v>
      </c>
    </row>
    <row r="670" spans="1:18">
      <c r="A670" s="15" t="s">
        <v>844</v>
      </c>
      <c r="B670" s="2">
        <v>7</v>
      </c>
      <c r="C670" s="2" t="s">
        <v>845</v>
      </c>
      <c r="D670" s="13" t="s">
        <v>35</v>
      </c>
      <c r="E670" s="4">
        <v>506074.0444</v>
      </c>
      <c r="F670" s="4">
        <v>3340250.1958</v>
      </c>
      <c r="G670" s="2">
        <v>14.3</v>
      </c>
      <c r="H670" s="13" t="s">
        <v>29</v>
      </c>
      <c r="I670" s="13" cm="1">
        <f t="array" ref="I670">各流量段建筑物坡比(B670,D670)</f>
        <v>2800</v>
      </c>
      <c r="J670" s="14" t="str">
        <f t="shared" si="10"/>
        <v/>
      </c>
      <c r="K670" s="2">
        <v>3.7</v>
      </c>
      <c r="R670" s="2">
        <v>180</v>
      </c>
    </row>
    <row r="671" spans="1:18">
      <c r="A671" s="12" t="s">
        <v>846</v>
      </c>
      <c r="B671" s="2">
        <v>7</v>
      </c>
      <c r="C671" s="2" t="s">
        <v>845</v>
      </c>
      <c r="D671" s="13" t="s">
        <v>35</v>
      </c>
      <c r="E671" s="4">
        <v>506203.1503</v>
      </c>
      <c r="F671" s="4">
        <v>3340029.9405</v>
      </c>
      <c r="G671" s="2">
        <v>14.3</v>
      </c>
      <c r="H671" s="13" t="s">
        <v>29</v>
      </c>
      <c r="I671" s="13" cm="1">
        <f t="array" ref="I671">各流量段建筑物坡比(B671,D671)</f>
        <v>2800</v>
      </c>
      <c r="J671" s="14" t="str">
        <f t="shared" si="10"/>
        <v/>
      </c>
      <c r="K671" s="2">
        <v>3.7</v>
      </c>
      <c r="R671" s="2">
        <v>180</v>
      </c>
    </row>
    <row r="672" s="1" customFormat="1" spans="1:18">
      <c r="A672" s="15" t="s">
        <v>847</v>
      </c>
      <c r="B672" s="2">
        <v>7</v>
      </c>
      <c r="C672" s="1" t="s">
        <v>848</v>
      </c>
      <c r="D672" s="1" t="s">
        <v>271</v>
      </c>
      <c r="E672" s="18">
        <v>506222.5993</v>
      </c>
      <c r="F672" s="18">
        <v>3339996.7604</v>
      </c>
      <c r="G672" s="2">
        <v>14.3</v>
      </c>
      <c r="H672" s="19" t="s">
        <v>29</v>
      </c>
      <c r="I672" s="13" t="str" cm="1">
        <f t="array" ref="I672">各流量段建筑物坡比(B672,D672)</f>
        <v/>
      </c>
      <c r="J672" s="14" t="str">
        <f t="shared" si="10"/>
        <v/>
      </c>
    </row>
    <row r="673" spans="1:18">
      <c r="A673" s="12" t="s">
        <v>849</v>
      </c>
      <c r="B673" s="2">
        <v>8</v>
      </c>
      <c r="C673" s="2" t="s">
        <v>850</v>
      </c>
      <c r="D673" s="13" t="s">
        <v>802</v>
      </c>
      <c r="E673" s="4">
        <v>506242.0478</v>
      </c>
      <c r="F673" s="4">
        <v>3339963.5811</v>
      </c>
      <c r="G673" s="2">
        <v>12.7</v>
      </c>
      <c r="H673" s="13" t="s">
        <v>29</v>
      </c>
      <c r="I673" s="13" cm="1">
        <f t="array" ref="I673">各流量段建筑物坡比(B673,D673)</f>
        <v>2200</v>
      </c>
      <c r="J673" s="14" t="str">
        <f t="shared" si="10"/>
        <v/>
      </c>
      <c r="M673" s="2">
        <v>1.7</v>
      </c>
    </row>
    <row r="674" spans="1:18">
      <c r="A674" s="15" t="s">
        <v>851</v>
      </c>
      <c r="B674" s="2">
        <v>8</v>
      </c>
      <c r="C674" s="2" t="s">
        <v>850</v>
      </c>
      <c r="D674" s="13" t="s">
        <v>802</v>
      </c>
      <c r="E674" s="4">
        <v>506268.599</v>
      </c>
      <c r="F674" s="4">
        <v>3339918.2847</v>
      </c>
      <c r="G674" s="2">
        <v>12.7</v>
      </c>
      <c r="H674" s="13" t="s">
        <v>29</v>
      </c>
      <c r="I674" s="13" cm="1">
        <f t="array" ref="I674">各流量段建筑物坡比(B674,D674)</f>
        <v>2200</v>
      </c>
      <c r="J674" s="14" t="str">
        <f t="shared" si="10"/>
        <v/>
      </c>
      <c r="M674" s="2">
        <v>1.7</v>
      </c>
    </row>
    <row r="675" spans="1:18">
      <c r="A675" s="12" t="s">
        <v>852</v>
      </c>
      <c r="B675" s="2">
        <v>8</v>
      </c>
      <c r="C675" s="2" t="s">
        <v>850</v>
      </c>
      <c r="D675" s="13" t="s">
        <v>802</v>
      </c>
      <c r="E675" s="4">
        <v>506269.8337</v>
      </c>
      <c r="F675" s="4">
        <v>3339897.6958</v>
      </c>
      <c r="G675" s="2">
        <v>12.7</v>
      </c>
      <c r="H675" s="13" t="s">
        <v>29</v>
      </c>
      <c r="I675" s="13" cm="1">
        <f t="array" ref="I675">各流量段建筑物坡比(B675,D675)</f>
        <v>2200</v>
      </c>
      <c r="J675" s="14" t="str">
        <f t="shared" si="10"/>
        <v/>
      </c>
      <c r="M675" s="2">
        <v>1.7</v>
      </c>
    </row>
    <row r="676" spans="1:18">
      <c r="A676" s="15" t="s">
        <v>853</v>
      </c>
      <c r="B676" s="2">
        <v>8</v>
      </c>
      <c r="C676" s="13" t="s">
        <v>27</v>
      </c>
      <c r="D676" s="13" t="s">
        <v>28</v>
      </c>
      <c r="E676" s="4">
        <v>506272.6645</v>
      </c>
      <c r="F676" s="4">
        <v>3339850.4936</v>
      </c>
      <c r="G676" s="2">
        <v>12.7</v>
      </c>
      <c r="H676" s="13" t="s">
        <v>29</v>
      </c>
      <c r="I676" s="13" cm="1">
        <f t="array" ref="I676">各流量段建筑物坡比(B676,D676)</f>
        <v>6000</v>
      </c>
      <c r="J676" s="14">
        <f t="shared" si="10"/>
        <v>0</v>
      </c>
      <c r="K676" s="2">
        <v>4.5</v>
      </c>
    </row>
    <row r="677" spans="1:18">
      <c r="A677" s="12" t="s">
        <v>854</v>
      </c>
      <c r="B677" s="2">
        <v>8</v>
      </c>
      <c r="C677" s="13" t="s">
        <v>27</v>
      </c>
      <c r="D677" s="13" t="s">
        <v>28</v>
      </c>
      <c r="E677" s="4">
        <v>506383.4082</v>
      </c>
      <c r="F677" s="4">
        <v>3339736.999</v>
      </c>
      <c r="G677" s="2">
        <v>12.7</v>
      </c>
      <c r="H677" s="13" t="s">
        <v>29</v>
      </c>
      <c r="I677" s="13" cm="1">
        <f t="array" ref="I677">各流量段建筑物坡比(B677,D677)</f>
        <v>6000</v>
      </c>
      <c r="J677" s="14">
        <f t="shared" si="10"/>
        <v>0</v>
      </c>
      <c r="K677" s="2">
        <v>4.5</v>
      </c>
    </row>
    <row r="678" spans="1:18">
      <c r="A678" s="15" t="s">
        <v>855</v>
      </c>
      <c r="B678" s="2">
        <v>8</v>
      </c>
      <c r="C678" s="2" t="s">
        <v>856</v>
      </c>
      <c r="D678" s="13" t="s">
        <v>802</v>
      </c>
      <c r="E678" s="4">
        <v>506524.0428</v>
      </c>
      <c r="F678" s="4">
        <v>3339655.2784</v>
      </c>
      <c r="G678" s="2">
        <v>12.7</v>
      </c>
      <c r="H678" s="13" t="s">
        <v>29</v>
      </c>
      <c r="I678" s="13" cm="1">
        <f t="array" ref="I678">各流量段建筑物坡比(B678,D678)</f>
        <v>2200</v>
      </c>
      <c r="J678" s="14" t="str">
        <f t="shared" si="10"/>
        <v/>
      </c>
      <c r="M678" s="2">
        <v>1.7</v>
      </c>
    </row>
    <row r="679" spans="1:18">
      <c r="A679" s="12" t="s">
        <v>857</v>
      </c>
      <c r="B679" s="2">
        <v>8</v>
      </c>
      <c r="C679" s="2" t="s">
        <v>856</v>
      </c>
      <c r="D679" s="13" t="s">
        <v>802</v>
      </c>
      <c r="E679" s="4">
        <v>506609.532</v>
      </c>
      <c r="F679" s="4">
        <v>3339605.6018</v>
      </c>
      <c r="G679" s="2">
        <v>12.7</v>
      </c>
      <c r="H679" s="13" t="s">
        <v>29</v>
      </c>
      <c r="I679" s="13" cm="1">
        <f t="array" ref="I679">各流量段建筑物坡比(B679,D679)</f>
        <v>2200</v>
      </c>
      <c r="J679" s="14" t="str">
        <f t="shared" si="10"/>
        <v/>
      </c>
      <c r="M679" s="2">
        <v>1.7</v>
      </c>
    </row>
    <row r="680" spans="1:18">
      <c r="A680" s="15" t="s">
        <v>858</v>
      </c>
      <c r="B680" s="2">
        <v>8</v>
      </c>
      <c r="C680" s="2" t="s">
        <v>856</v>
      </c>
      <c r="D680" s="13" t="s">
        <v>802</v>
      </c>
      <c r="E680" s="4">
        <v>506668.3967</v>
      </c>
      <c r="F680" s="4">
        <v>3339586.1704</v>
      </c>
      <c r="G680" s="2">
        <v>12.7</v>
      </c>
      <c r="H680" s="13" t="s">
        <v>29</v>
      </c>
      <c r="I680" s="13" cm="1">
        <f t="array" ref="I680">各流量段建筑物坡比(B680,D680)</f>
        <v>2200</v>
      </c>
      <c r="J680" s="14" t="str">
        <f t="shared" si="10"/>
        <v/>
      </c>
      <c r="M680" s="2">
        <v>1.7</v>
      </c>
    </row>
    <row r="681" spans="1:18">
      <c r="A681" s="12" t="s">
        <v>859</v>
      </c>
      <c r="B681" s="2">
        <v>8</v>
      </c>
      <c r="C681" s="13" t="s">
        <v>27</v>
      </c>
      <c r="D681" s="13" t="s">
        <v>28</v>
      </c>
      <c r="E681" s="4">
        <v>506705.041</v>
      </c>
      <c r="F681" s="4">
        <v>3339574.0741</v>
      </c>
      <c r="G681" s="2">
        <v>12.7</v>
      </c>
      <c r="H681" s="13" t="s">
        <v>29</v>
      </c>
      <c r="I681" s="13" cm="1">
        <f t="array" ref="I681">各流量段建筑物坡比(B681,D681)</f>
        <v>6000</v>
      </c>
      <c r="J681" s="14">
        <f t="shared" si="10"/>
        <v>0</v>
      </c>
      <c r="K681" s="2">
        <v>4.5</v>
      </c>
    </row>
    <row r="682" spans="1:18">
      <c r="A682" s="15" t="s">
        <v>860</v>
      </c>
      <c r="B682" s="2">
        <v>8</v>
      </c>
      <c r="C682" s="13" t="s">
        <v>27</v>
      </c>
      <c r="D682" s="13" t="s">
        <v>28</v>
      </c>
      <c r="E682" s="4">
        <v>506720.037</v>
      </c>
      <c r="F682" s="4">
        <v>3339442.2668</v>
      </c>
      <c r="G682" s="2">
        <v>12.7</v>
      </c>
      <c r="H682" s="13" t="s">
        <v>29</v>
      </c>
      <c r="I682" s="13" cm="1">
        <f t="array" ref="I682">各流量段建筑物坡比(B682,D682)</f>
        <v>6000</v>
      </c>
      <c r="J682" s="14">
        <f t="shared" si="10"/>
        <v>0</v>
      </c>
      <c r="K682" s="2">
        <v>4.5</v>
      </c>
    </row>
    <row r="683" spans="1:18">
      <c r="A683" s="12" t="s">
        <v>861</v>
      </c>
      <c r="B683" s="2">
        <v>8</v>
      </c>
      <c r="C683" s="2" t="s">
        <v>862</v>
      </c>
      <c r="D683" s="2" t="s">
        <v>81</v>
      </c>
      <c r="E683" s="4">
        <v>506752.9953</v>
      </c>
      <c r="F683" s="4">
        <v>3339417.3958</v>
      </c>
      <c r="G683" s="2">
        <v>12.7</v>
      </c>
      <c r="H683" s="13" t="s">
        <v>29</v>
      </c>
      <c r="I683" s="13" t="str" cm="1">
        <f t="array" ref="I683">各流量段建筑物坡比(B683,D683)</f>
        <v/>
      </c>
      <c r="J683" s="14" t="str">
        <f t="shared" si="10"/>
        <v/>
      </c>
    </row>
    <row r="684" spans="1:18">
      <c r="A684" s="15" t="s">
        <v>863</v>
      </c>
      <c r="B684" s="2">
        <v>8</v>
      </c>
      <c r="C684" s="2" t="s">
        <v>862</v>
      </c>
      <c r="D684" s="2" t="s">
        <v>81</v>
      </c>
      <c r="E684" s="4">
        <v>506937.616</v>
      </c>
      <c r="F684" s="4">
        <v>3339278.0776</v>
      </c>
      <c r="G684" s="2">
        <v>12.7</v>
      </c>
      <c r="H684" s="13" t="s">
        <v>29</v>
      </c>
      <c r="I684" s="13" t="str" cm="1">
        <f t="array" ref="I684">各流量段建筑物坡比(B684,D684)</f>
        <v/>
      </c>
      <c r="J684" s="14" t="str">
        <f t="shared" si="10"/>
        <v/>
      </c>
    </row>
    <row r="685" spans="1:18">
      <c r="A685" s="12" t="s">
        <v>864</v>
      </c>
      <c r="B685" s="2">
        <v>8</v>
      </c>
      <c r="C685" s="2" t="s">
        <v>862</v>
      </c>
      <c r="D685" s="2" t="s">
        <v>81</v>
      </c>
      <c r="E685" s="4">
        <v>506994.1132</v>
      </c>
      <c r="F685" s="4">
        <v>3339148.4443</v>
      </c>
      <c r="G685" s="2">
        <v>12.7</v>
      </c>
      <c r="H685" s="13" t="s">
        <v>29</v>
      </c>
      <c r="I685" s="13" t="str" cm="1">
        <f t="array" ref="I685">各流量段建筑物坡比(B685,D685)</f>
        <v/>
      </c>
      <c r="J685" s="14" t="str">
        <f t="shared" si="10"/>
        <v/>
      </c>
    </row>
    <row r="686" spans="1:18">
      <c r="A686" s="15" t="s">
        <v>865</v>
      </c>
      <c r="B686" s="2">
        <v>8</v>
      </c>
      <c r="C686" s="2" t="s">
        <v>862</v>
      </c>
      <c r="D686" s="2" t="s">
        <v>81</v>
      </c>
      <c r="E686" s="4">
        <v>507189.6204</v>
      </c>
      <c r="F686" s="4">
        <v>3338956.7529</v>
      </c>
      <c r="G686" s="2">
        <v>12.7</v>
      </c>
      <c r="H686" s="13" t="s">
        <v>29</v>
      </c>
      <c r="I686" s="13" t="str" cm="1">
        <f t="array" ref="I686">各流量段建筑物坡比(B686,D686)</f>
        <v/>
      </c>
      <c r="J686" s="14" t="str">
        <f t="shared" si="10"/>
        <v/>
      </c>
    </row>
    <row r="687" spans="1:18">
      <c r="A687" s="12" t="s">
        <v>866</v>
      </c>
      <c r="B687" s="2">
        <v>8</v>
      </c>
      <c r="C687" s="2" t="s">
        <v>186</v>
      </c>
      <c r="D687" s="13" t="s">
        <v>35</v>
      </c>
      <c r="E687" s="4">
        <v>507212.8916</v>
      </c>
      <c r="F687" s="4">
        <v>3338933.936</v>
      </c>
      <c r="G687" s="2">
        <v>12.7</v>
      </c>
      <c r="H687" s="13" t="s">
        <v>29</v>
      </c>
      <c r="I687" s="13" cm="1">
        <f t="array" ref="I687">各流量段建筑物坡比(B687,D687)</f>
        <v>2800</v>
      </c>
      <c r="J687" s="14" t="str">
        <f t="shared" si="10"/>
        <v/>
      </c>
      <c r="K687" s="2">
        <v>3.5</v>
      </c>
      <c r="R687" s="2">
        <v>180</v>
      </c>
    </row>
    <row r="688" spans="1:18">
      <c r="A688" s="15" t="s">
        <v>867</v>
      </c>
      <c r="B688" s="2">
        <v>8</v>
      </c>
      <c r="C688" s="2" t="s">
        <v>186</v>
      </c>
      <c r="D688" s="13" t="s">
        <v>35</v>
      </c>
      <c r="E688" s="4">
        <v>507263.0089</v>
      </c>
      <c r="F688" s="4">
        <v>3338884.7968</v>
      </c>
      <c r="G688" s="2">
        <v>12.7</v>
      </c>
      <c r="H688" s="13" t="s">
        <v>29</v>
      </c>
      <c r="I688" s="13" cm="1">
        <f t="array" ref="I688">各流量段建筑物坡比(B688,D688)</f>
        <v>2800</v>
      </c>
      <c r="J688" s="14" t="str">
        <f t="shared" si="10"/>
        <v/>
      </c>
      <c r="K688" s="2">
        <v>3.5</v>
      </c>
      <c r="R688" s="2">
        <v>180</v>
      </c>
    </row>
    <row r="689" spans="1:18">
      <c r="A689" s="12" t="s">
        <v>868</v>
      </c>
      <c r="B689" s="2">
        <v>8</v>
      </c>
      <c r="C689" s="2" t="s">
        <v>186</v>
      </c>
      <c r="D689" s="13" t="s">
        <v>35</v>
      </c>
      <c r="E689" s="4">
        <v>507270.7581</v>
      </c>
      <c r="F689" s="4">
        <v>3338721.5121</v>
      </c>
      <c r="G689" s="2">
        <v>12.7</v>
      </c>
      <c r="H689" s="13" t="s">
        <v>29</v>
      </c>
      <c r="I689" s="13" cm="1">
        <f t="array" ref="I689">各流量段建筑物坡比(B689,D689)</f>
        <v>2800</v>
      </c>
      <c r="J689" s="14" t="str">
        <f t="shared" si="10"/>
        <v/>
      </c>
      <c r="K689" s="2">
        <v>3.5</v>
      </c>
      <c r="R689" s="2">
        <v>180</v>
      </c>
    </row>
    <row r="690" spans="1:18">
      <c r="A690" s="15" t="s">
        <v>869</v>
      </c>
      <c r="B690" s="2">
        <v>8</v>
      </c>
      <c r="C690" s="2" t="s">
        <v>186</v>
      </c>
      <c r="D690" s="13" t="s">
        <v>35</v>
      </c>
      <c r="E690" s="4">
        <v>507133.3052</v>
      </c>
      <c r="F690" s="4">
        <v>3338516.6223</v>
      </c>
      <c r="G690" s="2">
        <v>12.7</v>
      </c>
      <c r="H690" s="13" t="s">
        <v>29</v>
      </c>
      <c r="I690" s="13" cm="1">
        <f t="array" ref="I690">各流量段建筑物坡比(B690,D690)</f>
        <v>2800</v>
      </c>
      <c r="J690" s="14" t="str">
        <f t="shared" si="10"/>
        <v/>
      </c>
      <c r="K690" s="2">
        <v>3.5</v>
      </c>
      <c r="R690" s="2">
        <v>180</v>
      </c>
    </row>
    <row r="691" spans="1:18">
      <c r="A691" s="12" t="s">
        <v>870</v>
      </c>
      <c r="B691" s="2">
        <v>8</v>
      </c>
      <c r="C691" s="2" t="s">
        <v>186</v>
      </c>
      <c r="D691" s="13" t="s">
        <v>35</v>
      </c>
      <c r="E691" s="4">
        <v>507134.4343</v>
      </c>
      <c r="F691" s="4">
        <v>3338427.6499</v>
      </c>
      <c r="G691" s="2">
        <v>12.7</v>
      </c>
      <c r="H691" s="13" t="s">
        <v>29</v>
      </c>
      <c r="I691" s="13" cm="1">
        <f t="array" ref="I691">各流量段建筑物坡比(B691,D691)</f>
        <v>2800</v>
      </c>
      <c r="J691" s="14" t="str">
        <f t="shared" si="10"/>
        <v/>
      </c>
      <c r="K691" s="2">
        <v>3.5</v>
      </c>
      <c r="R691" s="2">
        <v>180</v>
      </c>
    </row>
    <row r="692" spans="1:18">
      <c r="A692" s="15" t="s">
        <v>871</v>
      </c>
      <c r="B692" s="2">
        <v>8</v>
      </c>
      <c r="C692" s="13" t="s">
        <v>27</v>
      </c>
      <c r="D692" s="13" t="s">
        <v>28</v>
      </c>
      <c r="E692" s="4">
        <v>507135.1946</v>
      </c>
      <c r="F692" s="4">
        <v>3338367.7412</v>
      </c>
      <c r="G692" s="2">
        <v>12.7</v>
      </c>
      <c r="H692" s="13" t="s">
        <v>29</v>
      </c>
      <c r="I692" s="13" cm="1">
        <f t="array" ref="I692">各流量段建筑物坡比(B692,D692)</f>
        <v>6000</v>
      </c>
      <c r="J692" s="14">
        <f t="shared" si="10"/>
        <v>0</v>
      </c>
      <c r="K692" s="2">
        <v>4.5</v>
      </c>
    </row>
    <row r="693" spans="1:18">
      <c r="A693" s="12" t="s">
        <v>872</v>
      </c>
      <c r="B693" s="2">
        <v>8</v>
      </c>
      <c r="C693" s="13" t="s">
        <v>27</v>
      </c>
      <c r="D693" s="13" t="s">
        <v>28</v>
      </c>
      <c r="E693" s="4">
        <v>507209.084</v>
      </c>
      <c r="F693" s="4">
        <v>3338322.2943</v>
      </c>
      <c r="G693" s="2">
        <v>12.7</v>
      </c>
      <c r="H693" s="13" t="s">
        <v>29</v>
      </c>
      <c r="I693" s="13" cm="1">
        <f t="array" ref="I693">各流量段建筑物坡比(B693,D693)</f>
        <v>6000</v>
      </c>
      <c r="J693" s="14">
        <f t="shared" si="10"/>
        <v>0</v>
      </c>
      <c r="K693" s="2">
        <v>4.5</v>
      </c>
    </row>
    <row r="694" spans="1:18">
      <c r="A694" s="15" t="s">
        <v>873</v>
      </c>
      <c r="B694" s="2">
        <v>8</v>
      </c>
      <c r="C694" s="13" t="s">
        <v>27</v>
      </c>
      <c r="D694" s="13" t="s">
        <v>28</v>
      </c>
      <c r="E694" s="4">
        <v>507219.3959</v>
      </c>
      <c r="F694" s="4">
        <v>3338196.2187</v>
      </c>
      <c r="G694" s="2">
        <v>12.7</v>
      </c>
      <c r="H694" s="13" t="s">
        <v>29</v>
      </c>
      <c r="I694" s="13" cm="1">
        <f t="array" ref="I694">各流量段建筑物坡比(B694,D694)</f>
        <v>6000</v>
      </c>
      <c r="J694" s="14">
        <f t="shared" si="10"/>
        <v>0</v>
      </c>
      <c r="K694" s="2">
        <v>4.5</v>
      </c>
    </row>
    <row r="695" spans="1:18">
      <c r="A695" s="12" t="s">
        <v>874</v>
      </c>
      <c r="B695" s="2">
        <v>8</v>
      </c>
      <c r="C695" s="2" t="s">
        <v>875</v>
      </c>
      <c r="D695" s="13" t="s">
        <v>802</v>
      </c>
      <c r="E695" s="4">
        <v>507250.3046</v>
      </c>
      <c r="F695" s="4">
        <v>3338154.9442</v>
      </c>
      <c r="G695" s="2">
        <v>12.7</v>
      </c>
      <c r="H695" s="13" t="s">
        <v>29</v>
      </c>
      <c r="I695" s="13" cm="1">
        <f t="array" ref="I695">各流量段建筑物坡比(B695,D695)</f>
        <v>2200</v>
      </c>
      <c r="J695" s="14" t="str">
        <f t="shared" si="10"/>
        <v/>
      </c>
      <c r="M695" s="2">
        <v>1.7</v>
      </c>
    </row>
    <row r="696" spans="1:18">
      <c r="A696" s="15" t="s">
        <v>876</v>
      </c>
      <c r="B696" s="2">
        <v>8</v>
      </c>
      <c r="C696" s="2" t="s">
        <v>875</v>
      </c>
      <c r="D696" s="13" t="s">
        <v>802</v>
      </c>
      <c r="E696" s="4">
        <v>507287.0031</v>
      </c>
      <c r="F696" s="4">
        <v>3338105.9382</v>
      </c>
      <c r="G696" s="2">
        <v>12.7</v>
      </c>
      <c r="H696" s="13" t="s">
        <v>29</v>
      </c>
      <c r="I696" s="13" cm="1">
        <f t="array" ref="I696">各流量段建筑物坡比(B696,D696)</f>
        <v>2200</v>
      </c>
      <c r="J696" s="14" t="str">
        <f t="shared" si="10"/>
        <v/>
      </c>
      <c r="M696" s="2">
        <v>1.7</v>
      </c>
    </row>
    <row r="697" spans="1:18">
      <c r="A697" s="12" t="s">
        <v>877</v>
      </c>
      <c r="B697" s="2">
        <v>8</v>
      </c>
      <c r="C697" s="2" t="s">
        <v>875</v>
      </c>
      <c r="D697" s="13" t="s">
        <v>802</v>
      </c>
      <c r="E697" s="4">
        <v>507627.4959</v>
      </c>
      <c r="F697" s="4">
        <v>3337970.1779</v>
      </c>
      <c r="G697" s="2">
        <v>12.7</v>
      </c>
      <c r="H697" s="13" t="s">
        <v>29</v>
      </c>
      <c r="I697" s="13" cm="1">
        <f t="array" ref="I697">各流量段建筑物坡比(B697,D697)</f>
        <v>2200</v>
      </c>
      <c r="J697" s="14" t="str">
        <f t="shared" si="10"/>
        <v/>
      </c>
      <c r="M697" s="2">
        <v>1.7</v>
      </c>
    </row>
    <row r="698" spans="1:18">
      <c r="A698" s="15" t="s">
        <v>878</v>
      </c>
      <c r="B698" s="2">
        <v>8</v>
      </c>
      <c r="C698" s="13" t="s">
        <v>27</v>
      </c>
      <c r="D698" s="13" t="s">
        <v>28</v>
      </c>
      <c r="E698" s="4">
        <v>507688.539</v>
      </c>
      <c r="F698" s="4">
        <v>3337945.839</v>
      </c>
      <c r="G698" s="2">
        <v>12.7</v>
      </c>
      <c r="H698" s="13" t="s">
        <v>29</v>
      </c>
      <c r="I698" s="13" cm="1">
        <f t="array" ref="I698">各流量段建筑物坡比(B698,D698)</f>
        <v>6000</v>
      </c>
      <c r="J698" s="14">
        <f t="shared" si="10"/>
        <v>0</v>
      </c>
      <c r="K698" s="2">
        <v>4.5</v>
      </c>
    </row>
    <row r="699" spans="1:18">
      <c r="A699" s="12" t="s">
        <v>879</v>
      </c>
      <c r="B699" s="2">
        <v>8</v>
      </c>
      <c r="C699" s="2" t="s">
        <v>880</v>
      </c>
      <c r="D699" s="13" t="s">
        <v>802</v>
      </c>
      <c r="E699" s="4">
        <v>507708.6119</v>
      </c>
      <c r="F699" s="4">
        <v>3337928.2515</v>
      </c>
      <c r="G699" s="2">
        <v>12.7</v>
      </c>
      <c r="H699" s="13" t="s">
        <v>29</v>
      </c>
      <c r="I699" s="13" cm="1">
        <f t="array" ref="I699">各流量段建筑物坡比(B699,D699)</f>
        <v>2200</v>
      </c>
      <c r="J699" s="14" t="str">
        <f t="shared" si="10"/>
        <v/>
      </c>
      <c r="M699" s="2">
        <v>1.7</v>
      </c>
    </row>
    <row r="700" spans="1:18">
      <c r="A700" s="15" t="s">
        <v>881</v>
      </c>
      <c r="B700" s="2">
        <v>8</v>
      </c>
      <c r="C700" s="2" t="s">
        <v>880</v>
      </c>
      <c r="D700" s="13" t="s">
        <v>802</v>
      </c>
      <c r="E700" s="4">
        <v>507758.7816</v>
      </c>
      <c r="F700" s="4">
        <v>3337884.2937</v>
      </c>
      <c r="G700" s="2">
        <v>12.7</v>
      </c>
      <c r="H700" s="13" t="s">
        <v>29</v>
      </c>
      <c r="I700" s="13" cm="1">
        <f t="array" ref="I700">各流量段建筑物坡比(B700,D700)</f>
        <v>2200</v>
      </c>
      <c r="J700" s="14" t="str">
        <f t="shared" si="10"/>
        <v/>
      </c>
      <c r="M700" s="2">
        <v>1.7</v>
      </c>
    </row>
    <row r="701" spans="1:18">
      <c r="A701" s="12" t="s">
        <v>882</v>
      </c>
      <c r="B701" s="2">
        <v>8</v>
      </c>
      <c r="C701" s="2" t="s">
        <v>880</v>
      </c>
      <c r="D701" s="13" t="s">
        <v>35</v>
      </c>
      <c r="E701" s="4">
        <v>507770.2328</v>
      </c>
      <c r="F701" s="4">
        <v>3337874.2604</v>
      </c>
      <c r="G701" s="2">
        <v>12.7</v>
      </c>
      <c r="H701" s="13" t="s">
        <v>29</v>
      </c>
      <c r="I701" s="13" cm="1">
        <f t="array" ref="I701">各流量段建筑物坡比(B701,D701)</f>
        <v>2800</v>
      </c>
      <c r="J701" s="14" t="str">
        <f t="shared" si="10"/>
        <v/>
      </c>
      <c r="K701" s="2">
        <v>3.5</v>
      </c>
      <c r="R701" s="2">
        <v>180</v>
      </c>
    </row>
    <row r="702" spans="1:18">
      <c r="A702" s="15" t="s">
        <v>883</v>
      </c>
      <c r="B702" s="2">
        <v>8</v>
      </c>
      <c r="C702" s="2" t="s">
        <v>880</v>
      </c>
      <c r="D702" s="13" t="s">
        <v>35</v>
      </c>
      <c r="E702" s="4">
        <v>507841.8293</v>
      </c>
      <c r="F702" s="4">
        <v>3337811.5288</v>
      </c>
      <c r="G702" s="2">
        <v>12.7</v>
      </c>
      <c r="H702" s="13" t="s">
        <v>29</v>
      </c>
      <c r="I702" s="13" cm="1">
        <f t="array" ref="I702">各流量段建筑物坡比(B702,D702)</f>
        <v>2800</v>
      </c>
      <c r="J702" s="14" t="str">
        <f t="shared" si="10"/>
        <v/>
      </c>
      <c r="K702" s="2">
        <v>3.5</v>
      </c>
      <c r="R702" s="2">
        <v>180</v>
      </c>
    </row>
    <row r="703" spans="1:18">
      <c r="A703" s="12" t="s">
        <v>884</v>
      </c>
      <c r="B703" s="2">
        <v>8</v>
      </c>
      <c r="C703" s="13" t="s">
        <v>27</v>
      </c>
      <c r="D703" s="13" t="s">
        <v>28</v>
      </c>
      <c r="E703" s="4">
        <v>507859.445</v>
      </c>
      <c r="F703" s="4">
        <v>3337796.0942</v>
      </c>
      <c r="G703" s="2">
        <v>12.7</v>
      </c>
      <c r="H703" s="13" t="s">
        <v>29</v>
      </c>
      <c r="I703" s="13" cm="1">
        <f t="array" ref="I703">各流量段建筑物坡比(B703,D703)</f>
        <v>6000</v>
      </c>
      <c r="J703" s="14">
        <f t="shared" si="10"/>
        <v>0</v>
      </c>
      <c r="K703" s="2">
        <v>4.5</v>
      </c>
    </row>
    <row r="704" spans="1:18">
      <c r="A704" s="15" t="s">
        <v>885</v>
      </c>
      <c r="B704" s="2">
        <v>8</v>
      </c>
      <c r="C704" s="2" t="s">
        <v>886</v>
      </c>
      <c r="D704" s="13" t="s">
        <v>35</v>
      </c>
      <c r="E704" s="4">
        <v>507868.9569</v>
      </c>
      <c r="F704" s="4">
        <v>3337770.0944</v>
      </c>
      <c r="G704" s="2">
        <v>12.7</v>
      </c>
      <c r="H704" s="13" t="s">
        <v>29</v>
      </c>
      <c r="I704" s="13" cm="1">
        <f t="array" ref="I704">各流量段建筑物坡比(B704,D704)</f>
        <v>2800</v>
      </c>
      <c r="J704" s="14" t="str">
        <f t="shared" si="10"/>
        <v/>
      </c>
      <c r="K704" s="2">
        <v>3.5</v>
      </c>
      <c r="R704" s="2">
        <v>180</v>
      </c>
    </row>
    <row r="705" spans="1:18">
      <c r="A705" s="12" t="s">
        <v>887</v>
      </c>
      <c r="B705" s="2">
        <v>8</v>
      </c>
      <c r="C705" s="2" t="s">
        <v>886</v>
      </c>
      <c r="D705" s="13" t="s">
        <v>35</v>
      </c>
      <c r="E705" s="4">
        <v>507919.8088</v>
      </c>
      <c r="F705" s="4">
        <v>3337631.0952</v>
      </c>
      <c r="G705" s="2">
        <v>12.7</v>
      </c>
      <c r="H705" s="13" t="s">
        <v>29</v>
      </c>
      <c r="I705" s="13" cm="1">
        <f t="array" ref="I705">各流量段建筑物坡比(B705,D705)</f>
        <v>2800</v>
      </c>
      <c r="J705" s="14" t="str">
        <f t="shared" si="10"/>
        <v/>
      </c>
      <c r="K705" s="2">
        <v>3.5</v>
      </c>
      <c r="R705" s="2">
        <v>180</v>
      </c>
    </row>
    <row r="706" spans="1:18">
      <c r="A706" s="15" t="s">
        <v>888</v>
      </c>
      <c r="B706" s="2">
        <v>8</v>
      </c>
      <c r="C706" s="2" t="s">
        <v>886</v>
      </c>
      <c r="D706" s="13" t="s">
        <v>35</v>
      </c>
      <c r="E706" s="4">
        <v>508016.5339</v>
      </c>
      <c r="F706" s="4">
        <v>3337593.9447</v>
      </c>
      <c r="G706" s="2">
        <v>12.7</v>
      </c>
      <c r="H706" s="13" t="s">
        <v>29</v>
      </c>
      <c r="I706" s="13" cm="1">
        <f t="array" ref="I706">各流量段建筑物坡比(B706,D706)</f>
        <v>2800</v>
      </c>
      <c r="J706" s="14" t="str">
        <f t="shared" si="10"/>
        <v/>
      </c>
      <c r="K706" s="2">
        <v>3.5</v>
      </c>
      <c r="R706" s="2">
        <v>180</v>
      </c>
    </row>
    <row r="707" spans="1:18">
      <c r="A707" s="12" t="s">
        <v>889</v>
      </c>
      <c r="B707" s="2">
        <v>8</v>
      </c>
      <c r="C707" s="13" t="s">
        <v>27</v>
      </c>
      <c r="D707" s="13" t="s">
        <v>28</v>
      </c>
      <c r="E707" s="4">
        <v>508083.3569</v>
      </c>
      <c r="F707" s="4">
        <v>3337568.2791</v>
      </c>
      <c r="G707" s="2">
        <v>12.7</v>
      </c>
      <c r="H707" s="13" t="s">
        <v>29</v>
      </c>
      <c r="I707" s="13" cm="1">
        <f t="array" ref="I707">各流量段建筑物坡比(B707,D707)</f>
        <v>6000</v>
      </c>
      <c r="J707" s="14">
        <f t="shared" si="10"/>
        <v>0</v>
      </c>
      <c r="K707" s="2">
        <v>4.5</v>
      </c>
    </row>
    <row r="708" spans="1:18">
      <c r="A708" s="15" t="s">
        <v>890</v>
      </c>
      <c r="B708" s="2">
        <v>8</v>
      </c>
      <c r="C708" s="13" t="s">
        <v>27</v>
      </c>
      <c r="D708" s="13" t="s">
        <v>28</v>
      </c>
      <c r="E708" s="4">
        <v>508077.918</v>
      </c>
      <c r="F708" s="4">
        <v>3337493.068</v>
      </c>
      <c r="G708" s="2">
        <v>12.7</v>
      </c>
      <c r="H708" s="13" t="s">
        <v>29</v>
      </c>
      <c r="I708" s="13" cm="1">
        <f t="array" ref="I708">各流量段建筑物坡比(B708,D708)</f>
        <v>6000</v>
      </c>
      <c r="J708" s="14">
        <f t="shared" ref="J708:J771" si="11">IF(C708="-",IF(ISNUMBER(SEARCH("矩形",D708)),0,IF(ISNUMBER(SEARCH("梯形",D708)),1.5,"")),"")</f>
        <v>0</v>
      </c>
      <c r="K708" s="2">
        <v>4.5</v>
      </c>
    </row>
    <row r="709" spans="1:18">
      <c r="A709" s="12" t="s">
        <v>891</v>
      </c>
      <c r="B709" s="2">
        <v>8</v>
      </c>
      <c r="C709" s="2" t="s">
        <v>892</v>
      </c>
      <c r="D709" s="13" t="s">
        <v>802</v>
      </c>
      <c r="E709" s="4">
        <v>508167.394</v>
      </c>
      <c r="F709" s="4">
        <v>3337438.737</v>
      </c>
      <c r="G709" s="2">
        <v>12.7</v>
      </c>
      <c r="H709" s="13" t="s">
        <v>29</v>
      </c>
      <c r="I709" s="13" cm="1">
        <f t="array" ref="I709">各流量段建筑物坡比(B709,D709)</f>
        <v>2200</v>
      </c>
      <c r="J709" s="14" t="str">
        <f t="shared" si="11"/>
        <v/>
      </c>
      <c r="M709" s="2">
        <v>1.7</v>
      </c>
    </row>
    <row r="710" spans="1:18">
      <c r="A710" s="15" t="s">
        <v>893</v>
      </c>
      <c r="B710" s="2">
        <v>8</v>
      </c>
      <c r="C710" s="2" t="s">
        <v>892</v>
      </c>
      <c r="D710" s="13" t="s">
        <v>802</v>
      </c>
      <c r="E710" s="4">
        <v>508240.329</v>
      </c>
      <c r="F710" s="4">
        <v>3337394.449</v>
      </c>
      <c r="G710" s="2">
        <v>12.7</v>
      </c>
      <c r="H710" s="13" t="s">
        <v>29</v>
      </c>
      <c r="I710" s="13" cm="1">
        <f t="array" ref="I710">各流量段建筑物坡比(B710,D710)</f>
        <v>2200</v>
      </c>
      <c r="J710" s="14" t="str">
        <f t="shared" si="11"/>
        <v/>
      </c>
      <c r="M710" s="2">
        <v>1.7</v>
      </c>
    </row>
    <row r="711" spans="1:18">
      <c r="A711" s="12" t="s">
        <v>894</v>
      </c>
      <c r="B711" s="2">
        <v>8</v>
      </c>
      <c r="C711" s="2" t="s">
        <v>892</v>
      </c>
      <c r="D711" s="13" t="s">
        <v>802</v>
      </c>
      <c r="E711" s="4">
        <v>508343.224</v>
      </c>
      <c r="F711" s="4">
        <v>3337397.635</v>
      </c>
      <c r="G711" s="2">
        <v>12.7</v>
      </c>
      <c r="H711" s="13" t="s">
        <v>29</v>
      </c>
      <c r="I711" s="13" cm="1">
        <f t="array" ref="I711">各流量段建筑物坡比(B711,D711)</f>
        <v>2200</v>
      </c>
      <c r="J711" s="14" t="str">
        <f t="shared" si="11"/>
        <v/>
      </c>
      <c r="M711" s="2">
        <v>1.7</v>
      </c>
    </row>
    <row r="712" spans="1:18">
      <c r="A712" s="15" t="s">
        <v>895</v>
      </c>
      <c r="B712" s="2">
        <v>8</v>
      </c>
      <c r="C712" s="2" t="s">
        <v>892</v>
      </c>
      <c r="D712" s="13" t="s">
        <v>802</v>
      </c>
      <c r="E712" s="4">
        <v>508460.572</v>
      </c>
      <c r="F712" s="4">
        <v>3337319.01</v>
      </c>
      <c r="G712" s="2">
        <v>12.7</v>
      </c>
      <c r="H712" s="13" t="s">
        <v>29</v>
      </c>
      <c r="I712" s="13" cm="1">
        <f t="array" ref="I712">各流量段建筑物坡比(B712,D712)</f>
        <v>2200</v>
      </c>
      <c r="J712" s="14" t="str">
        <f t="shared" si="11"/>
        <v/>
      </c>
      <c r="M712" s="2">
        <v>1.7</v>
      </c>
    </row>
    <row r="713" spans="1:18">
      <c r="A713" s="12" t="s">
        <v>896</v>
      </c>
      <c r="B713" s="2">
        <v>8</v>
      </c>
      <c r="C713" s="2" t="s">
        <v>897</v>
      </c>
      <c r="D713" s="13" t="s">
        <v>802</v>
      </c>
      <c r="E713" s="4">
        <v>508565.55</v>
      </c>
      <c r="F713" s="4">
        <v>3337248.673</v>
      </c>
      <c r="G713" s="2">
        <v>12.7</v>
      </c>
      <c r="H713" s="13" t="s">
        <v>29</v>
      </c>
      <c r="I713" s="13" cm="1">
        <f t="array" ref="I713">各流量段建筑物坡比(B713,D713)</f>
        <v>2200</v>
      </c>
      <c r="J713" s="14" t="str">
        <f t="shared" si="11"/>
        <v/>
      </c>
      <c r="M713" s="2">
        <v>1.7</v>
      </c>
    </row>
    <row r="714" spans="1:18">
      <c r="A714" s="15" t="s">
        <v>898</v>
      </c>
      <c r="B714" s="2">
        <v>8</v>
      </c>
      <c r="C714" s="2" t="s">
        <v>897</v>
      </c>
      <c r="D714" s="13" t="s">
        <v>802</v>
      </c>
      <c r="E714" s="4">
        <v>508610.942</v>
      </c>
      <c r="F714" s="4">
        <v>3337218.26</v>
      </c>
      <c r="G714" s="2">
        <v>12.7</v>
      </c>
      <c r="H714" s="13" t="s">
        <v>29</v>
      </c>
      <c r="I714" s="13" cm="1">
        <f t="array" ref="I714">各流量段建筑物坡比(B714,D714)</f>
        <v>2200</v>
      </c>
      <c r="J714" s="14" t="str">
        <f t="shared" si="11"/>
        <v/>
      </c>
      <c r="M714" s="2">
        <v>1.7</v>
      </c>
    </row>
    <row r="715" spans="1:18">
      <c r="A715" s="12" t="s">
        <v>899</v>
      </c>
      <c r="B715" s="2">
        <v>8</v>
      </c>
      <c r="C715" s="2" t="s">
        <v>897</v>
      </c>
      <c r="D715" s="13" t="s">
        <v>802</v>
      </c>
      <c r="E715" s="4">
        <v>508640.709</v>
      </c>
      <c r="F715" s="4">
        <v>3337131.66</v>
      </c>
      <c r="G715" s="2">
        <v>12.7</v>
      </c>
      <c r="H715" s="13" t="s">
        <v>29</v>
      </c>
      <c r="I715" s="13" cm="1">
        <f t="array" ref="I715">各流量段建筑物坡比(B715,D715)</f>
        <v>2200</v>
      </c>
      <c r="J715" s="14" t="str">
        <f t="shared" si="11"/>
        <v/>
      </c>
      <c r="M715" s="2">
        <v>1.7</v>
      </c>
    </row>
    <row r="716" spans="1:18">
      <c r="A716" s="15" t="s">
        <v>900</v>
      </c>
      <c r="B716" s="2">
        <v>8</v>
      </c>
      <c r="C716" s="13" t="s">
        <v>27</v>
      </c>
      <c r="D716" s="13" t="s">
        <v>28</v>
      </c>
      <c r="E716" s="4">
        <v>508650.911</v>
      </c>
      <c r="F716" s="4">
        <v>3337101.98</v>
      </c>
      <c r="G716" s="2">
        <v>12.7</v>
      </c>
      <c r="H716" s="13" t="s">
        <v>29</v>
      </c>
      <c r="I716" s="13" cm="1">
        <f t="array" ref="I716">各流量段建筑物坡比(B716,D716)</f>
        <v>6000</v>
      </c>
      <c r="J716" s="14">
        <f t="shared" si="11"/>
        <v>0</v>
      </c>
      <c r="K716" s="2">
        <v>4.5</v>
      </c>
    </row>
    <row r="717" spans="1:18">
      <c r="A717" s="12" t="s">
        <v>901</v>
      </c>
      <c r="B717" s="2">
        <v>8</v>
      </c>
      <c r="C717" s="13" t="s">
        <v>27</v>
      </c>
      <c r="D717" s="13" t="s">
        <v>28</v>
      </c>
      <c r="E717" s="4">
        <v>508649.171</v>
      </c>
      <c r="F717" s="4">
        <v>3337020.621</v>
      </c>
      <c r="G717" s="2">
        <v>12.7</v>
      </c>
      <c r="H717" s="13" t="s">
        <v>29</v>
      </c>
      <c r="I717" s="13" cm="1">
        <f t="array" ref="I717">各流量段建筑物坡比(B717,D717)</f>
        <v>6000</v>
      </c>
      <c r="J717" s="14">
        <f t="shared" si="11"/>
        <v>0</v>
      </c>
      <c r="K717" s="2">
        <v>4.5</v>
      </c>
    </row>
    <row r="718" spans="1:18">
      <c r="A718" s="15" t="s">
        <v>902</v>
      </c>
      <c r="B718" s="2">
        <v>8</v>
      </c>
      <c r="C718" s="2" t="s">
        <v>903</v>
      </c>
      <c r="D718" s="13" t="s">
        <v>802</v>
      </c>
      <c r="E718" s="4">
        <v>508665.945</v>
      </c>
      <c r="F718" s="4">
        <v>3336996.312</v>
      </c>
      <c r="G718" s="2">
        <v>12.7</v>
      </c>
      <c r="H718" s="13" t="s">
        <v>29</v>
      </c>
      <c r="I718" s="13" cm="1">
        <f t="array" ref="I718">各流量段建筑物坡比(B718,D718)</f>
        <v>2200</v>
      </c>
      <c r="J718" s="14" t="str">
        <f t="shared" si="11"/>
        <v/>
      </c>
      <c r="M718" s="2">
        <v>1.7</v>
      </c>
    </row>
    <row r="719" spans="1:18">
      <c r="A719" s="12" t="s">
        <v>904</v>
      </c>
      <c r="B719" s="2">
        <v>8</v>
      </c>
      <c r="C719" s="2" t="s">
        <v>903</v>
      </c>
      <c r="D719" s="13" t="s">
        <v>802</v>
      </c>
      <c r="E719" s="4">
        <v>508840.4731</v>
      </c>
      <c r="F719" s="4">
        <v>3336743.3888</v>
      </c>
      <c r="G719" s="2">
        <v>12.7</v>
      </c>
      <c r="H719" s="13" t="s">
        <v>29</v>
      </c>
      <c r="I719" s="13" cm="1">
        <f t="array" ref="I719">各流量段建筑物坡比(B719,D719)</f>
        <v>2200</v>
      </c>
      <c r="J719" s="14" t="str">
        <f t="shared" si="11"/>
        <v/>
      </c>
      <c r="M719" s="2">
        <v>1.7</v>
      </c>
    </row>
    <row r="720" spans="1:18">
      <c r="A720" s="15" t="s">
        <v>905</v>
      </c>
      <c r="B720" s="2">
        <v>8</v>
      </c>
      <c r="C720" s="13" t="s">
        <v>27</v>
      </c>
      <c r="D720" s="13" t="s">
        <v>28</v>
      </c>
      <c r="E720" s="4">
        <v>508878.144</v>
      </c>
      <c r="F720" s="4">
        <v>3336688.7966</v>
      </c>
      <c r="G720" s="2">
        <v>12.7</v>
      </c>
      <c r="H720" s="13" t="s">
        <v>29</v>
      </c>
      <c r="I720" s="13" cm="1">
        <f t="array" ref="I720">各流量段建筑物坡比(B720,D720)</f>
        <v>6000</v>
      </c>
      <c r="J720" s="14">
        <f t="shared" si="11"/>
        <v>0</v>
      </c>
      <c r="K720" s="2">
        <v>4.5</v>
      </c>
    </row>
    <row r="721" spans="1:18">
      <c r="A721" s="12" t="s">
        <v>906</v>
      </c>
      <c r="B721" s="2">
        <v>8</v>
      </c>
      <c r="C721" s="13" t="s">
        <v>27</v>
      </c>
      <c r="D721" s="13" t="s">
        <v>28</v>
      </c>
      <c r="E721" s="4">
        <v>508968.2425</v>
      </c>
      <c r="F721" s="4">
        <v>3336658.8071</v>
      </c>
      <c r="G721" s="2">
        <v>12.7</v>
      </c>
      <c r="H721" s="13" t="s">
        <v>29</v>
      </c>
      <c r="I721" s="13" cm="1">
        <f t="array" ref="I721">各流量段建筑物坡比(B721,D721)</f>
        <v>6000</v>
      </c>
      <c r="J721" s="14">
        <f t="shared" si="11"/>
        <v>0</v>
      </c>
      <c r="K721" s="2">
        <v>4.5</v>
      </c>
    </row>
    <row r="722" spans="1:18">
      <c r="A722" s="15" t="s">
        <v>907</v>
      </c>
      <c r="B722" s="2">
        <v>8</v>
      </c>
      <c r="C722" s="13" t="s">
        <v>27</v>
      </c>
      <c r="D722" s="13" t="s">
        <v>28</v>
      </c>
      <c r="E722" s="4">
        <v>509027.1047</v>
      </c>
      <c r="F722" s="4">
        <v>3336610.135</v>
      </c>
      <c r="G722" s="2">
        <v>12.7</v>
      </c>
      <c r="H722" s="13" t="s">
        <v>29</v>
      </c>
      <c r="I722" s="13" cm="1">
        <f t="array" ref="I722">各流量段建筑物坡比(B722,D722)</f>
        <v>6000</v>
      </c>
      <c r="J722" s="14">
        <f t="shared" si="11"/>
        <v>0</v>
      </c>
      <c r="K722" s="2">
        <v>4.5</v>
      </c>
    </row>
    <row r="723" spans="1:18">
      <c r="A723" s="12" t="s">
        <v>908</v>
      </c>
      <c r="B723" s="2">
        <v>8</v>
      </c>
      <c r="C723" s="2" t="s">
        <v>909</v>
      </c>
      <c r="D723" s="13" t="s">
        <v>35</v>
      </c>
      <c r="E723" s="4">
        <v>509039.5863</v>
      </c>
      <c r="F723" s="4">
        <v>3336534.2716</v>
      </c>
      <c r="G723" s="2">
        <v>12.7</v>
      </c>
      <c r="H723" s="13" t="s">
        <v>29</v>
      </c>
      <c r="I723" s="13" cm="1">
        <f t="array" ref="I723">各流量段建筑物坡比(B723,D723)</f>
        <v>2800</v>
      </c>
      <c r="J723" s="14" t="str">
        <f t="shared" si="11"/>
        <v/>
      </c>
      <c r="K723" s="2">
        <v>3.5</v>
      </c>
      <c r="R723" s="2">
        <v>180</v>
      </c>
    </row>
    <row r="724" spans="1:18">
      <c r="A724" s="15" t="s">
        <v>910</v>
      </c>
      <c r="B724" s="2">
        <v>8</v>
      </c>
      <c r="C724" s="2" t="s">
        <v>909</v>
      </c>
      <c r="D724" s="13" t="s">
        <v>35</v>
      </c>
      <c r="E724" s="4">
        <v>509060.3975</v>
      </c>
      <c r="F724" s="4">
        <v>3336407.7802</v>
      </c>
      <c r="G724" s="2">
        <v>12.7</v>
      </c>
      <c r="H724" s="13" t="s">
        <v>29</v>
      </c>
      <c r="I724" s="13" cm="1">
        <f t="array" ref="I724">各流量段建筑物坡比(B724,D724)</f>
        <v>2800</v>
      </c>
      <c r="J724" s="14" t="str">
        <f t="shared" si="11"/>
        <v/>
      </c>
      <c r="K724" s="2">
        <v>3.5</v>
      </c>
      <c r="R724" s="2">
        <v>180</v>
      </c>
    </row>
    <row r="725" spans="1:18">
      <c r="A725" s="12" t="s">
        <v>911</v>
      </c>
      <c r="B725" s="2">
        <v>8</v>
      </c>
      <c r="C725" s="2" t="s">
        <v>909</v>
      </c>
      <c r="D725" s="13" t="s">
        <v>35</v>
      </c>
      <c r="E725" s="4">
        <v>509146.2059</v>
      </c>
      <c r="F725" s="4">
        <v>3336342.3206</v>
      </c>
      <c r="G725" s="2">
        <v>12.7</v>
      </c>
      <c r="H725" s="13" t="s">
        <v>29</v>
      </c>
      <c r="I725" s="13" cm="1">
        <f t="array" ref="I725">各流量段建筑物坡比(B725,D725)</f>
        <v>2800</v>
      </c>
      <c r="J725" s="14" t="str">
        <f t="shared" si="11"/>
        <v/>
      </c>
      <c r="K725" s="2">
        <v>3.5</v>
      </c>
      <c r="R725" s="2">
        <v>180</v>
      </c>
    </row>
    <row r="726" spans="1:18">
      <c r="A726" s="15" t="s">
        <v>912</v>
      </c>
      <c r="B726" s="2">
        <v>8</v>
      </c>
      <c r="C726" s="2" t="s">
        <v>909</v>
      </c>
      <c r="D726" s="13" t="s">
        <v>35</v>
      </c>
      <c r="E726" s="4">
        <v>509422.6318</v>
      </c>
      <c r="F726" s="4">
        <v>3336307.345</v>
      </c>
      <c r="G726" s="2">
        <v>12.7</v>
      </c>
      <c r="H726" s="13" t="s">
        <v>29</v>
      </c>
      <c r="I726" s="13" cm="1">
        <f t="array" ref="I726">各流量段建筑物坡比(B726,D726)</f>
        <v>2800</v>
      </c>
      <c r="J726" s="14" t="str">
        <f t="shared" si="11"/>
        <v/>
      </c>
      <c r="K726" s="2">
        <v>3.5</v>
      </c>
      <c r="R726" s="2">
        <v>180</v>
      </c>
    </row>
    <row r="727" spans="1:18">
      <c r="A727" s="12" t="s">
        <v>913</v>
      </c>
      <c r="B727" s="2">
        <v>8</v>
      </c>
      <c r="C727" s="2" t="s">
        <v>909</v>
      </c>
      <c r="D727" s="13" t="s">
        <v>35</v>
      </c>
      <c r="E727" s="4">
        <v>509507.4379</v>
      </c>
      <c r="F727" s="4">
        <v>3336160.5666</v>
      </c>
      <c r="G727" s="2">
        <v>12.7</v>
      </c>
      <c r="H727" s="13" t="s">
        <v>29</v>
      </c>
      <c r="I727" s="13" cm="1">
        <f t="array" ref="I727">各流量段建筑物坡比(B727,D727)</f>
        <v>2800</v>
      </c>
      <c r="J727" s="14" t="str">
        <f t="shared" si="11"/>
        <v/>
      </c>
      <c r="K727" s="2">
        <v>3.5</v>
      </c>
      <c r="R727" s="2">
        <v>180</v>
      </c>
    </row>
    <row r="728" spans="1:18">
      <c r="A728" s="15" t="s">
        <v>914</v>
      </c>
      <c r="B728" s="2">
        <v>8</v>
      </c>
      <c r="C728" s="2" t="s">
        <v>909</v>
      </c>
      <c r="D728" s="13" t="s">
        <v>35</v>
      </c>
      <c r="E728" s="4">
        <v>509574.6761</v>
      </c>
      <c r="F728" s="4">
        <v>3336095.8111</v>
      </c>
      <c r="G728" s="2">
        <v>12.7</v>
      </c>
      <c r="H728" s="13" t="s">
        <v>29</v>
      </c>
      <c r="I728" s="13" cm="1">
        <f t="array" ref="I728">各流量段建筑物坡比(B728,D728)</f>
        <v>2800</v>
      </c>
      <c r="J728" s="14" t="str">
        <f t="shared" si="11"/>
        <v/>
      </c>
      <c r="K728" s="2">
        <v>3.5</v>
      </c>
      <c r="R728" s="2">
        <v>180</v>
      </c>
    </row>
    <row r="729" spans="1:18">
      <c r="A729" s="12" t="s">
        <v>915</v>
      </c>
      <c r="B729" s="2">
        <v>8</v>
      </c>
      <c r="C729" s="2" t="s">
        <v>916</v>
      </c>
      <c r="D729" s="20" t="s">
        <v>805</v>
      </c>
      <c r="E729" s="4">
        <v>509574.6761</v>
      </c>
      <c r="F729" s="4">
        <v>3336095.8111</v>
      </c>
      <c r="G729" s="2">
        <v>12.7</v>
      </c>
      <c r="H729" s="13" t="s">
        <v>29</v>
      </c>
      <c r="I729" s="13">
        <v>6000</v>
      </c>
      <c r="J729" s="14">
        <v>0</v>
      </c>
      <c r="K729" s="2">
        <v>4.5</v>
      </c>
    </row>
    <row r="730" spans="1:18">
      <c r="A730" s="15" t="s">
        <v>917</v>
      </c>
      <c r="B730" s="2">
        <v>8</v>
      </c>
      <c r="C730" s="2" t="s">
        <v>916</v>
      </c>
      <c r="D730" s="20" t="s">
        <v>805</v>
      </c>
      <c r="E730" s="4">
        <v>509581.7371</v>
      </c>
      <c r="F730" s="4">
        <v>3336089.0108</v>
      </c>
      <c r="G730" s="2">
        <v>12.7</v>
      </c>
      <c r="H730" s="13" t="s">
        <v>29</v>
      </c>
      <c r="I730" s="13">
        <v>6000</v>
      </c>
      <c r="J730" s="14">
        <v>0</v>
      </c>
      <c r="K730" s="2">
        <v>4.5</v>
      </c>
    </row>
    <row r="731" spans="1:18">
      <c r="A731" s="12" t="s">
        <v>918</v>
      </c>
      <c r="B731" s="2">
        <v>8</v>
      </c>
      <c r="C731" s="13" t="s">
        <v>27</v>
      </c>
      <c r="D731" s="13" t="s">
        <v>28</v>
      </c>
      <c r="E731" s="4">
        <v>509614.1168</v>
      </c>
      <c r="F731" s="4">
        <v>3336057.8267</v>
      </c>
      <c r="G731" s="2">
        <v>12.7</v>
      </c>
      <c r="H731" s="13" t="s">
        <v>29</v>
      </c>
      <c r="I731" s="13" cm="1">
        <f t="array" ref="I731">各流量段建筑物坡比(B731,D731)</f>
        <v>6000</v>
      </c>
      <c r="J731" s="14">
        <f t="shared" si="11"/>
        <v>0</v>
      </c>
      <c r="K731" s="2">
        <v>4.5</v>
      </c>
    </row>
    <row r="732" spans="1:18">
      <c r="A732" s="15" t="s">
        <v>919</v>
      </c>
      <c r="B732" s="2">
        <v>8</v>
      </c>
      <c r="C732" s="13" t="s">
        <v>27</v>
      </c>
      <c r="D732" s="13" t="s">
        <v>28</v>
      </c>
      <c r="E732" s="4">
        <v>509652.7383</v>
      </c>
      <c r="F732" s="4">
        <v>3335964.7766</v>
      </c>
      <c r="G732" s="2">
        <v>12.7</v>
      </c>
      <c r="H732" s="13" t="s">
        <v>29</v>
      </c>
      <c r="I732" s="13" cm="1">
        <f t="array" ref="I732">各流量段建筑物坡比(B732,D732)</f>
        <v>6000</v>
      </c>
      <c r="J732" s="14">
        <f t="shared" si="11"/>
        <v>0</v>
      </c>
      <c r="K732" s="2">
        <v>4.5</v>
      </c>
    </row>
    <row r="733" spans="1:18">
      <c r="A733" s="12" t="s">
        <v>920</v>
      </c>
      <c r="B733" s="2">
        <v>8</v>
      </c>
      <c r="C733" s="2" t="s">
        <v>916</v>
      </c>
      <c r="D733" s="13" t="s">
        <v>802</v>
      </c>
      <c r="E733" s="4">
        <v>509665.6514</v>
      </c>
      <c r="F733" s="4">
        <v>3335901.2659</v>
      </c>
      <c r="G733" s="2">
        <v>12.7</v>
      </c>
      <c r="H733" s="13" t="s">
        <v>29</v>
      </c>
      <c r="I733" s="13" cm="1">
        <f t="array" ref="I733">各流量段建筑物坡比(B733,D733)</f>
        <v>2200</v>
      </c>
      <c r="J733" s="14" t="str">
        <f t="shared" si="11"/>
        <v/>
      </c>
      <c r="M733" s="2">
        <v>1.7</v>
      </c>
    </row>
    <row r="734" spans="1:18">
      <c r="A734" s="15" t="s">
        <v>921</v>
      </c>
      <c r="B734" s="2">
        <v>8</v>
      </c>
      <c r="C734" s="2" t="s">
        <v>916</v>
      </c>
      <c r="D734" s="13" t="s">
        <v>802</v>
      </c>
      <c r="E734" s="4">
        <v>509679.7971</v>
      </c>
      <c r="F734" s="4">
        <v>3335831.6934</v>
      </c>
      <c r="G734" s="2">
        <v>12.7</v>
      </c>
      <c r="H734" s="13" t="s">
        <v>29</v>
      </c>
      <c r="I734" s="13" cm="1">
        <f t="array" ref="I734">各流量段建筑物坡比(B734,D734)</f>
        <v>2200</v>
      </c>
      <c r="J734" s="14" t="str">
        <f t="shared" si="11"/>
        <v/>
      </c>
      <c r="M734" s="2">
        <v>1.7</v>
      </c>
    </row>
    <row r="735" spans="1:18">
      <c r="A735" s="12" t="s">
        <v>922</v>
      </c>
      <c r="B735" s="2">
        <v>8</v>
      </c>
      <c r="C735" s="2" t="s">
        <v>916</v>
      </c>
      <c r="D735" s="13" t="s">
        <v>802</v>
      </c>
      <c r="E735" s="4">
        <v>509860.2072</v>
      </c>
      <c r="F735" s="4">
        <v>3335713.7926</v>
      </c>
      <c r="G735" s="2">
        <v>12.7</v>
      </c>
      <c r="H735" s="13" t="s">
        <v>29</v>
      </c>
      <c r="I735" s="13" cm="1">
        <f t="array" ref="I735">各流量段建筑物坡比(B735,D735)</f>
        <v>2200</v>
      </c>
      <c r="J735" s="14" t="str">
        <f t="shared" si="11"/>
        <v/>
      </c>
      <c r="M735" s="2">
        <v>1.7</v>
      </c>
    </row>
    <row r="736" spans="1:18">
      <c r="A736" s="15" t="s">
        <v>923</v>
      </c>
      <c r="B736" s="2">
        <v>8</v>
      </c>
      <c r="C736" s="2" t="s">
        <v>924</v>
      </c>
      <c r="D736" s="13" t="s">
        <v>35</v>
      </c>
      <c r="E736" s="4">
        <v>509900.039</v>
      </c>
      <c r="F736" s="4">
        <v>3335687.7619</v>
      </c>
      <c r="G736" s="2">
        <v>12.7</v>
      </c>
      <c r="H736" s="13" t="s">
        <v>29</v>
      </c>
      <c r="I736" s="13" cm="1">
        <f t="array" ref="I736">各流量段建筑物坡比(B736,D736)</f>
        <v>2800</v>
      </c>
      <c r="J736" s="14" t="str">
        <f t="shared" si="11"/>
        <v/>
      </c>
      <c r="K736" s="2">
        <v>3.5</v>
      </c>
      <c r="R736" s="2">
        <v>180</v>
      </c>
    </row>
    <row r="737" spans="1:18">
      <c r="A737" s="12" t="s">
        <v>925</v>
      </c>
      <c r="B737" s="2">
        <v>8</v>
      </c>
      <c r="C737" s="2" t="s">
        <v>924</v>
      </c>
      <c r="D737" s="13" t="s">
        <v>35</v>
      </c>
      <c r="E737" s="4">
        <v>509949.3597</v>
      </c>
      <c r="F737" s="4">
        <v>3335655.53</v>
      </c>
      <c r="G737" s="2">
        <v>12.7</v>
      </c>
      <c r="H737" s="13" t="s">
        <v>29</v>
      </c>
      <c r="I737" s="13" cm="1">
        <f t="array" ref="I737">各流量段建筑物坡比(B737,D737)</f>
        <v>2800</v>
      </c>
      <c r="J737" s="14" t="str">
        <f t="shared" si="11"/>
        <v/>
      </c>
      <c r="K737" s="2">
        <v>3.5</v>
      </c>
      <c r="R737" s="2">
        <v>180</v>
      </c>
    </row>
    <row r="738" spans="1:18">
      <c r="A738" s="15" t="s">
        <v>926</v>
      </c>
      <c r="B738" s="2">
        <v>8</v>
      </c>
      <c r="C738" s="2" t="s">
        <v>924</v>
      </c>
      <c r="D738" s="13" t="s">
        <v>35</v>
      </c>
      <c r="E738" s="4">
        <v>510214.6441</v>
      </c>
      <c r="F738" s="4">
        <v>3335669.6278</v>
      </c>
      <c r="G738" s="2">
        <v>12.7</v>
      </c>
      <c r="H738" s="13" t="s">
        <v>29</v>
      </c>
      <c r="I738" s="13" cm="1">
        <f t="array" ref="I738">各流量段建筑物坡比(B738,D738)</f>
        <v>2800</v>
      </c>
      <c r="J738" s="14" t="str">
        <f t="shared" si="11"/>
        <v/>
      </c>
      <c r="K738" s="2">
        <v>3.5</v>
      </c>
      <c r="R738" s="2">
        <v>180</v>
      </c>
    </row>
    <row r="739" spans="1:18">
      <c r="A739" s="12" t="s">
        <v>927</v>
      </c>
      <c r="B739" s="2">
        <v>8</v>
      </c>
      <c r="C739" s="2" t="s">
        <v>924</v>
      </c>
      <c r="D739" s="13" t="s">
        <v>35</v>
      </c>
      <c r="E739" s="4">
        <v>510337.6749</v>
      </c>
      <c r="F739" s="4">
        <v>3335624.2426</v>
      </c>
      <c r="G739" s="2">
        <v>12.7</v>
      </c>
      <c r="H739" s="13" t="s">
        <v>29</v>
      </c>
      <c r="I739" s="13" cm="1">
        <f t="array" ref="I739">各流量段建筑物坡比(B739,D739)</f>
        <v>2800</v>
      </c>
      <c r="J739" s="14" t="str">
        <f t="shared" si="11"/>
        <v/>
      </c>
      <c r="K739" s="2">
        <v>3.5</v>
      </c>
      <c r="R739" s="2">
        <v>180</v>
      </c>
    </row>
    <row r="740" spans="1:18">
      <c r="A740" s="15" t="s">
        <v>928</v>
      </c>
      <c r="B740" s="2">
        <v>8</v>
      </c>
      <c r="C740" s="13" t="s">
        <v>27</v>
      </c>
      <c r="D740" s="13" t="s">
        <v>28</v>
      </c>
      <c r="E740" s="4">
        <v>510394.5184</v>
      </c>
      <c r="F740" s="4">
        <v>3335603.2735</v>
      </c>
      <c r="G740" s="2">
        <v>12.7</v>
      </c>
      <c r="H740" s="13" t="s">
        <v>29</v>
      </c>
      <c r="I740" s="13" cm="1">
        <f t="array" ref="I740">各流量段建筑物坡比(B740,D740)</f>
        <v>6000</v>
      </c>
      <c r="J740" s="14">
        <f t="shared" si="11"/>
        <v>0</v>
      </c>
      <c r="K740" s="2">
        <v>4.5</v>
      </c>
    </row>
    <row r="741" spans="1:18">
      <c r="A741" s="12" t="s">
        <v>929</v>
      </c>
      <c r="B741" s="2">
        <v>8</v>
      </c>
      <c r="C741" s="13" t="s">
        <v>27</v>
      </c>
      <c r="D741" s="13" t="s">
        <v>28</v>
      </c>
      <c r="E741" s="4">
        <v>510400.8666</v>
      </c>
      <c r="F741" s="4">
        <v>3335496.0891</v>
      </c>
      <c r="G741" s="2">
        <v>12.7</v>
      </c>
      <c r="H741" s="13" t="s">
        <v>29</v>
      </c>
      <c r="I741" s="13" cm="1">
        <f t="array" ref="I741">各流量段建筑物坡比(B741,D741)</f>
        <v>6000</v>
      </c>
      <c r="J741" s="14">
        <f t="shared" si="11"/>
        <v>0</v>
      </c>
      <c r="K741" s="2">
        <v>4.5</v>
      </c>
    </row>
    <row r="742" spans="1:18">
      <c r="A742" s="15" t="s">
        <v>930</v>
      </c>
      <c r="B742" s="2">
        <v>8</v>
      </c>
      <c r="C742" s="2" t="s">
        <v>931</v>
      </c>
      <c r="D742" s="13" t="s">
        <v>802</v>
      </c>
      <c r="E742" s="4">
        <v>510427.1855</v>
      </c>
      <c r="F742" s="4">
        <v>3335478.6121</v>
      </c>
      <c r="G742" s="2">
        <v>12.7</v>
      </c>
      <c r="H742" s="13" t="s">
        <v>29</v>
      </c>
      <c r="I742" s="13" cm="1">
        <f t="array" ref="I742">各流量段建筑物坡比(B742,D742)</f>
        <v>2200</v>
      </c>
      <c r="J742" s="14" t="str">
        <f t="shared" si="11"/>
        <v/>
      </c>
      <c r="M742" s="2">
        <v>1.7</v>
      </c>
    </row>
    <row r="743" spans="1:18">
      <c r="A743" s="12" t="s">
        <v>932</v>
      </c>
      <c r="B743" s="2">
        <v>8</v>
      </c>
      <c r="C743" s="2" t="s">
        <v>931</v>
      </c>
      <c r="D743" s="13" t="s">
        <v>802</v>
      </c>
      <c r="E743" s="4">
        <v>510503.6409</v>
      </c>
      <c r="F743" s="4">
        <v>3335427.8419</v>
      </c>
      <c r="G743" s="2">
        <v>12.7</v>
      </c>
      <c r="H743" s="13" t="s">
        <v>29</v>
      </c>
      <c r="I743" s="13" cm="1">
        <f t="array" ref="I743">各流量段建筑物坡比(B743,D743)</f>
        <v>2200</v>
      </c>
      <c r="J743" s="14" t="str">
        <f t="shared" si="11"/>
        <v/>
      </c>
      <c r="M743" s="2">
        <v>1.7</v>
      </c>
    </row>
    <row r="744" spans="1:18">
      <c r="A744" s="15" t="s">
        <v>933</v>
      </c>
      <c r="B744" s="2">
        <v>8</v>
      </c>
      <c r="C744" s="2" t="s">
        <v>931</v>
      </c>
      <c r="D744" s="13" t="s">
        <v>802</v>
      </c>
      <c r="E744" s="4">
        <v>510535.791</v>
      </c>
      <c r="F744" s="4">
        <v>3335420.6419</v>
      </c>
      <c r="G744" s="2">
        <v>12.7</v>
      </c>
      <c r="H744" s="13" t="s">
        <v>29</v>
      </c>
      <c r="I744" s="13" cm="1">
        <f t="array" ref="I744">各流量段建筑物坡比(B744,D744)</f>
        <v>2200</v>
      </c>
      <c r="J744" s="14" t="str">
        <f t="shared" si="11"/>
        <v/>
      </c>
      <c r="M744" s="2">
        <v>1.7</v>
      </c>
    </row>
    <row r="745" spans="1:18">
      <c r="A745" s="12" t="s">
        <v>934</v>
      </c>
      <c r="B745" s="2">
        <v>8</v>
      </c>
      <c r="C745" s="2" t="s">
        <v>935</v>
      </c>
      <c r="D745" s="13" t="s">
        <v>35</v>
      </c>
      <c r="E745" s="4">
        <v>510556.9834</v>
      </c>
      <c r="F745" s="4">
        <v>3335415.8959</v>
      </c>
      <c r="G745" s="2">
        <v>12.7</v>
      </c>
      <c r="H745" s="13" t="s">
        <v>29</v>
      </c>
      <c r="I745" s="13" cm="1">
        <f t="array" ref="I745">各流量段建筑物坡比(B745,D745)</f>
        <v>2800</v>
      </c>
      <c r="J745" s="14" t="str">
        <f t="shared" si="11"/>
        <v/>
      </c>
      <c r="K745" s="2">
        <v>3.5</v>
      </c>
      <c r="R745" s="2">
        <v>180</v>
      </c>
    </row>
    <row r="746" spans="1:18">
      <c r="A746" s="15" t="s">
        <v>936</v>
      </c>
      <c r="B746" s="2">
        <v>8</v>
      </c>
      <c r="C746" s="2" t="s">
        <v>935</v>
      </c>
      <c r="D746" s="13" t="s">
        <v>35</v>
      </c>
      <c r="E746" s="4">
        <v>510725.6691</v>
      </c>
      <c r="F746" s="4">
        <v>3335378.1187</v>
      </c>
      <c r="G746" s="2">
        <v>12.7</v>
      </c>
      <c r="H746" s="13" t="s">
        <v>29</v>
      </c>
      <c r="I746" s="13" cm="1">
        <f t="array" ref="I746">各流量段建筑物坡比(B746,D746)</f>
        <v>2800</v>
      </c>
      <c r="J746" s="14" t="str">
        <f t="shared" si="11"/>
        <v/>
      </c>
      <c r="K746" s="2">
        <v>3.5</v>
      </c>
      <c r="R746" s="2">
        <v>180</v>
      </c>
    </row>
    <row r="747" spans="1:18">
      <c r="A747" s="12" t="s">
        <v>937</v>
      </c>
      <c r="B747" s="2">
        <v>8</v>
      </c>
      <c r="C747" s="2" t="s">
        <v>935</v>
      </c>
      <c r="D747" s="13" t="s">
        <v>35</v>
      </c>
      <c r="E747" s="4">
        <v>510883.7287</v>
      </c>
      <c r="F747" s="4">
        <v>3335312.7241</v>
      </c>
      <c r="G747" s="2">
        <v>12.7</v>
      </c>
      <c r="H747" s="13" t="s">
        <v>29</v>
      </c>
      <c r="I747" s="13" cm="1">
        <f t="array" ref="I747">各流量段建筑物坡比(B747,D747)</f>
        <v>2800</v>
      </c>
      <c r="J747" s="14" t="str">
        <f t="shared" si="11"/>
        <v/>
      </c>
      <c r="K747" s="2">
        <v>3.5</v>
      </c>
      <c r="R747" s="2">
        <v>180</v>
      </c>
    </row>
    <row r="748" spans="1:18">
      <c r="A748" s="15" t="s">
        <v>938</v>
      </c>
      <c r="B748" s="2">
        <v>8</v>
      </c>
      <c r="C748" s="2" t="s">
        <v>939</v>
      </c>
      <c r="D748" s="13" t="s">
        <v>802</v>
      </c>
      <c r="E748" s="4">
        <v>510893.148</v>
      </c>
      <c r="F748" s="4">
        <v>3335308.827</v>
      </c>
      <c r="G748" s="2">
        <v>12.7</v>
      </c>
      <c r="H748" s="13" t="s">
        <v>29</v>
      </c>
      <c r="I748" s="13" cm="1">
        <f t="array" ref="I748">各流量段建筑物坡比(B748,D748)</f>
        <v>2200</v>
      </c>
      <c r="J748" s="14" t="str">
        <f t="shared" si="11"/>
        <v/>
      </c>
      <c r="M748" s="2">
        <v>1.7</v>
      </c>
    </row>
    <row r="749" spans="1:18">
      <c r="A749" s="12" t="s">
        <v>940</v>
      </c>
      <c r="B749" s="2">
        <v>8</v>
      </c>
      <c r="C749" s="2" t="s">
        <v>939</v>
      </c>
      <c r="D749" s="13" t="s">
        <v>802</v>
      </c>
      <c r="E749" s="4">
        <v>511012.7276</v>
      </c>
      <c r="F749" s="4">
        <v>3335259.3529</v>
      </c>
      <c r="G749" s="2">
        <v>12.7</v>
      </c>
      <c r="H749" s="13" t="s">
        <v>29</v>
      </c>
      <c r="I749" s="13" cm="1">
        <f t="array" ref="I749">各流量段建筑物坡比(B749,D749)</f>
        <v>2200</v>
      </c>
      <c r="J749" s="14" t="str">
        <f t="shared" si="11"/>
        <v/>
      </c>
      <c r="M749" s="2">
        <v>1.7</v>
      </c>
    </row>
    <row r="750" spans="1:18">
      <c r="A750" s="15" t="s">
        <v>941</v>
      </c>
      <c r="B750" s="2">
        <v>8</v>
      </c>
      <c r="C750" s="2" t="s">
        <v>942</v>
      </c>
      <c r="D750" s="13" t="s">
        <v>35</v>
      </c>
      <c r="E750" s="4">
        <v>511034.855</v>
      </c>
      <c r="F750" s="4">
        <v>3335250.1981</v>
      </c>
      <c r="G750" s="2">
        <v>12.7</v>
      </c>
      <c r="H750" s="13" t="s">
        <v>29</v>
      </c>
      <c r="I750" s="13" cm="1">
        <f t="array" ref="I750">各流量段建筑物坡比(B750,D750)</f>
        <v>2800</v>
      </c>
      <c r="J750" s="14" t="str">
        <f t="shared" si="11"/>
        <v/>
      </c>
      <c r="K750" s="2">
        <v>3.5</v>
      </c>
      <c r="R750" s="2">
        <v>180</v>
      </c>
    </row>
    <row r="751" spans="1:18">
      <c r="A751" s="12" t="s">
        <v>943</v>
      </c>
      <c r="B751" s="2">
        <v>8</v>
      </c>
      <c r="C751" s="2" t="s">
        <v>942</v>
      </c>
      <c r="D751" s="13" t="s">
        <v>35</v>
      </c>
      <c r="E751" s="4">
        <v>511476.7992</v>
      </c>
      <c r="F751" s="4">
        <v>3335067.3509</v>
      </c>
      <c r="G751" s="2">
        <v>12.7</v>
      </c>
      <c r="H751" s="13" t="s">
        <v>29</v>
      </c>
      <c r="I751" s="13" cm="1">
        <f t="array" ref="I751">各流量段建筑物坡比(B751,D751)</f>
        <v>2800</v>
      </c>
      <c r="J751" s="14" t="str">
        <f t="shared" si="11"/>
        <v/>
      </c>
      <c r="K751" s="2">
        <v>3.5</v>
      </c>
      <c r="R751" s="2">
        <v>180</v>
      </c>
    </row>
    <row r="752" spans="1:18">
      <c r="A752" s="15" t="s">
        <v>944</v>
      </c>
      <c r="B752" s="2">
        <v>8</v>
      </c>
      <c r="C752" s="2" t="s">
        <v>942</v>
      </c>
      <c r="D752" s="13" t="s">
        <v>35</v>
      </c>
      <c r="E752" s="4">
        <v>512350.4177</v>
      </c>
      <c r="F752" s="4">
        <v>3333892.487</v>
      </c>
      <c r="G752" s="2">
        <v>12.7</v>
      </c>
      <c r="H752" s="13" t="s">
        <v>29</v>
      </c>
      <c r="I752" s="13" cm="1">
        <f t="array" ref="I752">各流量段建筑物坡比(B752,D752)</f>
        <v>2800</v>
      </c>
      <c r="J752" s="14" t="str">
        <f t="shared" si="11"/>
        <v/>
      </c>
      <c r="K752" s="2">
        <v>3.5</v>
      </c>
      <c r="R752" s="2">
        <v>180</v>
      </c>
    </row>
    <row r="753" spans="1:18">
      <c r="A753" s="12" t="s">
        <v>945</v>
      </c>
      <c r="B753" s="2">
        <v>8</v>
      </c>
      <c r="C753" s="2" t="s">
        <v>942</v>
      </c>
      <c r="D753" s="13" t="s">
        <v>35</v>
      </c>
      <c r="E753" s="4">
        <v>513674.8072</v>
      </c>
      <c r="F753" s="4">
        <v>3332771.3119</v>
      </c>
      <c r="G753" s="2">
        <v>12.7</v>
      </c>
      <c r="H753" s="13" t="s">
        <v>29</v>
      </c>
      <c r="I753" s="13" cm="1">
        <f t="array" ref="I753">各流量段建筑物坡比(B753,D753)</f>
        <v>2800</v>
      </c>
      <c r="J753" s="14" t="str">
        <f t="shared" si="11"/>
        <v/>
      </c>
      <c r="K753" s="2">
        <v>3.5</v>
      </c>
      <c r="R753" s="2">
        <v>180</v>
      </c>
    </row>
    <row r="754" spans="1:18">
      <c r="A754" s="15" t="s">
        <v>946</v>
      </c>
      <c r="B754" s="2">
        <v>8</v>
      </c>
      <c r="C754" s="2" t="s">
        <v>942</v>
      </c>
      <c r="D754" s="13" t="s">
        <v>35</v>
      </c>
      <c r="E754" s="4">
        <v>513689.5957</v>
      </c>
      <c r="F754" s="4">
        <v>3332709.3567</v>
      </c>
      <c r="G754" s="2">
        <v>12.7</v>
      </c>
      <c r="H754" s="13" t="s">
        <v>29</v>
      </c>
      <c r="I754" s="13" cm="1">
        <f t="array" ref="I754">各流量段建筑物坡比(B754,D754)</f>
        <v>2800</v>
      </c>
      <c r="J754" s="14" t="str">
        <f t="shared" si="11"/>
        <v/>
      </c>
      <c r="K754" s="2">
        <v>3.5</v>
      </c>
      <c r="R754" s="2">
        <v>180</v>
      </c>
    </row>
    <row r="755" spans="1:18">
      <c r="A755" s="12" t="s">
        <v>947</v>
      </c>
      <c r="B755" s="2">
        <v>8</v>
      </c>
      <c r="C755" s="2" t="s">
        <v>948</v>
      </c>
      <c r="D755" s="13" t="s">
        <v>35</v>
      </c>
      <c r="E755" s="4">
        <v>513708.5539</v>
      </c>
      <c r="F755" s="4">
        <v>3332629.9333</v>
      </c>
      <c r="G755" s="2">
        <v>12.7</v>
      </c>
      <c r="H755" s="13" t="s">
        <v>29</v>
      </c>
      <c r="I755" s="13" cm="1">
        <f t="array" ref="I755">各流量段建筑物坡比(B755,D755)</f>
        <v>2800</v>
      </c>
      <c r="J755" s="14" t="str">
        <f t="shared" si="11"/>
        <v/>
      </c>
      <c r="K755" s="2">
        <v>3.5</v>
      </c>
      <c r="R755" s="2">
        <v>180</v>
      </c>
    </row>
    <row r="756" spans="1:18">
      <c r="A756" s="15" t="s">
        <v>949</v>
      </c>
      <c r="B756" s="2">
        <v>8</v>
      </c>
      <c r="C756" s="2" t="s">
        <v>948</v>
      </c>
      <c r="D756" s="13" t="s">
        <v>35</v>
      </c>
      <c r="E756" s="4">
        <v>513756.9076</v>
      </c>
      <c r="F756" s="4">
        <v>3332427.3603</v>
      </c>
      <c r="G756" s="2">
        <v>12.7</v>
      </c>
      <c r="H756" s="13" t="s">
        <v>29</v>
      </c>
      <c r="I756" s="13" cm="1">
        <f t="array" ref="I756">各流量段建筑物坡比(B756,D756)</f>
        <v>2800</v>
      </c>
      <c r="J756" s="14" t="str">
        <f t="shared" si="11"/>
        <v/>
      </c>
      <c r="K756" s="2">
        <v>3.5</v>
      </c>
      <c r="R756" s="2">
        <v>180</v>
      </c>
    </row>
    <row r="757" spans="1:18">
      <c r="A757" s="12" t="s">
        <v>950</v>
      </c>
      <c r="B757" s="2">
        <v>8</v>
      </c>
      <c r="C757" s="2" t="s">
        <v>948</v>
      </c>
      <c r="D757" s="13" t="s">
        <v>35</v>
      </c>
      <c r="E757" s="4">
        <v>513780.0138</v>
      </c>
      <c r="F757" s="4">
        <v>3332374.0743</v>
      </c>
      <c r="G757" s="2">
        <v>12.7</v>
      </c>
      <c r="H757" s="13" t="s">
        <v>29</v>
      </c>
      <c r="I757" s="13" cm="1">
        <f t="array" ref="I757">各流量段建筑物坡比(B757,D757)</f>
        <v>2800</v>
      </c>
      <c r="J757" s="14" t="str">
        <f t="shared" si="11"/>
        <v/>
      </c>
      <c r="K757" s="2">
        <v>3.5</v>
      </c>
      <c r="R757" s="2">
        <v>180</v>
      </c>
    </row>
    <row r="758" spans="1:18">
      <c r="A758" s="15" t="s">
        <v>951</v>
      </c>
      <c r="B758" s="2">
        <v>8</v>
      </c>
      <c r="C758" s="2" t="s">
        <v>952</v>
      </c>
      <c r="D758" s="13" t="s">
        <v>35</v>
      </c>
      <c r="E758" s="4">
        <v>513801.8931</v>
      </c>
      <c r="F758" s="4">
        <v>3332323.6177</v>
      </c>
      <c r="G758" s="2">
        <v>12.7</v>
      </c>
      <c r="H758" s="13" t="s">
        <v>29</v>
      </c>
      <c r="I758" s="13" cm="1">
        <f t="array" ref="I758">各流量段建筑物坡比(B758,D758)</f>
        <v>2800</v>
      </c>
      <c r="J758" s="14" t="str">
        <f t="shared" si="11"/>
        <v/>
      </c>
      <c r="K758" s="2">
        <v>3.5</v>
      </c>
      <c r="R758" s="2">
        <v>180</v>
      </c>
    </row>
    <row r="759" spans="1:18">
      <c r="A759" s="12" t="s">
        <v>953</v>
      </c>
      <c r="B759" s="2">
        <v>8</v>
      </c>
      <c r="C759" s="2" t="s">
        <v>952</v>
      </c>
      <c r="D759" s="13" t="s">
        <v>35</v>
      </c>
      <c r="E759" s="4">
        <v>513824.9792</v>
      </c>
      <c r="F759" s="4">
        <v>3332270.3779</v>
      </c>
      <c r="G759" s="2">
        <v>12.7</v>
      </c>
      <c r="H759" s="13" t="s">
        <v>29</v>
      </c>
      <c r="I759" s="13" cm="1">
        <f t="array" ref="I759">各流量段建筑物坡比(B759,D759)</f>
        <v>2800</v>
      </c>
      <c r="J759" s="14" t="str">
        <f t="shared" si="11"/>
        <v/>
      </c>
      <c r="K759" s="2">
        <v>3.5</v>
      </c>
      <c r="R759" s="2">
        <v>180</v>
      </c>
    </row>
    <row r="760" spans="1:18">
      <c r="A760" s="15" t="s">
        <v>954</v>
      </c>
      <c r="B760" s="2">
        <v>8</v>
      </c>
      <c r="C760" s="2" t="s">
        <v>952</v>
      </c>
      <c r="D760" s="13" t="s">
        <v>35</v>
      </c>
      <c r="E760" s="4">
        <v>513839.4482</v>
      </c>
      <c r="F760" s="4">
        <v>3332221.6551</v>
      </c>
      <c r="G760" s="2">
        <v>12.7</v>
      </c>
      <c r="H760" s="13" t="s">
        <v>29</v>
      </c>
      <c r="I760" s="13" cm="1">
        <f t="array" ref="I760">各流量段建筑物坡比(B760,D760)</f>
        <v>2800</v>
      </c>
      <c r="J760" s="14" t="str">
        <f t="shared" si="11"/>
        <v/>
      </c>
      <c r="K760" s="2">
        <v>3.5</v>
      </c>
      <c r="R760" s="2">
        <v>180</v>
      </c>
    </row>
    <row r="761" spans="1:18">
      <c r="A761" s="12" t="s">
        <v>955</v>
      </c>
      <c r="B761" s="2">
        <v>8</v>
      </c>
      <c r="C761" s="2" t="s">
        <v>956</v>
      </c>
      <c r="D761" s="13" t="s">
        <v>35</v>
      </c>
      <c r="E761" s="4">
        <v>513849.0934</v>
      </c>
      <c r="F761" s="4">
        <v>3332189.176</v>
      </c>
      <c r="G761" s="2">
        <v>12.7</v>
      </c>
      <c r="H761" s="13" t="s">
        <v>29</v>
      </c>
      <c r="I761" s="13" cm="1">
        <f t="array" ref="I761">各流量段建筑物坡比(B761,D761)</f>
        <v>2800</v>
      </c>
      <c r="J761" s="14" t="str">
        <f t="shared" si="11"/>
        <v/>
      </c>
      <c r="K761" s="2">
        <v>3.5</v>
      </c>
      <c r="R761" s="2">
        <v>180</v>
      </c>
    </row>
    <row r="762" spans="1:18">
      <c r="A762" s="15" t="s">
        <v>957</v>
      </c>
      <c r="B762" s="2">
        <v>8</v>
      </c>
      <c r="C762" s="2" t="s">
        <v>956</v>
      </c>
      <c r="D762" s="13" t="s">
        <v>35</v>
      </c>
      <c r="E762" s="4">
        <v>513904.5311</v>
      </c>
      <c r="F762" s="4">
        <v>3332002.4953</v>
      </c>
      <c r="G762" s="2">
        <v>12.7</v>
      </c>
      <c r="H762" s="13" t="s">
        <v>29</v>
      </c>
      <c r="I762" s="13" cm="1">
        <f t="array" ref="I762">各流量段建筑物坡比(B762,D762)</f>
        <v>2800</v>
      </c>
      <c r="J762" s="14" t="str">
        <f t="shared" si="11"/>
        <v/>
      </c>
      <c r="K762" s="2">
        <v>3.5</v>
      </c>
      <c r="R762" s="2">
        <v>180</v>
      </c>
    </row>
    <row r="763" spans="1:18">
      <c r="A763" s="12" t="s">
        <v>958</v>
      </c>
      <c r="B763" s="2">
        <v>8</v>
      </c>
      <c r="C763" s="2" t="s">
        <v>956</v>
      </c>
      <c r="D763" s="13" t="s">
        <v>35</v>
      </c>
      <c r="E763" s="4">
        <v>513932.8098</v>
      </c>
      <c r="F763" s="4">
        <v>3331968.2972</v>
      </c>
      <c r="G763" s="2">
        <v>12.7</v>
      </c>
      <c r="H763" s="13" t="s">
        <v>29</v>
      </c>
      <c r="I763" s="13" cm="1">
        <f t="array" ref="I763">各流量段建筑物坡比(B763,D763)</f>
        <v>2800</v>
      </c>
      <c r="J763" s="14" t="str">
        <f t="shared" si="11"/>
        <v/>
      </c>
      <c r="K763" s="2">
        <v>3.5</v>
      </c>
      <c r="R763" s="2">
        <v>180</v>
      </c>
    </row>
    <row r="764" spans="1:18">
      <c r="A764" s="15" t="s">
        <v>959</v>
      </c>
      <c r="B764" s="2">
        <v>8</v>
      </c>
      <c r="C764" s="2" t="s">
        <v>960</v>
      </c>
      <c r="D764" s="13" t="s">
        <v>35</v>
      </c>
      <c r="E764" s="4">
        <v>513966.0332</v>
      </c>
      <c r="F764" s="4">
        <v>3331928.1193</v>
      </c>
      <c r="G764" s="2">
        <v>12.7</v>
      </c>
      <c r="H764" s="13" t="s">
        <v>29</v>
      </c>
      <c r="I764" s="13" cm="1">
        <f t="array" ref="I764">各流量段建筑物坡比(B764,D764)</f>
        <v>2800</v>
      </c>
      <c r="J764" s="14" t="str">
        <f t="shared" si="11"/>
        <v/>
      </c>
      <c r="K764" s="2">
        <v>3.5</v>
      </c>
      <c r="R764" s="2">
        <v>180</v>
      </c>
    </row>
    <row r="765" spans="1:18">
      <c r="A765" s="12" t="s">
        <v>961</v>
      </c>
      <c r="B765" s="2">
        <v>8</v>
      </c>
      <c r="C765" s="2" t="s">
        <v>960</v>
      </c>
      <c r="D765" s="13" t="s">
        <v>35</v>
      </c>
      <c r="E765" s="4">
        <v>514161.1721</v>
      </c>
      <c r="F765" s="4">
        <v>3331692.133</v>
      </c>
      <c r="G765" s="2">
        <v>12.7</v>
      </c>
      <c r="H765" s="13" t="s">
        <v>29</v>
      </c>
      <c r="I765" s="13" cm="1">
        <f t="array" ref="I765">各流量段建筑物坡比(B765,D765)</f>
        <v>2800</v>
      </c>
      <c r="J765" s="14" t="str">
        <f t="shared" si="11"/>
        <v/>
      </c>
      <c r="K765" s="2">
        <v>3.5</v>
      </c>
      <c r="R765" s="2">
        <v>180</v>
      </c>
    </row>
    <row r="766" spans="1:18">
      <c r="A766" s="15" t="s">
        <v>962</v>
      </c>
      <c r="B766" s="2">
        <v>8</v>
      </c>
      <c r="C766" s="2" t="s">
        <v>963</v>
      </c>
      <c r="D766" s="13" t="s">
        <v>35</v>
      </c>
      <c r="E766" s="4">
        <v>514188.5654</v>
      </c>
      <c r="F766" s="4">
        <v>3331659.0056</v>
      </c>
      <c r="G766" s="2">
        <v>12.7</v>
      </c>
      <c r="H766" s="13" t="s">
        <v>29</v>
      </c>
      <c r="I766" s="13" cm="1">
        <f t="array" ref="I766">各流量段建筑物坡比(B766,D766)</f>
        <v>2800</v>
      </c>
      <c r="J766" s="14" t="str">
        <f t="shared" si="11"/>
        <v/>
      </c>
      <c r="K766" s="2">
        <v>3.5</v>
      </c>
      <c r="R766" s="2">
        <v>180</v>
      </c>
    </row>
    <row r="767" spans="1:18">
      <c r="A767" s="12" t="s">
        <v>964</v>
      </c>
      <c r="B767" s="2">
        <v>8</v>
      </c>
      <c r="C767" s="2" t="s">
        <v>963</v>
      </c>
      <c r="D767" s="13" t="s">
        <v>35</v>
      </c>
      <c r="E767" s="4">
        <v>514393.2177</v>
      </c>
      <c r="F767" s="4">
        <v>3331411.5145</v>
      </c>
      <c r="G767" s="2">
        <v>12.7</v>
      </c>
      <c r="H767" s="13" t="s">
        <v>29</v>
      </c>
      <c r="I767" s="13" cm="1">
        <f t="array" ref="I767">各流量段建筑物坡比(B767,D767)</f>
        <v>2800</v>
      </c>
      <c r="J767" s="14" t="str">
        <f t="shared" si="11"/>
        <v/>
      </c>
      <c r="K767" s="2">
        <v>3.5</v>
      </c>
      <c r="R767" s="2">
        <v>180</v>
      </c>
    </row>
    <row r="768" spans="1:18">
      <c r="A768" s="15" t="s">
        <v>965</v>
      </c>
      <c r="B768" s="2">
        <v>8</v>
      </c>
      <c r="C768" s="2" t="s">
        <v>966</v>
      </c>
      <c r="D768" s="13" t="s">
        <v>35</v>
      </c>
      <c r="E768" s="4">
        <v>514426.8328</v>
      </c>
      <c r="F768" s="4">
        <v>3331370.8629</v>
      </c>
      <c r="G768" s="2">
        <v>12.7</v>
      </c>
      <c r="H768" s="13" t="s">
        <v>29</v>
      </c>
      <c r="I768" s="13" cm="1">
        <f t="array" ref="I768">各流量段建筑物坡比(B768,D768)</f>
        <v>2800</v>
      </c>
      <c r="J768" s="14" t="str">
        <f t="shared" si="11"/>
        <v/>
      </c>
      <c r="K768" s="2">
        <v>3.5</v>
      </c>
      <c r="R768" s="2">
        <v>180</v>
      </c>
    </row>
    <row r="769" spans="1:18">
      <c r="A769" s="12" t="s">
        <v>967</v>
      </c>
      <c r="B769" s="2">
        <v>8</v>
      </c>
      <c r="C769" s="2" t="s">
        <v>966</v>
      </c>
      <c r="D769" s="13" t="s">
        <v>35</v>
      </c>
      <c r="E769" s="4">
        <v>514671.8507</v>
      </c>
      <c r="F769" s="4">
        <v>3331074.5568</v>
      </c>
      <c r="G769" s="2">
        <v>12.7</v>
      </c>
      <c r="H769" s="13" t="s">
        <v>29</v>
      </c>
      <c r="I769" s="13" cm="1">
        <f t="array" ref="I769">各流量段建筑物坡比(B769,D769)</f>
        <v>2800</v>
      </c>
      <c r="J769" s="14" t="str">
        <f t="shared" si="11"/>
        <v/>
      </c>
      <c r="K769" s="2">
        <v>3.5</v>
      </c>
      <c r="R769" s="2">
        <v>180</v>
      </c>
    </row>
    <row r="770" spans="1:18">
      <c r="A770" s="15" t="s">
        <v>968</v>
      </c>
      <c r="B770" s="2">
        <v>8</v>
      </c>
      <c r="C770" s="2" t="s">
        <v>966</v>
      </c>
      <c r="D770" s="13" t="s">
        <v>35</v>
      </c>
      <c r="E770" s="4">
        <v>514685.0686</v>
      </c>
      <c r="F770" s="4">
        <v>3331037.0421</v>
      </c>
      <c r="G770" s="2">
        <v>12.7</v>
      </c>
      <c r="H770" s="13" t="s">
        <v>29</v>
      </c>
      <c r="I770" s="13" cm="1">
        <f t="array" ref="I770">各流量段建筑物坡比(B770,D770)</f>
        <v>2800</v>
      </c>
      <c r="J770" s="14" t="str">
        <f t="shared" si="11"/>
        <v/>
      </c>
      <c r="K770" s="2">
        <v>3.5</v>
      </c>
      <c r="R770" s="2">
        <v>180</v>
      </c>
    </row>
    <row r="771" spans="1:18">
      <c r="A771" s="12" t="s">
        <v>969</v>
      </c>
      <c r="B771" s="2">
        <v>8</v>
      </c>
      <c r="C771" s="2" t="s">
        <v>970</v>
      </c>
      <c r="D771" s="13" t="s">
        <v>35</v>
      </c>
      <c r="E771" s="4">
        <v>514704.7895</v>
      </c>
      <c r="F771" s="4">
        <v>3330981.0713</v>
      </c>
      <c r="G771" s="2">
        <v>12.7</v>
      </c>
      <c r="H771" s="13" t="s">
        <v>29</v>
      </c>
      <c r="I771" s="13" cm="1">
        <f t="array" ref="I771">各流量段建筑物坡比(B771,D771)</f>
        <v>2800</v>
      </c>
      <c r="J771" s="14" t="str">
        <f t="shared" si="11"/>
        <v/>
      </c>
      <c r="K771" s="2">
        <v>3.5</v>
      </c>
      <c r="R771" s="2">
        <v>180</v>
      </c>
    </row>
    <row r="772" spans="1:18">
      <c r="A772" s="15" t="s">
        <v>971</v>
      </c>
      <c r="B772" s="2">
        <v>8</v>
      </c>
      <c r="C772" s="2" t="s">
        <v>970</v>
      </c>
      <c r="D772" s="13" t="s">
        <v>35</v>
      </c>
      <c r="E772" s="4">
        <v>514723.6474</v>
      </c>
      <c r="F772" s="4">
        <v>3330927.5495</v>
      </c>
      <c r="G772" s="2">
        <v>12.7</v>
      </c>
      <c r="H772" s="13" t="s">
        <v>29</v>
      </c>
      <c r="I772" s="13" cm="1">
        <f t="array" ref="I772">各流量段建筑物坡比(B772,D772)</f>
        <v>2800</v>
      </c>
      <c r="J772" s="14" t="str">
        <f t="shared" ref="J772:J806" si="12">IF(C772="-",IF(ISNUMBER(SEARCH("矩形",D772)),0,IF(ISNUMBER(SEARCH("梯形",D772)),1.5,"")),"")</f>
        <v/>
      </c>
      <c r="K772" s="2">
        <v>3.5</v>
      </c>
      <c r="R772" s="2">
        <v>180</v>
      </c>
    </row>
    <row r="773" spans="1:18">
      <c r="A773" s="12" t="s">
        <v>972</v>
      </c>
      <c r="B773" s="2">
        <v>8</v>
      </c>
      <c r="C773" s="2" t="s">
        <v>970</v>
      </c>
      <c r="D773" s="13" t="s">
        <v>35</v>
      </c>
      <c r="E773" s="4">
        <v>515029.5013</v>
      </c>
      <c r="F773" s="4">
        <v>3330837.6158</v>
      </c>
      <c r="G773" s="2">
        <v>12.7</v>
      </c>
      <c r="H773" s="13" t="s">
        <v>29</v>
      </c>
      <c r="I773" s="13" cm="1">
        <f t="array" ref="I773">各流量段建筑物坡比(B773,D773)</f>
        <v>2800</v>
      </c>
      <c r="J773" s="14" t="str">
        <f t="shared" si="12"/>
        <v/>
      </c>
      <c r="K773" s="2">
        <v>3.5</v>
      </c>
      <c r="R773" s="2">
        <v>180</v>
      </c>
    </row>
    <row r="774" spans="1:18">
      <c r="A774" s="15" t="s">
        <v>973</v>
      </c>
      <c r="B774" s="2">
        <v>8</v>
      </c>
      <c r="C774" s="2" t="s">
        <v>970</v>
      </c>
      <c r="D774" s="13" t="s">
        <v>802</v>
      </c>
      <c r="E774" s="4">
        <v>515049.2706</v>
      </c>
      <c r="F774" s="4">
        <v>3330831.8027</v>
      </c>
      <c r="G774" s="2">
        <v>12.7</v>
      </c>
      <c r="H774" s="13" t="s">
        <v>29</v>
      </c>
      <c r="I774" s="13" cm="1">
        <f t="array" ref="I774">各流量段建筑物坡比(B774,D774)</f>
        <v>2200</v>
      </c>
      <c r="J774" s="14" t="str">
        <f t="shared" si="12"/>
        <v/>
      </c>
      <c r="M774" s="2">
        <v>1.7</v>
      </c>
    </row>
    <row r="775" spans="1:18">
      <c r="A775" s="12" t="s">
        <v>974</v>
      </c>
      <c r="B775" s="2">
        <v>8</v>
      </c>
      <c r="C775" s="2" t="s">
        <v>970</v>
      </c>
      <c r="D775" s="13" t="s">
        <v>802</v>
      </c>
      <c r="E775" s="4">
        <v>515120.6631</v>
      </c>
      <c r="F775" s="4">
        <v>3330810.8104</v>
      </c>
      <c r="G775" s="2">
        <v>12.7</v>
      </c>
      <c r="H775" s="13" t="s">
        <v>29</v>
      </c>
      <c r="I775" s="13" cm="1">
        <f t="array" ref="I775">各流量段建筑物坡比(B775,D775)</f>
        <v>2200</v>
      </c>
      <c r="J775" s="14" t="str">
        <f t="shared" si="12"/>
        <v/>
      </c>
      <c r="M775" s="2">
        <v>1.7</v>
      </c>
    </row>
    <row r="776" spans="1:18">
      <c r="A776" s="15" t="s">
        <v>975</v>
      </c>
      <c r="B776" s="2">
        <v>8</v>
      </c>
      <c r="C776" s="2" t="s">
        <v>976</v>
      </c>
      <c r="D776" s="13" t="s">
        <v>35</v>
      </c>
      <c r="E776" s="4">
        <v>515132.0182</v>
      </c>
      <c r="F776" s="4">
        <v>3330807.4715</v>
      </c>
      <c r="G776" s="2">
        <v>12.7</v>
      </c>
      <c r="H776" s="13" t="s">
        <v>29</v>
      </c>
      <c r="I776" s="13" cm="1">
        <f t="array" ref="I776">各流量段建筑物坡比(B776,D776)</f>
        <v>2800</v>
      </c>
      <c r="J776" s="14" t="str">
        <f t="shared" si="12"/>
        <v/>
      </c>
      <c r="K776" s="2">
        <v>3.5</v>
      </c>
      <c r="R776" s="2">
        <v>180</v>
      </c>
    </row>
    <row r="777" spans="1:18">
      <c r="A777" s="12" t="s">
        <v>977</v>
      </c>
      <c r="B777" s="2">
        <v>8</v>
      </c>
      <c r="C777" s="2" t="s">
        <v>976</v>
      </c>
      <c r="D777" s="13" t="s">
        <v>35</v>
      </c>
      <c r="E777" s="4">
        <v>515309.8032</v>
      </c>
      <c r="F777" s="4">
        <v>3330755.1953</v>
      </c>
      <c r="G777" s="2">
        <v>12.7</v>
      </c>
      <c r="H777" s="13" t="s">
        <v>29</v>
      </c>
      <c r="I777" s="13" cm="1">
        <f t="array" ref="I777">各流量段建筑物坡比(B777,D777)</f>
        <v>2800</v>
      </c>
      <c r="J777" s="14" t="str">
        <f t="shared" si="12"/>
        <v/>
      </c>
      <c r="K777" s="2">
        <v>3.5</v>
      </c>
      <c r="R777" s="2">
        <v>180</v>
      </c>
    </row>
    <row r="778" spans="1:18">
      <c r="A778" s="15" t="s">
        <v>978</v>
      </c>
      <c r="B778" s="2">
        <v>8</v>
      </c>
      <c r="C778" s="13" t="s">
        <v>27</v>
      </c>
      <c r="D778" s="13" t="s">
        <v>28</v>
      </c>
      <c r="E778" s="4">
        <v>515328.7754</v>
      </c>
      <c r="F778" s="4">
        <v>3330749.6167</v>
      </c>
      <c r="G778" s="2">
        <v>12.7</v>
      </c>
      <c r="H778" s="13" t="s">
        <v>29</v>
      </c>
      <c r="I778" s="13" cm="1">
        <f t="array" ref="I778">各流量段建筑物坡比(B778,D778)</f>
        <v>6000</v>
      </c>
      <c r="J778" s="14">
        <f t="shared" si="12"/>
        <v>0</v>
      </c>
      <c r="K778" s="2">
        <v>4.5</v>
      </c>
    </row>
    <row r="779" spans="1:18">
      <c r="A779" s="12" t="s">
        <v>979</v>
      </c>
      <c r="B779" s="2">
        <v>8</v>
      </c>
      <c r="C779" s="2" t="s">
        <v>980</v>
      </c>
      <c r="D779" s="13" t="s">
        <v>35</v>
      </c>
      <c r="E779" s="4">
        <v>515350.2505</v>
      </c>
      <c r="F779" s="4">
        <v>3330723.106</v>
      </c>
      <c r="G779" s="2">
        <v>12.7</v>
      </c>
      <c r="H779" s="13" t="s">
        <v>29</v>
      </c>
      <c r="I779" s="13" cm="1">
        <f t="array" ref="I779">各流量段建筑物坡比(B779,D779)</f>
        <v>2800</v>
      </c>
      <c r="J779" s="14" t="str">
        <f t="shared" si="12"/>
        <v/>
      </c>
      <c r="K779" s="2">
        <v>3.5</v>
      </c>
      <c r="R779" s="2">
        <v>180</v>
      </c>
    </row>
    <row r="780" spans="1:18">
      <c r="A780" s="15" t="s">
        <v>981</v>
      </c>
      <c r="B780" s="2">
        <v>8</v>
      </c>
      <c r="C780" s="2" t="s">
        <v>982</v>
      </c>
      <c r="D780" s="13" t="s">
        <v>35</v>
      </c>
      <c r="E780" s="4">
        <v>515416.6488</v>
      </c>
      <c r="F780" s="4">
        <v>3330641.1381</v>
      </c>
      <c r="G780" s="2">
        <v>12.7</v>
      </c>
      <c r="H780" s="13" t="s">
        <v>29</v>
      </c>
      <c r="I780" s="13" cm="1">
        <f t="array" ref="I780">各流量段建筑物坡比(B780,D780)</f>
        <v>2800</v>
      </c>
      <c r="J780" s="14" t="str">
        <f t="shared" si="12"/>
        <v/>
      </c>
      <c r="K780" s="2">
        <v>3.5</v>
      </c>
      <c r="R780" s="2">
        <v>180</v>
      </c>
    </row>
    <row r="781" spans="1:18">
      <c r="A781" s="12" t="s">
        <v>983</v>
      </c>
      <c r="B781" s="2">
        <v>8</v>
      </c>
      <c r="C781" s="13" t="s">
        <v>27</v>
      </c>
      <c r="D781" s="13" t="s">
        <v>28</v>
      </c>
      <c r="E781" s="4">
        <v>515439.1121</v>
      </c>
      <c r="F781" s="4">
        <v>3330613.4073</v>
      </c>
      <c r="G781" s="2">
        <v>12.7</v>
      </c>
      <c r="H781" s="13" t="s">
        <v>29</v>
      </c>
      <c r="I781" s="13" cm="1">
        <f t="array" ref="I781">各流量段建筑物坡比(B781,D781)</f>
        <v>6000</v>
      </c>
      <c r="J781" s="14">
        <f t="shared" si="12"/>
        <v>0</v>
      </c>
      <c r="K781" s="2">
        <v>4.5</v>
      </c>
    </row>
    <row r="782" spans="1:18">
      <c r="A782" s="15" t="s">
        <v>984</v>
      </c>
      <c r="B782" s="2">
        <v>8</v>
      </c>
      <c r="C782" s="13" t="s">
        <v>27</v>
      </c>
      <c r="D782" s="13" t="s">
        <v>28</v>
      </c>
      <c r="E782" s="4">
        <v>515451.6537</v>
      </c>
      <c r="F782" s="4">
        <v>3330506.8431</v>
      </c>
      <c r="G782" s="2">
        <v>12.7</v>
      </c>
      <c r="H782" s="13" t="s">
        <v>29</v>
      </c>
      <c r="I782" s="13" cm="1">
        <f t="array" ref="I782">各流量段建筑物坡比(B782,D782)</f>
        <v>6000</v>
      </c>
      <c r="J782" s="14">
        <f t="shared" si="12"/>
        <v>0</v>
      </c>
      <c r="K782" s="2">
        <v>4.5</v>
      </c>
    </row>
    <row r="783" spans="1:18">
      <c r="A783" s="12" t="s">
        <v>985</v>
      </c>
      <c r="B783" s="2">
        <v>8</v>
      </c>
      <c r="C783" s="2" t="s">
        <v>986</v>
      </c>
      <c r="D783" s="13" t="s">
        <v>802</v>
      </c>
      <c r="E783" s="4">
        <v>515463.9059</v>
      </c>
      <c r="F783" s="4">
        <v>3330480.608</v>
      </c>
      <c r="G783" s="2">
        <v>12.7</v>
      </c>
      <c r="H783" s="13" t="s">
        <v>29</v>
      </c>
      <c r="I783" s="13" cm="1">
        <f t="array" ref="I783">各流量段建筑物坡比(B783,D783)</f>
        <v>2200</v>
      </c>
      <c r="J783" s="14" t="str">
        <f t="shared" si="12"/>
        <v/>
      </c>
      <c r="M783" s="2">
        <v>1.7</v>
      </c>
    </row>
    <row r="784" spans="1:18">
      <c r="A784" s="15" t="s">
        <v>987</v>
      </c>
      <c r="B784" s="2">
        <v>8</v>
      </c>
      <c r="C784" s="2" t="s">
        <v>986</v>
      </c>
      <c r="D784" s="13" t="s">
        <v>802</v>
      </c>
      <c r="E784" s="4">
        <v>515519.5899</v>
      </c>
      <c r="F784" s="4">
        <v>3330361.3745</v>
      </c>
      <c r="G784" s="2">
        <v>12.7</v>
      </c>
      <c r="H784" s="13" t="s">
        <v>29</v>
      </c>
      <c r="I784" s="13" cm="1">
        <f t="array" ref="I784">各流量段建筑物坡比(B784,D784)</f>
        <v>2200</v>
      </c>
      <c r="J784" s="14" t="str">
        <f t="shared" si="12"/>
        <v/>
      </c>
      <c r="M784" s="2">
        <v>1.7</v>
      </c>
    </row>
    <row r="785" spans="1:18">
      <c r="A785" s="12" t="s">
        <v>988</v>
      </c>
      <c r="B785" s="2">
        <v>8</v>
      </c>
      <c r="C785" s="13" t="s">
        <v>27</v>
      </c>
      <c r="D785" s="13" t="s">
        <v>28</v>
      </c>
      <c r="E785" s="4">
        <v>515524.6429</v>
      </c>
      <c r="F785" s="4">
        <v>3330350.5547</v>
      </c>
      <c r="G785" s="2">
        <v>12.7</v>
      </c>
      <c r="H785" s="13" t="s">
        <v>29</v>
      </c>
      <c r="I785" s="13" cm="1">
        <f t="array" ref="I785">各流量段建筑物坡比(B785,D785)</f>
        <v>6000</v>
      </c>
      <c r="J785" s="14">
        <f t="shared" si="12"/>
        <v>0</v>
      </c>
      <c r="K785" s="2">
        <v>4.5</v>
      </c>
    </row>
    <row r="786" spans="1:18">
      <c r="A786" s="15" t="s">
        <v>989</v>
      </c>
      <c r="B786" s="2">
        <v>8</v>
      </c>
      <c r="C786" s="13" t="s">
        <v>27</v>
      </c>
      <c r="D786" s="13" t="s">
        <v>28</v>
      </c>
      <c r="E786" s="4">
        <v>515564.8397</v>
      </c>
      <c r="F786" s="4">
        <v>3330296.9765</v>
      </c>
      <c r="G786" s="2">
        <v>12.7</v>
      </c>
      <c r="H786" s="13" t="s">
        <v>29</v>
      </c>
      <c r="I786" s="13" cm="1">
        <f t="array" ref="I786">各流量段建筑物坡比(B786,D786)</f>
        <v>6000</v>
      </c>
      <c r="J786" s="14">
        <f t="shared" si="12"/>
        <v>0</v>
      </c>
      <c r="K786" s="2">
        <v>4.5</v>
      </c>
    </row>
    <row r="787" spans="1:18">
      <c r="A787" s="12" t="s">
        <v>990</v>
      </c>
      <c r="B787" s="2">
        <v>8</v>
      </c>
      <c r="C787" s="13" t="s">
        <v>27</v>
      </c>
      <c r="D787" s="13" t="s">
        <v>28</v>
      </c>
      <c r="E787" s="4">
        <v>515588.2007</v>
      </c>
      <c r="F787" s="4">
        <v>3330187.1526</v>
      </c>
      <c r="G787" s="2">
        <v>12.7</v>
      </c>
      <c r="H787" s="13" t="s">
        <v>29</v>
      </c>
      <c r="I787" s="13" cm="1">
        <f t="array" ref="I787">各流量段建筑物坡比(B787,D787)</f>
        <v>6000</v>
      </c>
      <c r="J787" s="14">
        <f t="shared" si="12"/>
        <v>0</v>
      </c>
      <c r="K787" s="2">
        <v>4.5</v>
      </c>
    </row>
    <row r="788" spans="1:18">
      <c r="A788" s="15" t="s">
        <v>991</v>
      </c>
      <c r="B788" s="2">
        <v>8</v>
      </c>
      <c r="C788" s="13" t="s">
        <v>27</v>
      </c>
      <c r="D788" s="13" t="s">
        <v>28</v>
      </c>
      <c r="E788" s="4">
        <v>515617.2345</v>
      </c>
      <c r="F788" s="4">
        <v>3330148.1638</v>
      </c>
      <c r="G788" s="2">
        <v>12.7</v>
      </c>
      <c r="H788" s="13" t="s">
        <v>29</v>
      </c>
      <c r="I788" s="13" cm="1">
        <f t="array" ref="I788">各流量段建筑物坡比(B788,D788)</f>
        <v>6000</v>
      </c>
      <c r="J788" s="14">
        <f t="shared" si="12"/>
        <v>0</v>
      </c>
      <c r="K788" s="2">
        <v>4.5</v>
      </c>
    </row>
    <row r="789" spans="1:18">
      <c r="A789" s="12" t="s">
        <v>992</v>
      </c>
      <c r="B789" s="2">
        <v>8</v>
      </c>
      <c r="C789" s="13" t="s">
        <v>27</v>
      </c>
      <c r="D789" s="13" t="s">
        <v>28</v>
      </c>
      <c r="E789" s="4">
        <v>515673.8281</v>
      </c>
      <c r="F789" s="4">
        <v>3330130.8284</v>
      </c>
      <c r="G789" s="2">
        <v>12.7</v>
      </c>
      <c r="H789" s="13" t="s">
        <v>29</v>
      </c>
      <c r="I789" s="13" cm="1">
        <f t="array" ref="I789">各流量段建筑物坡比(B789,D789)</f>
        <v>6000</v>
      </c>
      <c r="J789" s="14">
        <f t="shared" si="12"/>
        <v>0</v>
      </c>
      <c r="K789" s="2">
        <v>4.5</v>
      </c>
    </row>
    <row r="790" spans="1:18">
      <c r="A790" s="15" t="s">
        <v>993</v>
      </c>
      <c r="B790" s="2">
        <v>8</v>
      </c>
      <c r="C790" s="13" t="s">
        <v>27</v>
      </c>
      <c r="D790" s="13" t="s">
        <v>28</v>
      </c>
      <c r="E790" s="4">
        <v>515734.3619</v>
      </c>
      <c r="F790" s="4">
        <v>3330123.0303</v>
      </c>
      <c r="G790" s="2">
        <v>12.7</v>
      </c>
      <c r="H790" s="13" t="s">
        <v>29</v>
      </c>
      <c r="I790" s="13" cm="1">
        <f t="array" ref="I790">各流量段建筑物坡比(B790,D790)</f>
        <v>6000</v>
      </c>
      <c r="J790" s="14">
        <f t="shared" si="12"/>
        <v>0</v>
      </c>
      <c r="K790" s="2">
        <v>4.5</v>
      </c>
    </row>
    <row r="791" spans="1:18">
      <c r="A791" s="12" t="s">
        <v>994</v>
      </c>
      <c r="B791" s="2">
        <v>8</v>
      </c>
      <c r="C791" s="2" t="s">
        <v>995</v>
      </c>
      <c r="D791" s="13" t="s">
        <v>35</v>
      </c>
      <c r="E791" s="4">
        <v>515757.4259</v>
      </c>
      <c r="F791" s="4">
        <v>3330108.4574</v>
      </c>
      <c r="G791" s="2">
        <v>12.7</v>
      </c>
      <c r="H791" s="13" t="s">
        <v>29</v>
      </c>
      <c r="I791" s="13" cm="1">
        <f t="array" ref="I791">各流量段建筑物坡比(B791,D791)</f>
        <v>2800</v>
      </c>
      <c r="J791" s="14" t="str">
        <f t="shared" si="12"/>
        <v/>
      </c>
      <c r="K791" s="2">
        <v>3.5</v>
      </c>
      <c r="R791" s="2">
        <v>180</v>
      </c>
    </row>
    <row r="792" spans="1:18">
      <c r="A792" s="15" t="s">
        <v>996</v>
      </c>
      <c r="B792" s="2">
        <v>8</v>
      </c>
      <c r="C792" s="2" t="s">
        <v>995</v>
      </c>
      <c r="D792" s="13" t="s">
        <v>35</v>
      </c>
      <c r="E792" s="4">
        <v>515992.3431</v>
      </c>
      <c r="F792" s="4">
        <v>3329960.0257</v>
      </c>
      <c r="G792" s="2">
        <v>12.7</v>
      </c>
      <c r="H792" s="13" t="s">
        <v>29</v>
      </c>
      <c r="I792" s="13" cm="1">
        <f t="array" ref="I792">各流量段建筑物坡比(B792,D792)</f>
        <v>2800</v>
      </c>
      <c r="J792" s="14" t="str">
        <f t="shared" si="12"/>
        <v/>
      </c>
      <c r="K792" s="2">
        <v>3.5</v>
      </c>
      <c r="R792" s="2">
        <v>180</v>
      </c>
    </row>
    <row r="793" spans="1:18">
      <c r="A793" s="12" t="s">
        <v>997</v>
      </c>
      <c r="B793" s="2">
        <v>8</v>
      </c>
      <c r="C793" s="2" t="s">
        <v>995</v>
      </c>
      <c r="D793" s="13" t="s">
        <v>35</v>
      </c>
      <c r="E793" s="4">
        <v>516000.1231</v>
      </c>
      <c r="F793" s="4">
        <v>3329923.1115</v>
      </c>
      <c r="G793" s="2">
        <v>12.7</v>
      </c>
      <c r="H793" s="13" t="s">
        <v>29</v>
      </c>
      <c r="I793" s="13" cm="1">
        <f t="array" ref="I793">各流量段建筑物坡比(B793,D793)</f>
        <v>2800</v>
      </c>
      <c r="J793" s="14" t="str">
        <f t="shared" si="12"/>
        <v/>
      </c>
      <c r="K793" s="2">
        <v>3.5</v>
      </c>
      <c r="R793" s="2">
        <v>180</v>
      </c>
    </row>
    <row r="794" spans="1:18">
      <c r="A794" s="15" t="s">
        <v>998</v>
      </c>
      <c r="B794" s="2">
        <v>8</v>
      </c>
      <c r="C794" s="2" t="s">
        <v>999</v>
      </c>
      <c r="D794" s="13" t="s">
        <v>35</v>
      </c>
      <c r="E794" s="4">
        <v>516011.6051</v>
      </c>
      <c r="F794" s="4">
        <v>3329868.6318</v>
      </c>
      <c r="G794" s="2">
        <v>12.7</v>
      </c>
      <c r="H794" s="13" t="s">
        <v>29</v>
      </c>
      <c r="I794" s="13" cm="1">
        <f t="array" ref="I794">各流量段建筑物坡比(B794,D794)</f>
        <v>2800</v>
      </c>
      <c r="J794" s="14" t="str">
        <f t="shared" si="12"/>
        <v/>
      </c>
      <c r="K794" s="2">
        <v>3.5</v>
      </c>
      <c r="R794" s="2">
        <v>180</v>
      </c>
    </row>
    <row r="795" spans="1:18">
      <c r="A795" s="12" t="s">
        <v>1000</v>
      </c>
      <c r="B795" s="2">
        <v>8</v>
      </c>
      <c r="C795" s="2" t="s">
        <v>999</v>
      </c>
      <c r="D795" s="13" t="s">
        <v>35</v>
      </c>
      <c r="E795" s="4">
        <v>516034.1957</v>
      </c>
      <c r="F795" s="4">
        <v>3329761.4449</v>
      </c>
      <c r="G795" s="2">
        <v>12.7</v>
      </c>
      <c r="H795" s="13" t="s">
        <v>29</v>
      </c>
      <c r="I795" s="13" cm="1">
        <f t="array" ref="I795">各流量段建筑物坡比(B795,D795)</f>
        <v>2800</v>
      </c>
      <c r="J795" s="14" t="str">
        <f t="shared" si="12"/>
        <v/>
      </c>
      <c r="K795" s="2">
        <v>3.5</v>
      </c>
      <c r="R795" s="2">
        <v>180</v>
      </c>
    </row>
    <row r="796" spans="1:18">
      <c r="A796" s="15" t="s">
        <v>1001</v>
      </c>
      <c r="B796" s="2">
        <v>8</v>
      </c>
      <c r="C796" s="2" t="s">
        <v>999</v>
      </c>
      <c r="D796" s="13" t="s">
        <v>35</v>
      </c>
      <c r="E796" s="4">
        <v>516025.3018</v>
      </c>
      <c r="F796" s="4">
        <v>3329725.0722</v>
      </c>
      <c r="G796" s="2">
        <v>12.7</v>
      </c>
      <c r="H796" s="13" t="s">
        <v>29</v>
      </c>
      <c r="I796" s="13" cm="1">
        <f t="array" ref="I796">各流量段建筑物坡比(B796,D796)</f>
        <v>2800</v>
      </c>
      <c r="J796" s="14" t="str">
        <f t="shared" si="12"/>
        <v/>
      </c>
      <c r="K796" s="2">
        <v>3.5</v>
      </c>
      <c r="R796" s="2">
        <v>180</v>
      </c>
    </row>
    <row r="797" spans="1:18">
      <c r="A797" s="12" t="s">
        <v>1002</v>
      </c>
      <c r="B797" s="2">
        <v>8</v>
      </c>
      <c r="C797" s="13" t="s">
        <v>27</v>
      </c>
      <c r="D797" s="13" t="s">
        <v>28</v>
      </c>
      <c r="E797" s="4">
        <v>516005.7059</v>
      </c>
      <c r="F797" s="4">
        <v>3329644.9328</v>
      </c>
      <c r="G797" s="2">
        <v>12.7</v>
      </c>
      <c r="H797" s="13" t="s">
        <v>29</v>
      </c>
      <c r="I797" s="13" cm="1">
        <f t="array" ref="I797">各流量段建筑物坡比(B797,D797)</f>
        <v>6000</v>
      </c>
      <c r="J797" s="14">
        <f t="shared" si="12"/>
        <v>0</v>
      </c>
      <c r="K797" s="2">
        <v>4.5</v>
      </c>
    </row>
    <row r="798" spans="1:18">
      <c r="A798" s="15" t="s">
        <v>1003</v>
      </c>
      <c r="B798" s="2">
        <v>8</v>
      </c>
      <c r="C798" s="13" t="s">
        <v>27</v>
      </c>
      <c r="D798" s="13" t="s">
        <v>28</v>
      </c>
      <c r="E798" s="4">
        <v>516016.0041</v>
      </c>
      <c r="F798" s="4">
        <v>3329564.2612</v>
      </c>
      <c r="G798" s="2">
        <v>12.7</v>
      </c>
      <c r="H798" s="13" t="s">
        <v>29</v>
      </c>
      <c r="I798" s="13" cm="1">
        <f t="array" ref="I798">各流量段建筑物坡比(B798,D798)</f>
        <v>6000</v>
      </c>
      <c r="J798" s="14">
        <f t="shared" si="12"/>
        <v>0</v>
      </c>
      <c r="K798" s="2">
        <v>4.5</v>
      </c>
    </row>
    <row r="799" spans="1:18">
      <c r="A799" s="12" t="s">
        <v>1004</v>
      </c>
      <c r="B799" s="2">
        <v>8</v>
      </c>
      <c r="C799" s="13" t="s">
        <v>27</v>
      </c>
      <c r="D799" s="13" t="s">
        <v>28</v>
      </c>
      <c r="E799" s="4">
        <v>516007.2684</v>
      </c>
      <c r="F799" s="4">
        <v>3329505.344</v>
      </c>
      <c r="G799" s="2">
        <v>12.7</v>
      </c>
      <c r="H799" s="13" t="s">
        <v>29</v>
      </c>
      <c r="I799" s="13" cm="1">
        <f t="array" ref="I799">各流量段建筑物坡比(B799,D799)</f>
        <v>6000</v>
      </c>
      <c r="J799" s="14">
        <f t="shared" si="12"/>
        <v>0</v>
      </c>
      <c r="K799" s="2">
        <v>4.5</v>
      </c>
    </row>
    <row r="800" spans="1:18">
      <c r="A800" s="15" t="s">
        <v>1005</v>
      </c>
      <c r="B800" s="2">
        <v>8</v>
      </c>
      <c r="C800" s="13" t="s">
        <v>27</v>
      </c>
      <c r="D800" s="13" t="s">
        <v>28</v>
      </c>
      <c r="E800" s="4">
        <v>516075.8947</v>
      </c>
      <c r="F800" s="4">
        <v>3329433.2794</v>
      </c>
      <c r="G800" s="2">
        <v>12.7</v>
      </c>
      <c r="H800" s="13" t="s">
        <v>29</v>
      </c>
      <c r="I800" s="13" cm="1">
        <f t="array" ref="I800">各流量段建筑物坡比(B800,D800)</f>
        <v>6000</v>
      </c>
      <c r="J800" s="14">
        <f t="shared" si="12"/>
        <v>0</v>
      </c>
      <c r="K800" s="2">
        <v>4.5</v>
      </c>
    </row>
    <row r="801" spans="1:18">
      <c r="A801" s="12" t="s">
        <v>1006</v>
      </c>
      <c r="B801" s="2">
        <v>8</v>
      </c>
      <c r="C801" s="13" t="s">
        <v>27</v>
      </c>
      <c r="D801" s="13" t="s">
        <v>28</v>
      </c>
      <c r="E801" s="4">
        <v>516088.5868</v>
      </c>
      <c r="F801" s="4">
        <v>3329392.9868</v>
      </c>
      <c r="G801" s="2">
        <v>12.7</v>
      </c>
      <c r="H801" s="13" t="s">
        <v>29</v>
      </c>
      <c r="I801" s="13" cm="1">
        <f t="array" ref="I801">各流量段建筑物坡比(B801,D801)</f>
        <v>6000</v>
      </c>
      <c r="J801" s="14">
        <f t="shared" si="12"/>
        <v>0</v>
      </c>
      <c r="K801" s="2">
        <v>4.5</v>
      </c>
    </row>
    <row r="802" spans="1:18">
      <c r="A802" s="15" t="s">
        <v>1007</v>
      </c>
      <c r="B802" s="2">
        <v>8</v>
      </c>
      <c r="C802" s="2" t="s">
        <v>1008</v>
      </c>
      <c r="D802" s="13" t="s">
        <v>802</v>
      </c>
      <c r="E802" s="4">
        <v>516105.0702</v>
      </c>
      <c r="F802" s="4">
        <v>3329378.3408</v>
      </c>
      <c r="G802" s="2">
        <v>12.7</v>
      </c>
      <c r="H802" s="13" t="s">
        <v>29</v>
      </c>
      <c r="I802" s="13" cm="1">
        <f t="array" ref="I802">各流量段建筑物坡比(B802,D802)</f>
        <v>2200</v>
      </c>
      <c r="J802" s="14" t="str">
        <f t="shared" si="12"/>
        <v/>
      </c>
      <c r="M802" s="2">
        <v>1.7</v>
      </c>
    </row>
    <row r="803" spans="1:18">
      <c r="A803" s="12" t="s">
        <v>1009</v>
      </c>
      <c r="B803" s="2">
        <v>8</v>
      </c>
      <c r="C803" s="2" t="s">
        <v>1010</v>
      </c>
      <c r="D803" s="13" t="s">
        <v>802</v>
      </c>
      <c r="E803" s="4">
        <v>516279.998</v>
      </c>
      <c r="F803" s="4">
        <v>3329222.9115</v>
      </c>
      <c r="G803" s="2">
        <v>12.7</v>
      </c>
      <c r="H803" s="13" t="s">
        <v>29</v>
      </c>
      <c r="I803" s="13" cm="1">
        <f t="array" ref="I803">各流量段建筑物坡比(B803,D803)</f>
        <v>2200</v>
      </c>
      <c r="J803" s="14" t="str">
        <f t="shared" si="12"/>
        <v/>
      </c>
      <c r="M803" s="2">
        <v>1.7</v>
      </c>
    </row>
    <row r="804" spans="1:18">
      <c r="A804" s="15" t="s">
        <v>1011</v>
      </c>
      <c r="B804" s="2">
        <v>8</v>
      </c>
      <c r="C804" s="2" t="s">
        <v>1012</v>
      </c>
      <c r="D804" s="13" t="s">
        <v>35</v>
      </c>
      <c r="E804" s="4">
        <v>516315.153</v>
      </c>
      <c r="F804" s="4">
        <v>3329191.6751</v>
      </c>
      <c r="G804" s="2">
        <v>12.7</v>
      </c>
      <c r="H804" s="13" t="s">
        <v>29</v>
      </c>
      <c r="I804" s="13" cm="1">
        <f t="array" ref="I804">各流量段建筑物坡比(B804,D804)</f>
        <v>2800</v>
      </c>
      <c r="J804" s="14" t="str">
        <f t="shared" si="12"/>
        <v/>
      </c>
      <c r="K804" s="2">
        <v>3.5</v>
      </c>
      <c r="R804" s="2">
        <v>180</v>
      </c>
    </row>
    <row r="805" spans="1:18">
      <c r="A805" s="12" t="s">
        <v>1013</v>
      </c>
      <c r="B805" s="2">
        <v>8</v>
      </c>
      <c r="C805" s="2" t="s">
        <v>1012</v>
      </c>
      <c r="D805" s="13" t="s">
        <v>35</v>
      </c>
      <c r="E805" s="4">
        <v>516467.2662</v>
      </c>
      <c r="F805" s="4">
        <v>3329056.5174</v>
      </c>
      <c r="G805" s="2">
        <v>12.7</v>
      </c>
      <c r="H805" s="13" t="s">
        <v>29</v>
      </c>
      <c r="I805" s="13" cm="1">
        <f t="array" ref="I805">各流量段建筑物坡比(B805,D805)</f>
        <v>2800</v>
      </c>
      <c r="J805" s="14" t="str">
        <f t="shared" si="12"/>
        <v/>
      </c>
      <c r="K805" s="2">
        <v>3.5</v>
      </c>
      <c r="R805" s="2">
        <v>180</v>
      </c>
    </row>
    <row r="806" spans="1:18">
      <c r="A806" s="15" t="s">
        <v>1014</v>
      </c>
      <c r="B806" s="2">
        <v>8</v>
      </c>
      <c r="C806" s="13" t="s">
        <v>27</v>
      </c>
      <c r="D806" s="13" t="s">
        <v>28</v>
      </c>
      <c r="E806" s="4">
        <v>516487.6376</v>
      </c>
      <c r="F806" s="4">
        <v>3329038.4166</v>
      </c>
      <c r="G806" s="2">
        <v>12.7</v>
      </c>
      <c r="H806" s="13" t="s">
        <v>29</v>
      </c>
      <c r="I806" s="13" cm="1">
        <f t="array" ref="I806">各流量段建筑物坡比(B806,D806)</f>
        <v>6000</v>
      </c>
      <c r="J806" s="14">
        <f t="shared" si="12"/>
        <v>0</v>
      </c>
      <c r="K806" s="2">
        <v>4.5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毗河二期总干渠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SWHI</dc:creator>
  <cp:lastModifiedBy>慕景</cp:lastModifiedBy>
  <dcterms:created xsi:type="dcterms:W3CDTF">2026-02-24T01:40:00Z</dcterms:created>
  <dcterms:modified xsi:type="dcterms:W3CDTF">2026-02-25T02:22:38Z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711106B09CD84B229B452A9C8869AA28_13</vt:lpwstr>
  </property>
  <property fmtid="{D5CDD505-2E9C-101B-9397-08002B2CF9AE}" pid="3" name="KSOProductBuildVer">
    <vt:lpwstr>2052-12.1.0.25225</vt:lpwstr>
  </property>
  <property fmtid="{D5CDD505-2E9C-101B-9397-08002B2CF9AE}" pid="4" name="CalculationRule">
    <vt:i4>1</vt:i4>
  </property>
  <property fmtid="{D5CDD505-2E9C-101B-9397-08002B2CF9AE}" pid="5" name="KSOReadingLayout">
    <vt:bool>true</vt:bool>
  </property>
</Properties>
</file>